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\Downloads\"/>
    </mc:Choice>
  </mc:AlternateContent>
  <xr:revisionPtr revIDLastSave="0" documentId="13_ncr:1_{744A0755-85AC-4F52-9EDF-25143CC0DD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Q1a" sheetId="9" r:id="rId1"/>
    <sheet name="data" sheetId="12" state="hidden" r:id="rId2"/>
    <sheet name="Q1b" sheetId="13" r:id="rId3"/>
    <sheet name="Input Data + Q2" sheetId="10" r:id="rId4"/>
  </sheets>
  <definedNames>
    <definedName name="_xlnm._FilterDatabase" localSheetId="1" hidden="1">data!$G$2:$O$45</definedName>
    <definedName name="_xlnm._FilterDatabase" localSheetId="0" hidden="1">Q1a!$AA$7:$AO$1039</definedName>
    <definedName name="_xlnm._FilterDatabase" localSheetId="2" hidden="1">Q1b!$AA$7:$AO$1039</definedName>
    <definedName name="_msoanchor_1" localSheetId="3">'Input Data + Q2'!$X$29</definedName>
    <definedName name="_msoanchor_1">#REF!</definedName>
    <definedName name="_msoanchor_2" localSheetId="3">'Input Data + Q2'!$D$39</definedName>
    <definedName name="_msoanchor_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039" i="13" l="1"/>
  <c r="AK1039" i="13"/>
  <c r="X1039" i="13"/>
  <c r="T1039" i="13"/>
  <c r="AL1038" i="13"/>
  <c r="AK1038" i="13"/>
  <c r="X1038" i="13"/>
  <c r="T1038" i="13"/>
  <c r="AL1037" i="13"/>
  <c r="AK1037" i="13"/>
  <c r="X1037" i="13"/>
  <c r="T1037" i="13"/>
  <c r="AL1036" i="13"/>
  <c r="AK1036" i="13"/>
  <c r="X1036" i="13"/>
  <c r="T1036" i="13"/>
  <c r="AL1035" i="13"/>
  <c r="AK1035" i="13"/>
  <c r="X1035" i="13"/>
  <c r="T1035" i="13"/>
  <c r="AL1034" i="13"/>
  <c r="AK1034" i="13"/>
  <c r="X1034" i="13"/>
  <c r="T1034" i="13"/>
  <c r="AL1033" i="13"/>
  <c r="AK1033" i="13"/>
  <c r="X1033" i="13"/>
  <c r="T1033" i="13"/>
  <c r="AL1032" i="13"/>
  <c r="AK1032" i="13"/>
  <c r="X1032" i="13"/>
  <c r="T1032" i="13"/>
  <c r="AL1031" i="13"/>
  <c r="AK1031" i="13"/>
  <c r="X1031" i="13"/>
  <c r="T1031" i="13"/>
  <c r="AL1030" i="13"/>
  <c r="AK1030" i="13"/>
  <c r="X1030" i="13"/>
  <c r="T1030" i="13"/>
  <c r="AL1029" i="13"/>
  <c r="AK1029" i="13"/>
  <c r="X1029" i="13"/>
  <c r="T1029" i="13"/>
  <c r="AL1028" i="13"/>
  <c r="AK1028" i="13"/>
  <c r="X1028" i="13"/>
  <c r="T1028" i="13"/>
  <c r="AL1027" i="13"/>
  <c r="AK1027" i="13"/>
  <c r="X1027" i="13"/>
  <c r="T1027" i="13"/>
  <c r="AL1026" i="13"/>
  <c r="AK1026" i="13"/>
  <c r="X1026" i="13"/>
  <c r="T1026" i="13"/>
  <c r="AL1025" i="13"/>
  <c r="AK1025" i="13"/>
  <c r="X1025" i="13"/>
  <c r="T1025" i="13"/>
  <c r="AL1024" i="13"/>
  <c r="AK1024" i="13"/>
  <c r="X1024" i="13"/>
  <c r="T1024" i="13"/>
  <c r="AL1023" i="13"/>
  <c r="AK1023" i="13"/>
  <c r="X1023" i="13"/>
  <c r="T1023" i="13"/>
  <c r="AL1022" i="13"/>
  <c r="AK1022" i="13"/>
  <c r="X1022" i="13"/>
  <c r="T1022" i="13"/>
  <c r="AL1021" i="13"/>
  <c r="AK1021" i="13"/>
  <c r="X1021" i="13"/>
  <c r="T1021" i="13"/>
  <c r="AL1020" i="13"/>
  <c r="AK1020" i="13"/>
  <c r="X1020" i="13"/>
  <c r="T1020" i="13"/>
  <c r="AL1019" i="13"/>
  <c r="AK1019" i="13"/>
  <c r="X1019" i="13"/>
  <c r="T1019" i="13"/>
  <c r="AL1018" i="13"/>
  <c r="AK1018" i="13"/>
  <c r="X1018" i="13"/>
  <c r="T1018" i="13"/>
  <c r="AL1017" i="13"/>
  <c r="AK1017" i="13"/>
  <c r="X1017" i="13"/>
  <c r="T1017" i="13"/>
  <c r="AL1016" i="13"/>
  <c r="AK1016" i="13"/>
  <c r="X1016" i="13"/>
  <c r="T1016" i="13"/>
  <c r="AL1015" i="13"/>
  <c r="AK1015" i="13"/>
  <c r="X1015" i="13"/>
  <c r="T1015" i="13"/>
  <c r="AL1014" i="13"/>
  <c r="AK1014" i="13"/>
  <c r="X1014" i="13"/>
  <c r="T1014" i="13"/>
  <c r="AL1013" i="13"/>
  <c r="AK1013" i="13"/>
  <c r="X1013" i="13"/>
  <c r="T1013" i="13"/>
  <c r="AL1012" i="13"/>
  <c r="AK1012" i="13"/>
  <c r="X1012" i="13"/>
  <c r="T1012" i="13"/>
  <c r="AL1011" i="13"/>
  <c r="AK1011" i="13"/>
  <c r="X1011" i="13"/>
  <c r="T1011" i="13"/>
  <c r="AL1010" i="13"/>
  <c r="AK1010" i="13"/>
  <c r="X1010" i="13"/>
  <c r="T1010" i="13"/>
  <c r="AL1009" i="13"/>
  <c r="AK1009" i="13"/>
  <c r="X1009" i="13"/>
  <c r="T1009" i="13"/>
  <c r="AL1008" i="13"/>
  <c r="AK1008" i="13"/>
  <c r="X1008" i="13"/>
  <c r="T1008" i="13"/>
  <c r="AL1007" i="13"/>
  <c r="AK1007" i="13"/>
  <c r="X1007" i="13"/>
  <c r="T1007" i="13"/>
  <c r="AL1006" i="13"/>
  <c r="AK1006" i="13"/>
  <c r="X1006" i="13"/>
  <c r="T1006" i="13"/>
  <c r="AL1005" i="13"/>
  <c r="AK1005" i="13"/>
  <c r="X1005" i="13"/>
  <c r="T1005" i="13"/>
  <c r="AL1004" i="13"/>
  <c r="AK1004" i="13"/>
  <c r="X1004" i="13"/>
  <c r="T1004" i="13"/>
  <c r="AL1003" i="13"/>
  <c r="AK1003" i="13"/>
  <c r="X1003" i="13"/>
  <c r="T1003" i="13"/>
  <c r="AL1002" i="13"/>
  <c r="AK1002" i="13"/>
  <c r="X1002" i="13"/>
  <c r="T1002" i="13"/>
  <c r="AL1001" i="13"/>
  <c r="AK1001" i="13"/>
  <c r="X1001" i="13"/>
  <c r="T1001" i="13"/>
  <c r="AL1000" i="13"/>
  <c r="AK1000" i="13"/>
  <c r="X1000" i="13"/>
  <c r="T1000" i="13"/>
  <c r="AL999" i="13"/>
  <c r="AK999" i="13"/>
  <c r="X999" i="13"/>
  <c r="T999" i="13"/>
  <c r="AL998" i="13"/>
  <c r="AK998" i="13"/>
  <c r="X998" i="13"/>
  <c r="T998" i="13"/>
  <c r="AL997" i="13"/>
  <c r="AK997" i="13"/>
  <c r="X997" i="13"/>
  <c r="T997" i="13"/>
  <c r="AL996" i="13"/>
  <c r="AK996" i="13"/>
  <c r="X996" i="13"/>
  <c r="T996" i="13"/>
  <c r="AL995" i="13"/>
  <c r="AK995" i="13"/>
  <c r="X995" i="13"/>
  <c r="T995" i="13"/>
  <c r="AL994" i="13"/>
  <c r="AK994" i="13"/>
  <c r="X994" i="13"/>
  <c r="T994" i="13"/>
  <c r="AL993" i="13"/>
  <c r="AK993" i="13"/>
  <c r="X993" i="13"/>
  <c r="T993" i="13"/>
  <c r="AL992" i="13"/>
  <c r="AK992" i="13"/>
  <c r="X992" i="13"/>
  <c r="T992" i="13"/>
  <c r="AL991" i="13"/>
  <c r="AK991" i="13"/>
  <c r="T991" i="13"/>
  <c r="AL990" i="13"/>
  <c r="AK990" i="13"/>
  <c r="T990" i="13"/>
  <c r="AL989" i="13"/>
  <c r="AK989" i="13"/>
  <c r="T989" i="13"/>
  <c r="AL988" i="13"/>
  <c r="AK988" i="13"/>
  <c r="X988" i="13"/>
  <c r="T988" i="13"/>
  <c r="AL987" i="13"/>
  <c r="AK987" i="13"/>
  <c r="X987" i="13"/>
  <c r="T987" i="13"/>
  <c r="AL986" i="13"/>
  <c r="AK986" i="13"/>
  <c r="X986" i="13"/>
  <c r="T986" i="13"/>
  <c r="AL985" i="13"/>
  <c r="AK985" i="13"/>
  <c r="X985" i="13"/>
  <c r="T985" i="13"/>
  <c r="AL984" i="13"/>
  <c r="AK984" i="13"/>
  <c r="X984" i="13"/>
  <c r="T984" i="13"/>
  <c r="AL983" i="13"/>
  <c r="AK983" i="13"/>
  <c r="X983" i="13"/>
  <c r="T983" i="13"/>
  <c r="AL982" i="13"/>
  <c r="AK982" i="13"/>
  <c r="X982" i="13"/>
  <c r="T982" i="13"/>
  <c r="AL981" i="13"/>
  <c r="AK981" i="13"/>
  <c r="X981" i="13"/>
  <c r="T981" i="13"/>
  <c r="AL980" i="13"/>
  <c r="AK980" i="13"/>
  <c r="X980" i="13"/>
  <c r="T980" i="13"/>
  <c r="AL979" i="13"/>
  <c r="AK979" i="13"/>
  <c r="X979" i="13"/>
  <c r="T979" i="13"/>
  <c r="AL978" i="13"/>
  <c r="AK978" i="13"/>
  <c r="X978" i="13"/>
  <c r="T978" i="13"/>
  <c r="AL977" i="13"/>
  <c r="AK977" i="13"/>
  <c r="X977" i="13"/>
  <c r="T977" i="13"/>
  <c r="AL976" i="13"/>
  <c r="AK976" i="13"/>
  <c r="X976" i="13"/>
  <c r="T976" i="13"/>
  <c r="AL975" i="13"/>
  <c r="AK975" i="13"/>
  <c r="X975" i="13"/>
  <c r="T975" i="13"/>
  <c r="AL974" i="13"/>
  <c r="AK974" i="13"/>
  <c r="X974" i="13"/>
  <c r="T974" i="13"/>
  <c r="AL973" i="13"/>
  <c r="AK973" i="13"/>
  <c r="X973" i="13"/>
  <c r="T973" i="13"/>
  <c r="AL972" i="13"/>
  <c r="AK972" i="13"/>
  <c r="X972" i="13"/>
  <c r="T972" i="13"/>
  <c r="AL971" i="13"/>
  <c r="AK971" i="13"/>
  <c r="X971" i="13"/>
  <c r="T971" i="13"/>
  <c r="AL970" i="13"/>
  <c r="AK970" i="13"/>
  <c r="X970" i="13"/>
  <c r="T970" i="13"/>
  <c r="AL969" i="13"/>
  <c r="AK969" i="13"/>
  <c r="X969" i="13"/>
  <c r="T969" i="13"/>
  <c r="AL968" i="13"/>
  <c r="AK968" i="13"/>
  <c r="X968" i="13"/>
  <c r="T968" i="13"/>
  <c r="AL967" i="13"/>
  <c r="AK967" i="13"/>
  <c r="X967" i="13"/>
  <c r="T967" i="13"/>
  <c r="AL966" i="13"/>
  <c r="AK966" i="13"/>
  <c r="X966" i="13"/>
  <c r="T966" i="13"/>
  <c r="AL965" i="13"/>
  <c r="AK965" i="13"/>
  <c r="X965" i="13"/>
  <c r="T965" i="13"/>
  <c r="AL964" i="13"/>
  <c r="AK964" i="13"/>
  <c r="X964" i="13"/>
  <c r="T964" i="13"/>
  <c r="AL963" i="13"/>
  <c r="AK963" i="13"/>
  <c r="X963" i="13"/>
  <c r="T963" i="13"/>
  <c r="AL962" i="13"/>
  <c r="AK962" i="13"/>
  <c r="X962" i="13"/>
  <c r="T962" i="13"/>
  <c r="AL961" i="13"/>
  <c r="AK961" i="13"/>
  <c r="X961" i="13"/>
  <c r="T961" i="13"/>
  <c r="AL960" i="13"/>
  <c r="AK960" i="13"/>
  <c r="X960" i="13"/>
  <c r="T960" i="13"/>
  <c r="AL959" i="13"/>
  <c r="AK959" i="13"/>
  <c r="X959" i="13"/>
  <c r="T959" i="13"/>
  <c r="AL958" i="13"/>
  <c r="AK958" i="13"/>
  <c r="X958" i="13"/>
  <c r="T958" i="13"/>
  <c r="AL957" i="13"/>
  <c r="AK957" i="13"/>
  <c r="X957" i="13"/>
  <c r="T957" i="13"/>
  <c r="AL956" i="13"/>
  <c r="AK956" i="13"/>
  <c r="X956" i="13"/>
  <c r="T956" i="13"/>
  <c r="AL955" i="13"/>
  <c r="AK955" i="13"/>
  <c r="X955" i="13"/>
  <c r="T955" i="13"/>
  <c r="AL954" i="13"/>
  <c r="AK954" i="13"/>
  <c r="X954" i="13"/>
  <c r="T954" i="13"/>
  <c r="AL953" i="13"/>
  <c r="AK953" i="13"/>
  <c r="X953" i="13"/>
  <c r="T953" i="13"/>
  <c r="AL952" i="13"/>
  <c r="AK952" i="13"/>
  <c r="X952" i="13"/>
  <c r="T952" i="13"/>
  <c r="AL951" i="13"/>
  <c r="AK951" i="13"/>
  <c r="X951" i="13"/>
  <c r="T951" i="13"/>
  <c r="AL950" i="13"/>
  <c r="AK950" i="13"/>
  <c r="X950" i="13"/>
  <c r="T950" i="13"/>
  <c r="AL949" i="13"/>
  <c r="AK949" i="13"/>
  <c r="X949" i="13"/>
  <c r="T949" i="13"/>
  <c r="AL948" i="13"/>
  <c r="AK948" i="13"/>
  <c r="X948" i="13"/>
  <c r="T948" i="13"/>
  <c r="AL947" i="13"/>
  <c r="AK947" i="13"/>
  <c r="X947" i="13"/>
  <c r="T947" i="13"/>
  <c r="AL946" i="13"/>
  <c r="AK946" i="13"/>
  <c r="T946" i="13"/>
  <c r="AL945" i="13"/>
  <c r="AK945" i="13"/>
  <c r="T945" i="13"/>
  <c r="AL944" i="13"/>
  <c r="AK944" i="13"/>
  <c r="T944" i="13"/>
  <c r="AL943" i="13"/>
  <c r="AK943" i="13"/>
  <c r="X943" i="13"/>
  <c r="T943" i="13"/>
  <c r="AL942" i="13"/>
  <c r="AK942" i="13"/>
  <c r="X942" i="13"/>
  <c r="T942" i="13"/>
  <c r="AL941" i="13"/>
  <c r="AK941" i="13"/>
  <c r="X941" i="13"/>
  <c r="T941" i="13"/>
  <c r="AL940" i="13"/>
  <c r="AK940" i="13"/>
  <c r="X940" i="13"/>
  <c r="T940" i="13"/>
  <c r="AL939" i="13"/>
  <c r="AK939" i="13"/>
  <c r="X939" i="13"/>
  <c r="T939" i="13"/>
  <c r="AL938" i="13"/>
  <c r="AK938" i="13"/>
  <c r="X938" i="13"/>
  <c r="T938" i="13"/>
  <c r="AL937" i="13"/>
  <c r="AK937" i="13"/>
  <c r="X937" i="13"/>
  <c r="T937" i="13"/>
  <c r="AL936" i="13"/>
  <c r="AK936" i="13"/>
  <c r="X936" i="13"/>
  <c r="T936" i="13"/>
  <c r="AL935" i="13"/>
  <c r="AK935" i="13"/>
  <c r="X935" i="13"/>
  <c r="T935" i="13"/>
  <c r="AL934" i="13"/>
  <c r="AK934" i="13"/>
  <c r="X934" i="13"/>
  <c r="T934" i="13"/>
  <c r="AL933" i="13"/>
  <c r="AK933" i="13"/>
  <c r="X933" i="13"/>
  <c r="T933" i="13"/>
  <c r="AL932" i="13"/>
  <c r="AK932" i="13"/>
  <c r="X932" i="13"/>
  <c r="T932" i="13"/>
  <c r="AL931" i="13"/>
  <c r="AK931" i="13"/>
  <c r="X931" i="13"/>
  <c r="T931" i="13"/>
  <c r="AL930" i="13"/>
  <c r="AK930" i="13"/>
  <c r="X930" i="13"/>
  <c r="T930" i="13"/>
  <c r="AL929" i="13"/>
  <c r="AK929" i="13"/>
  <c r="X929" i="13"/>
  <c r="T929" i="13"/>
  <c r="AL928" i="13"/>
  <c r="AK928" i="13"/>
  <c r="X928" i="13"/>
  <c r="T928" i="13"/>
  <c r="AL927" i="13"/>
  <c r="AK927" i="13"/>
  <c r="X927" i="13"/>
  <c r="T927" i="13"/>
  <c r="AL926" i="13"/>
  <c r="AK926" i="13"/>
  <c r="X926" i="13"/>
  <c r="T926" i="13"/>
  <c r="AL925" i="13"/>
  <c r="AK925" i="13"/>
  <c r="X925" i="13"/>
  <c r="T925" i="13"/>
  <c r="AL924" i="13"/>
  <c r="AK924" i="13"/>
  <c r="X924" i="13"/>
  <c r="T924" i="13"/>
  <c r="AL923" i="13"/>
  <c r="AK923" i="13"/>
  <c r="X923" i="13"/>
  <c r="T923" i="13"/>
  <c r="AL922" i="13"/>
  <c r="AK922" i="13"/>
  <c r="X922" i="13"/>
  <c r="T922" i="13"/>
  <c r="AL921" i="13"/>
  <c r="AK921" i="13"/>
  <c r="X921" i="13"/>
  <c r="T921" i="13"/>
  <c r="AL920" i="13"/>
  <c r="AK920" i="13"/>
  <c r="X920" i="13"/>
  <c r="T920" i="13"/>
  <c r="AL919" i="13"/>
  <c r="AK919" i="13"/>
  <c r="X919" i="13"/>
  <c r="T919" i="13"/>
  <c r="AL918" i="13"/>
  <c r="AK918" i="13"/>
  <c r="X918" i="13"/>
  <c r="T918" i="13"/>
  <c r="AL917" i="13"/>
  <c r="AK917" i="13"/>
  <c r="X917" i="13"/>
  <c r="T917" i="13"/>
  <c r="AL916" i="13"/>
  <c r="AK916" i="13"/>
  <c r="X916" i="13"/>
  <c r="T916" i="13"/>
  <c r="AL915" i="13"/>
  <c r="AK915" i="13"/>
  <c r="X915" i="13"/>
  <c r="T915" i="13"/>
  <c r="AL914" i="13"/>
  <c r="AK914" i="13"/>
  <c r="X914" i="13"/>
  <c r="T914" i="13"/>
  <c r="AL913" i="13"/>
  <c r="AK913" i="13"/>
  <c r="T913" i="13"/>
  <c r="AL912" i="13"/>
  <c r="AK912" i="13"/>
  <c r="T912" i="13"/>
  <c r="AL911" i="13"/>
  <c r="AK911" i="13"/>
  <c r="T911" i="13"/>
  <c r="AL910" i="13"/>
  <c r="AK910" i="13"/>
  <c r="X910" i="13"/>
  <c r="T910" i="13"/>
  <c r="AL909" i="13"/>
  <c r="AK909" i="13"/>
  <c r="X909" i="13"/>
  <c r="T909" i="13"/>
  <c r="AL908" i="13"/>
  <c r="AK908" i="13"/>
  <c r="X908" i="13"/>
  <c r="T908" i="13"/>
  <c r="AL907" i="13"/>
  <c r="AK907" i="13"/>
  <c r="X907" i="13"/>
  <c r="T907" i="13"/>
  <c r="AL906" i="13"/>
  <c r="AK906" i="13"/>
  <c r="X906" i="13"/>
  <c r="T906" i="13"/>
  <c r="AL905" i="13"/>
  <c r="AK905" i="13"/>
  <c r="X905" i="13"/>
  <c r="T905" i="13"/>
  <c r="AL904" i="13"/>
  <c r="AK904" i="13"/>
  <c r="X904" i="13"/>
  <c r="T904" i="13"/>
  <c r="AL903" i="13"/>
  <c r="AK903" i="13"/>
  <c r="X903" i="13"/>
  <c r="T903" i="13"/>
  <c r="AL902" i="13"/>
  <c r="AK902" i="13"/>
  <c r="X902" i="13"/>
  <c r="T902" i="13"/>
  <c r="AL901" i="13"/>
  <c r="AK901" i="13"/>
  <c r="X901" i="13"/>
  <c r="T901" i="13"/>
  <c r="AL900" i="13"/>
  <c r="AK900" i="13"/>
  <c r="X900" i="13"/>
  <c r="T900" i="13"/>
  <c r="AL899" i="13"/>
  <c r="AK899" i="13"/>
  <c r="X899" i="13"/>
  <c r="T899" i="13"/>
  <c r="AL898" i="13"/>
  <c r="AK898" i="13"/>
  <c r="X898" i="13"/>
  <c r="T898" i="13"/>
  <c r="AL897" i="13"/>
  <c r="AK897" i="13"/>
  <c r="X897" i="13"/>
  <c r="T897" i="13"/>
  <c r="AL896" i="13"/>
  <c r="AK896" i="13"/>
  <c r="X896" i="13"/>
  <c r="T896" i="13"/>
  <c r="AL895" i="13"/>
  <c r="AK895" i="13"/>
  <c r="X895" i="13"/>
  <c r="T895" i="13"/>
  <c r="AL894" i="13"/>
  <c r="AK894" i="13"/>
  <c r="X894" i="13"/>
  <c r="T894" i="13"/>
  <c r="AL893" i="13"/>
  <c r="AK893" i="13"/>
  <c r="X893" i="13"/>
  <c r="T893" i="13"/>
  <c r="AL892" i="13"/>
  <c r="AK892" i="13"/>
  <c r="X892" i="13"/>
  <c r="T892" i="13"/>
  <c r="AL891" i="13"/>
  <c r="AK891" i="13"/>
  <c r="X891" i="13"/>
  <c r="T891" i="13"/>
  <c r="AL890" i="13"/>
  <c r="AK890" i="13"/>
  <c r="X890" i="13"/>
  <c r="T890" i="13"/>
  <c r="AL889" i="13"/>
  <c r="AK889" i="13"/>
  <c r="X889" i="13"/>
  <c r="T889" i="13"/>
  <c r="AL888" i="13"/>
  <c r="AK888" i="13"/>
  <c r="X888" i="13"/>
  <c r="T888" i="13"/>
  <c r="AL887" i="13"/>
  <c r="AK887" i="13"/>
  <c r="X887" i="13"/>
  <c r="T887" i="13"/>
  <c r="AL886" i="13"/>
  <c r="AK886" i="13"/>
  <c r="X886" i="13"/>
  <c r="T886" i="13"/>
  <c r="AL885" i="13"/>
  <c r="AK885" i="13"/>
  <c r="X885" i="13"/>
  <c r="T885" i="13"/>
  <c r="AL884" i="13"/>
  <c r="AK884" i="13"/>
  <c r="X884" i="13"/>
  <c r="T884" i="13"/>
  <c r="AL883" i="13"/>
  <c r="AK883" i="13"/>
  <c r="X883" i="13"/>
  <c r="T883" i="13"/>
  <c r="AL882" i="13"/>
  <c r="AK882" i="13"/>
  <c r="X882" i="13"/>
  <c r="T882" i="13"/>
  <c r="AL881" i="13"/>
  <c r="AK881" i="13"/>
  <c r="X881" i="13"/>
  <c r="T881" i="13"/>
  <c r="AL880" i="13"/>
  <c r="AK880" i="13"/>
  <c r="X880" i="13"/>
  <c r="T880" i="13"/>
  <c r="AL879" i="13"/>
  <c r="AK879" i="13"/>
  <c r="X879" i="13"/>
  <c r="T879" i="13"/>
  <c r="AL878" i="13"/>
  <c r="AK878" i="13"/>
  <c r="X878" i="13"/>
  <c r="T878" i="13"/>
  <c r="AL877" i="13"/>
  <c r="AK877" i="13"/>
  <c r="X877" i="13"/>
  <c r="T877" i="13"/>
  <c r="AL876" i="13"/>
  <c r="AK876" i="13"/>
  <c r="X876" i="13"/>
  <c r="T876" i="13"/>
  <c r="AL875" i="13"/>
  <c r="AK875" i="13"/>
  <c r="X875" i="13"/>
  <c r="T875" i="13"/>
  <c r="AL874" i="13"/>
  <c r="AK874" i="13"/>
  <c r="X874" i="13"/>
  <c r="T874" i="13"/>
  <c r="AL873" i="13"/>
  <c r="AK873" i="13"/>
  <c r="X873" i="13"/>
  <c r="T873" i="13"/>
  <c r="AL872" i="13"/>
  <c r="AK872" i="13"/>
  <c r="X872" i="13"/>
  <c r="T872" i="13"/>
  <c r="AL871" i="13"/>
  <c r="AK871" i="13"/>
  <c r="X871" i="13"/>
  <c r="T871" i="13"/>
  <c r="AL870" i="13"/>
  <c r="AK870" i="13"/>
  <c r="X870" i="13"/>
  <c r="T870" i="13"/>
  <c r="AL869" i="13"/>
  <c r="AK869" i="13"/>
  <c r="X869" i="13"/>
  <c r="T869" i="13"/>
  <c r="AL868" i="13"/>
  <c r="AK868" i="13"/>
  <c r="X868" i="13"/>
  <c r="T868" i="13"/>
  <c r="AL867" i="13"/>
  <c r="AK867" i="13"/>
  <c r="X867" i="13"/>
  <c r="T867" i="13"/>
  <c r="AL866" i="13"/>
  <c r="AK866" i="13"/>
  <c r="X866" i="13"/>
  <c r="T866" i="13"/>
  <c r="AL865" i="13"/>
  <c r="AK865" i="13"/>
  <c r="X865" i="13"/>
  <c r="T865" i="13"/>
  <c r="AL864" i="13"/>
  <c r="AK864" i="13"/>
  <c r="X864" i="13"/>
  <c r="T864" i="13"/>
  <c r="AL863" i="13"/>
  <c r="AK863" i="13"/>
  <c r="X863" i="13"/>
  <c r="T863" i="13"/>
  <c r="AL862" i="13"/>
  <c r="AK862" i="13"/>
  <c r="T862" i="13"/>
  <c r="AL861" i="13"/>
  <c r="AK861" i="13"/>
  <c r="T861" i="13"/>
  <c r="AL860" i="13"/>
  <c r="AK860" i="13"/>
  <c r="T860" i="13"/>
  <c r="AL859" i="13"/>
  <c r="AK859" i="13"/>
  <c r="X859" i="13"/>
  <c r="T859" i="13"/>
  <c r="AL858" i="13"/>
  <c r="AK858" i="13"/>
  <c r="X858" i="13"/>
  <c r="T858" i="13"/>
  <c r="AL857" i="13"/>
  <c r="AK857" i="13"/>
  <c r="X857" i="13"/>
  <c r="T857" i="13"/>
  <c r="AL856" i="13"/>
  <c r="AK856" i="13"/>
  <c r="X856" i="13"/>
  <c r="T856" i="13"/>
  <c r="AL855" i="13"/>
  <c r="AK855" i="13"/>
  <c r="X855" i="13"/>
  <c r="T855" i="13"/>
  <c r="AL854" i="13"/>
  <c r="AK854" i="13"/>
  <c r="X854" i="13"/>
  <c r="T854" i="13"/>
  <c r="AL853" i="13"/>
  <c r="AK853" i="13"/>
  <c r="X853" i="13"/>
  <c r="T853" i="13"/>
  <c r="AL852" i="13"/>
  <c r="AK852" i="13"/>
  <c r="X852" i="13"/>
  <c r="T852" i="13"/>
  <c r="AL851" i="13"/>
  <c r="AK851" i="13"/>
  <c r="X851" i="13"/>
  <c r="T851" i="13"/>
  <c r="AL850" i="13"/>
  <c r="AK850" i="13"/>
  <c r="X850" i="13"/>
  <c r="T850" i="13"/>
  <c r="AL849" i="13"/>
  <c r="AK849" i="13"/>
  <c r="X849" i="13"/>
  <c r="T849" i="13"/>
  <c r="AL848" i="13"/>
  <c r="AK848" i="13"/>
  <c r="X848" i="13"/>
  <c r="T848" i="13"/>
  <c r="AL847" i="13"/>
  <c r="AK847" i="13"/>
  <c r="X847" i="13"/>
  <c r="T847" i="13"/>
  <c r="AL846" i="13"/>
  <c r="AK846" i="13"/>
  <c r="X846" i="13"/>
  <c r="T846" i="13"/>
  <c r="AL845" i="13"/>
  <c r="AK845" i="13"/>
  <c r="X845" i="13"/>
  <c r="T845" i="13"/>
  <c r="AL844" i="13"/>
  <c r="AK844" i="13"/>
  <c r="X844" i="13"/>
  <c r="T844" i="13"/>
  <c r="AL843" i="13"/>
  <c r="AK843" i="13"/>
  <c r="X843" i="13"/>
  <c r="T843" i="13"/>
  <c r="AL842" i="13"/>
  <c r="AK842" i="13"/>
  <c r="X842" i="13"/>
  <c r="T842" i="13"/>
  <c r="AL841" i="13"/>
  <c r="AK841" i="13"/>
  <c r="X841" i="13"/>
  <c r="T841" i="13"/>
  <c r="AL840" i="13"/>
  <c r="AK840" i="13"/>
  <c r="X840" i="13"/>
  <c r="T840" i="13"/>
  <c r="AL839" i="13"/>
  <c r="AK839" i="13"/>
  <c r="X839" i="13"/>
  <c r="T839" i="13"/>
  <c r="AL838" i="13"/>
  <c r="AK838" i="13"/>
  <c r="X838" i="13"/>
  <c r="T838" i="13"/>
  <c r="AL837" i="13"/>
  <c r="AK837" i="13"/>
  <c r="X837" i="13"/>
  <c r="T837" i="13"/>
  <c r="AL836" i="13"/>
  <c r="AK836" i="13"/>
  <c r="X836" i="13"/>
  <c r="T836" i="13"/>
  <c r="AL835" i="13"/>
  <c r="AK835" i="13"/>
  <c r="X835" i="13"/>
  <c r="T835" i="13"/>
  <c r="AL834" i="13"/>
  <c r="AK834" i="13"/>
  <c r="X834" i="13"/>
  <c r="T834" i="13"/>
  <c r="AL833" i="13"/>
  <c r="AK833" i="13"/>
  <c r="X833" i="13"/>
  <c r="T833" i="13"/>
  <c r="AL832" i="13"/>
  <c r="AK832" i="13"/>
  <c r="X832" i="13"/>
  <c r="T832" i="13"/>
  <c r="AL831" i="13"/>
  <c r="AK831" i="13"/>
  <c r="X831" i="13"/>
  <c r="T831" i="13"/>
  <c r="AL830" i="13"/>
  <c r="AK830" i="13"/>
  <c r="X830" i="13"/>
  <c r="T830" i="13"/>
  <c r="AL829" i="13"/>
  <c r="AK829" i="13"/>
  <c r="X829" i="13"/>
  <c r="T829" i="13"/>
  <c r="AL828" i="13"/>
  <c r="AK828" i="13"/>
  <c r="X828" i="13"/>
  <c r="T828" i="13"/>
  <c r="AL827" i="13"/>
  <c r="AK827" i="13"/>
  <c r="X827" i="13"/>
  <c r="T827" i="13"/>
  <c r="AL826" i="13"/>
  <c r="AK826" i="13"/>
  <c r="X826" i="13"/>
  <c r="T826" i="13"/>
  <c r="AL825" i="13"/>
  <c r="AK825" i="13"/>
  <c r="X825" i="13"/>
  <c r="T825" i="13"/>
  <c r="AL824" i="13"/>
  <c r="AK824" i="13"/>
  <c r="X824" i="13"/>
  <c r="T824" i="13"/>
  <c r="AL823" i="13"/>
  <c r="AK823" i="13"/>
  <c r="X823" i="13"/>
  <c r="T823" i="13"/>
  <c r="AL822" i="13"/>
  <c r="AK822" i="13"/>
  <c r="X822" i="13"/>
  <c r="T822" i="13"/>
  <c r="AL821" i="13"/>
  <c r="AK821" i="13"/>
  <c r="X821" i="13"/>
  <c r="T821" i="13"/>
  <c r="AL820" i="13"/>
  <c r="AK820" i="13"/>
  <c r="X820" i="13"/>
  <c r="T820" i="13"/>
  <c r="AL819" i="13"/>
  <c r="AK819" i="13"/>
  <c r="X819" i="13"/>
  <c r="T819" i="13"/>
  <c r="AL818" i="13"/>
  <c r="AK818" i="13"/>
  <c r="X818" i="13"/>
  <c r="T818" i="13"/>
  <c r="AL817" i="13"/>
  <c r="AK817" i="13"/>
  <c r="T817" i="13"/>
  <c r="AL816" i="13"/>
  <c r="AK816" i="13"/>
  <c r="T816" i="13"/>
  <c r="AL815" i="13"/>
  <c r="AK815" i="13"/>
  <c r="T815" i="13"/>
  <c r="AL814" i="13"/>
  <c r="AK814" i="13"/>
  <c r="X814" i="13"/>
  <c r="T814" i="13"/>
  <c r="AL813" i="13"/>
  <c r="AK813" i="13"/>
  <c r="AJ813" i="13"/>
  <c r="AM813" i="13" s="1"/>
  <c r="X813" i="13"/>
  <c r="T813" i="13"/>
  <c r="AL812" i="13"/>
  <c r="AK812" i="13"/>
  <c r="X812" i="13"/>
  <c r="T812" i="13"/>
  <c r="AL811" i="13"/>
  <c r="AK811" i="13"/>
  <c r="X811" i="13"/>
  <c r="T811" i="13"/>
  <c r="AL810" i="13"/>
  <c r="AK810" i="13"/>
  <c r="X810" i="13"/>
  <c r="T810" i="13"/>
  <c r="AL809" i="13"/>
  <c r="AK809" i="13"/>
  <c r="X809" i="13"/>
  <c r="T809" i="13"/>
  <c r="AL808" i="13"/>
  <c r="AK808" i="13"/>
  <c r="X808" i="13"/>
  <c r="T808" i="13"/>
  <c r="AL807" i="13"/>
  <c r="AK807" i="13"/>
  <c r="X807" i="13"/>
  <c r="T807" i="13"/>
  <c r="AL806" i="13"/>
  <c r="AK806" i="13"/>
  <c r="X806" i="13"/>
  <c r="T806" i="13"/>
  <c r="AL805" i="13"/>
  <c r="AK805" i="13"/>
  <c r="X805" i="13"/>
  <c r="T805" i="13"/>
  <c r="AL804" i="13"/>
  <c r="AK804" i="13"/>
  <c r="X804" i="13"/>
  <c r="T804" i="13"/>
  <c r="AL803" i="13"/>
  <c r="AK803" i="13"/>
  <c r="X803" i="13"/>
  <c r="T803" i="13"/>
  <c r="AL802" i="13"/>
  <c r="AK802" i="13"/>
  <c r="X802" i="13"/>
  <c r="T802" i="13"/>
  <c r="AL801" i="13"/>
  <c r="AK801" i="13"/>
  <c r="X801" i="13"/>
  <c r="T801" i="13"/>
  <c r="AL800" i="13"/>
  <c r="AK800" i="13"/>
  <c r="X800" i="13"/>
  <c r="T800" i="13"/>
  <c r="AL799" i="13"/>
  <c r="AK799" i="13"/>
  <c r="X799" i="13"/>
  <c r="T799" i="13"/>
  <c r="AL798" i="13"/>
  <c r="AK798" i="13"/>
  <c r="X798" i="13"/>
  <c r="T798" i="13"/>
  <c r="AL797" i="13"/>
  <c r="AK797" i="13"/>
  <c r="X797" i="13"/>
  <c r="T797" i="13"/>
  <c r="AL796" i="13"/>
  <c r="AK796" i="13"/>
  <c r="X796" i="13"/>
  <c r="T796" i="13"/>
  <c r="AL795" i="13"/>
  <c r="AK795" i="13"/>
  <c r="X795" i="13"/>
  <c r="T795" i="13"/>
  <c r="AL794" i="13"/>
  <c r="AK794" i="13"/>
  <c r="X794" i="13"/>
  <c r="T794" i="13"/>
  <c r="AL793" i="13"/>
  <c r="AK793" i="13"/>
  <c r="X793" i="13"/>
  <c r="T793" i="13"/>
  <c r="AL792" i="13"/>
  <c r="AK792" i="13"/>
  <c r="X792" i="13"/>
  <c r="T792" i="13"/>
  <c r="AL791" i="13"/>
  <c r="AK791" i="13"/>
  <c r="X791" i="13"/>
  <c r="T791" i="13"/>
  <c r="AL790" i="13"/>
  <c r="AK790" i="13"/>
  <c r="X790" i="13"/>
  <c r="T790" i="13"/>
  <c r="AL789" i="13"/>
  <c r="AK789" i="13"/>
  <c r="X789" i="13"/>
  <c r="T789" i="13"/>
  <c r="AL788" i="13"/>
  <c r="AK788" i="13"/>
  <c r="X788" i="13"/>
  <c r="T788" i="13"/>
  <c r="AL787" i="13"/>
  <c r="AK787" i="13"/>
  <c r="X787" i="13"/>
  <c r="T787" i="13"/>
  <c r="AL786" i="13"/>
  <c r="AK786" i="13"/>
  <c r="X786" i="13"/>
  <c r="T786" i="13"/>
  <c r="AL785" i="13"/>
  <c r="AK785" i="13"/>
  <c r="X785" i="13"/>
  <c r="T785" i="13"/>
  <c r="AL784" i="13"/>
  <c r="AK784" i="13"/>
  <c r="T784" i="13"/>
  <c r="AL783" i="13"/>
  <c r="AK783" i="13"/>
  <c r="T783" i="13"/>
  <c r="AL782" i="13"/>
  <c r="AK782" i="13"/>
  <c r="T782" i="13"/>
  <c r="AL781" i="13"/>
  <c r="AK781" i="13"/>
  <c r="X781" i="13"/>
  <c r="T781" i="13"/>
  <c r="AL780" i="13"/>
  <c r="AK780" i="13"/>
  <c r="X780" i="13"/>
  <c r="T780" i="13"/>
  <c r="AL779" i="13"/>
  <c r="AK779" i="13"/>
  <c r="X779" i="13"/>
  <c r="T779" i="13"/>
  <c r="AL778" i="13"/>
  <c r="AK778" i="13"/>
  <c r="X778" i="13"/>
  <c r="T778" i="13"/>
  <c r="AL777" i="13"/>
  <c r="AK777" i="13"/>
  <c r="X777" i="13"/>
  <c r="T777" i="13"/>
  <c r="AL776" i="13"/>
  <c r="AK776" i="13"/>
  <c r="X776" i="13"/>
  <c r="T776" i="13"/>
  <c r="AL775" i="13"/>
  <c r="AK775" i="13"/>
  <c r="X775" i="13"/>
  <c r="T775" i="13"/>
  <c r="AL774" i="13"/>
  <c r="AK774" i="13"/>
  <c r="X774" i="13"/>
  <c r="T774" i="13"/>
  <c r="AL773" i="13"/>
  <c r="AK773" i="13"/>
  <c r="X773" i="13"/>
  <c r="T773" i="13"/>
  <c r="AL772" i="13"/>
  <c r="AK772" i="13"/>
  <c r="X772" i="13"/>
  <c r="T772" i="13"/>
  <c r="AL771" i="13"/>
  <c r="AK771" i="13"/>
  <c r="X771" i="13"/>
  <c r="T771" i="13"/>
  <c r="AL770" i="13"/>
  <c r="AK770" i="13"/>
  <c r="X770" i="13"/>
  <c r="T770" i="13"/>
  <c r="AL769" i="13"/>
  <c r="AK769" i="13"/>
  <c r="X769" i="13"/>
  <c r="T769" i="13"/>
  <c r="AL768" i="13"/>
  <c r="AK768" i="13"/>
  <c r="X768" i="13"/>
  <c r="T768" i="13"/>
  <c r="AL767" i="13"/>
  <c r="AK767" i="13"/>
  <c r="X767" i="13"/>
  <c r="T767" i="13"/>
  <c r="AL766" i="13"/>
  <c r="AK766" i="13"/>
  <c r="X766" i="13"/>
  <c r="T766" i="13"/>
  <c r="AL765" i="13"/>
  <c r="AK765" i="13"/>
  <c r="X765" i="13"/>
  <c r="T765" i="13"/>
  <c r="AL764" i="13"/>
  <c r="AK764" i="13"/>
  <c r="X764" i="13"/>
  <c r="T764" i="13"/>
  <c r="AL763" i="13"/>
  <c r="AK763" i="13"/>
  <c r="X763" i="13"/>
  <c r="T763" i="13"/>
  <c r="AL762" i="13"/>
  <c r="AK762" i="13"/>
  <c r="X762" i="13"/>
  <c r="T762" i="13"/>
  <c r="AL761" i="13"/>
  <c r="AK761" i="13"/>
  <c r="X761" i="13"/>
  <c r="T761" i="13"/>
  <c r="AL760" i="13"/>
  <c r="AK760" i="13"/>
  <c r="X760" i="13"/>
  <c r="T760" i="13"/>
  <c r="AL759" i="13"/>
  <c r="AK759" i="13"/>
  <c r="X759" i="13"/>
  <c r="T759" i="13"/>
  <c r="AL758" i="13"/>
  <c r="AK758" i="13"/>
  <c r="X758" i="13"/>
  <c r="T758" i="13"/>
  <c r="AL757" i="13"/>
  <c r="AK757" i="13"/>
  <c r="X757" i="13"/>
  <c r="T757" i="13"/>
  <c r="AL756" i="13"/>
  <c r="AK756" i="13"/>
  <c r="X756" i="13"/>
  <c r="T756" i="13"/>
  <c r="AL755" i="13"/>
  <c r="AK755" i="13"/>
  <c r="X755" i="13"/>
  <c r="T755" i="13"/>
  <c r="AL754" i="13"/>
  <c r="AK754" i="13"/>
  <c r="X754" i="13"/>
  <c r="T754" i="13"/>
  <c r="AL753" i="13"/>
  <c r="AK753" i="13"/>
  <c r="X753" i="13"/>
  <c r="T753" i="13"/>
  <c r="AL752" i="13"/>
  <c r="AK752" i="13"/>
  <c r="X752" i="13"/>
  <c r="T752" i="13"/>
  <c r="AL751" i="13"/>
  <c r="AK751" i="13"/>
  <c r="X751" i="13"/>
  <c r="T751" i="13"/>
  <c r="AL750" i="13"/>
  <c r="AK750" i="13"/>
  <c r="X750" i="13"/>
  <c r="T750" i="13"/>
  <c r="AL749" i="13"/>
  <c r="AK749" i="13"/>
  <c r="X749" i="13"/>
  <c r="T749" i="13"/>
  <c r="AL748" i="13"/>
  <c r="AK748" i="13"/>
  <c r="X748" i="13"/>
  <c r="T748" i="13"/>
  <c r="AL747" i="13"/>
  <c r="AK747" i="13"/>
  <c r="X747" i="13"/>
  <c r="T747" i="13"/>
  <c r="AL746" i="13"/>
  <c r="AK746" i="13"/>
  <c r="X746" i="13"/>
  <c r="T746" i="13"/>
  <c r="AL745" i="13"/>
  <c r="AK745" i="13"/>
  <c r="X745" i="13"/>
  <c r="T745" i="13"/>
  <c r="AL744" i="13"/>
  <c r="AK744" i="13"/>
  <c r="X744" i="13"/>
  <c r="T744" i="13"/>
  <c r="AL743" i="13"/>
  <c r="AK743" i="13"/>
  <c r="X743" i="13"/>
  <c r="T743" i="13"/>
  <c r="AL742" i="13"/>
  <c r="AK742" i="13"/>
  <c r="X742" i="13"/>
  <c r="T742" i="13"/>
  <c r="AL741" i="13"/>
  <c r="AK741" i="13"/>
  <c r="X741" i="13"/>
  <c r="T741" i="13"/>
  <c r="AL740" i="13"/>
  <c r="AK740" i="13"/>
  <c r="X740" i="13"/>
  <c r="T740" i="13"/>
  <c r="AL739" i="13"/>
  <c r="AK739" i="13"/>
  <c r="X739" i="13"/>
  <c r="T739" i="13"/>
  <c r="AL738" i="13"/>
  <c r="AK738" i="13"/>
  <c r="X738" i="13"/>
  <c r="T738" i="13"/>
  <c r="AL737" i="13"/>
  <c r="AK737" i="13"/>
  <c r="X737" i="13"/>
  <c r="T737" i="13"/>
  <c r="AL736" i="13"/>
  <c r="AK736" i="13"/>
  <c r="X736" i="13"/>
  <c r="T736" i="13"/>
  <c r="AL735" i="13"/>
  <c r="AK735" i="13"/>
  <c r="X735" i="13"/>
  <c r="T735" i="13"/>
  <c r="AL734" i="13"/>
  <c r="AK734" i="13"/>
  <c r="X734" i="13"/>
  <c r="T734" i="13"/>
  <c r="AL733" i="13"/>
  <c r="AK733" i="13"/>
  <c r="T733" i="13"/>
  <c r="AL732" i="13"/>
  <c r="AK732" i="13"/>
  <c r="T732" i="13"/>
  <c r="AL731" i="13"/>
  <c r="AK731" i="13"/>
  <c r="T731" i="13"/>
  <c r="AL730" i="13"/>
  <c r="AK730" i="13"/>
  <c r="X730" i="13"/>
  <c r="T730" i="13"/>
  <c r="AL729" i="13"/>
  <c r="AK729" i="13"/>
  <c r="X729" i="13"/>
  <c r="T729" i="13"/>
  <c r="AL728" i="13"/>
  <c r="AK728" i="13"/>
  <c r="X728" i="13"/>
  <c r="T728" i="13"/>
  <c r="AL727" i="13"/>
  <c r="AK727" i="13"/>
  <c r="X727" i="13"/>
  <c r="T727" i="13"/>
  <c r="AL726" i="13"/>
  <c r="AK726" i="13"/>
  <c r="X726" i="13"/>
  <c r="T726" i="13"/>
  <c r="AL725" i="13"/>
  <c r="AK725" i="13"/>
  <c r="X725" i="13"/>
  <c r="T725" i="13"/>
  <c r="AL724" i="13"/>
  <c r="AK724" i="13"/>
  <c r="X724" i="13"/>
  <c r="T724" i="13"/>
  <c r="AL723" i="13"/>
  <c r="AK723" i="13"/>
  <c r="X723" i="13"/>
  <c r="T723" i="13"/>
  <c r="AL722" i="13"/>
  <c r="AK722" i="13"/>
  <c r="X722" i="13"/>
  <c r="T722" i="13"/>
  <c r="AL721" i="13"/>
  <c r="AK721" i="13"/>
  <c r="X721" i="13"/>
  <c r="T721" i="13"/>
  <c r="AL720" i="13"/>
  <c r="AK720" i="13"/>
  <c r="X720" i="13"/>
  <c r="T720" i="13"/>
  <c r="AL719" i="13"/>
  <c r="AK719" i="13"/>
  <c r="X719" i="13"/>
  <c r="T719" i="13"/>
  <c r="AL718" i="13"/>
  <c r="AK718" i="13"/>
  <c r="X718" i="13"/>
  <c r="T718" i="13"/>
  <c r="AL717" i="13"/>
  <c r="AK717" i="13"/>
  <c r="X717" i="13"/>
  <c r="T717" i="13"/>
  <c r="AL716" i="13"/>
  <c r="AK716" i="13"/>
  <c r="X716" i="13"/>
  <c r="T716" i="13"/>
  <c r="AL715" i="13"/>
  <c r="AK715" i="13"/>
  <c r="X715" i="13"/>
  <c r="T715" i="13"/>
  <c r="AL714" i="13"/>
  <c r="AK714" i="13"/>
  <c r="X714" i="13"/>
  <c r="T714" i="13"/>
  <c r="AL713" i="13"/>
  <c r="AK713" i="13"/>
  <c r="X713" i="13"/>
  <c r="T713" i="13"/>
  <c r="AL712" i="13"/>
  <c r="AK712" i="13"/>
  <c r="X712" i="13"/>
  <c r="T712" i="13"/>
  <c r="AL711" i="13"/>
  <c r="AK711" i="13"/>
  <c r="X711" i="13"/>
  <c r="T711" i="13"/>
  <c r="AL710" i="13"/>
  <c r="AK710" i="13"/>
  <c r="X710" i="13"/>
  <c r="T710" i="13"/>
  <c r="AL709" i="13"/>
  <c r="AK709" i="13"/>
  <c r="X709" i="13"/>
  <c r="T709" i="13"/>
  <c r="AL708" i="13"/>
  <c r="AK708" i="13"/>
  <c r="X708" i="13"/>
  <c r="T708" i="13"/>
  <c r="AL707" i="13"/>
  <c r="AK707" i="13"/>
  <c r="X707" i="13"/>
  <c r="T707" i="13"/>
  <c r="AL706" i="13"/>
  <c r="AK706" i="13"/>
  <c r="X706" i="13"/>
  <c r="T706" i="13"/>
  <c r="AL705" i="13"/>
  <c r="AK705" i="13"/>
  <c r="X705" i="13"/>
  <c r="T705" i="13"/>
  <c r="AL704" i="13"/>
  <c r="AK704" i="13"/>
  <c r="X704" i="13"/>
  <c r="T704" i="13"/>
  <c r="AL703" i="13"/>
  <c r="AK703" i="13"/>
  <c r="X703" i="13"/>
  <c r="T703" i="13"/>
  <c r="AL702" i="13"/>
  <c r="AK702" i="13"/>
  <c r="X702" i="13"/>
  <c r="T702" i="13"/>
  <c r="AL701" i="13"/>
  <c r="AK701" i="13"/>
  <c r="X701" i="13"/>
  <c r="T701" i="13"/>
  <c r="AL700" i="13"/>
  <c r="AK700" i="13"/>
  <c r="X700" i="13"/>
  <c r="T700" i="13"/>
  <c r="AL699" i="13"/>
  <c r="AK699" i="13"/>
  <c r="X699" i="13"/>
  <c r="T699" i="13"/>
  <c r="AL698" i="13"/>
  <c r="AK698" i="13"/>
  <c r="X698" i="13"/>
  <c r="T698" i="13"/>
  <c r="AL697" i="13"/>
  <c r="AK697" i="13"/>
  <c r="X697" i="13"/>
  <c r="T697" i="13"/>
  <c r="AL696" i="13"/>
  <c r="AK696" i="13"/>
  <c r="X696" i="13"/>
  <c r="T696" i="13"/>
  <c r="AL695" i="13"/>
  <c r="AK695" i="13"/>
  <c r="X695" i="13"/>
  <c r="T695" i="13"/>
  <c r="AL694" i="13"/>
  <c r="AK694" i="13"/>
  <c r="X694" i="13"/>
  <c r="T694" i="13"/>
  <c r="AL693" i="13"/>
  <c r="AK693" i="13"/>
  <c r="X693" i="13"/>
  <c r="T693" i="13"/>
  <c r="AL692" i="13"/>
  <c r="AK692" i="13"/>
  <c r="X692" i="13"/>
  <c r="T692" i="13"/>
  <c r="AL691" i="13"/>
  <c r="AK691" i="13"/>
  <c r="X691" i="13"/>
  <c r="T691" i="13"/>
  <c r="AL690" i="13"/>
  <c r="AK690" i="13"/>
  <c r="X690" i="13"/>
  <c r="T690" i="13"/>
  <c r="AL689" i="13"/>
  <c r="AK689" i="13"/>
  <c r="X689" i="13"/>
  <c r="T689" i="13"/>
  <c r="AL688" i="13"/>
  <c r="AK688" i="13"/>
  <c r="T688" i="13"/>
  <c r="AL687" i="13"/>
  <c r="AK687" i="13"/>
  <c r="T687" i="13"/>
  <c r="AL686" i="13"/>
  <c r="AK686" i="13"/>
  <c r="T686" i="13"/>
  <c r="AL685" i="13"/>
  <c r="AK685" i="13"/>
  <c r="X685" i="13"/>
  <c r="T685" i="13"/>
  <c r="AL684" i="13"/>
  <c r="AK684" i="13"/>
  <c r="X684" i="13"/>
  <c r="T684" i="13"/>
  <c r="AL683" i="13"/>
  <c r="AK683" i="13"/>
  <c r="X683" i="13"/>
  <c r="T683" i="13"/>
  <c r="AL682" i="13"/>
  <c r="AK682" i="13"/>
  <c r="X682" i="13"/>
  <c r="T682" i="13"/>
  <c r="AL681" i="13"/>
  <c r="AK681" i="13"/>
  <c r="X681" i="13"/>
  <c r="T681" i="13"/>
  <c r="AL680" i="13"/>
  <c r="AK680" i="13"/>
  <c r="X680" i="13"/>
  <c r="T680" i="13"/>
  <c r="AL679" i="13"/>
  <c r="AK679" i="13"/>
  <c r="X679" i="13"/>
  <c r="T679" i="13"/>
  <c r="AL678" i="13"/>
  <c r="AK678" i="13"/>
  <c r="X678" i="13"/>
  <c r="T678" i="13"/>
  <c r="AL677" i="13"/>
  <c r="AK677" i="13"/>
  <c r="X677" i="13"/>
  <c r="T677" i="13"/>
  <c r="AL676" i="13"/>
  <c r="AK676" i="13"/>
  <c r="X676" i="13"/>
  <c r="T676" i="13"/>
  <c r="AL675" i="13"/>
  <c r="AK675" i="13"/>
  <c r="X675" i="13"/>
  <c r="T675" i="13"/>
  <c r="AL674" i="13"/>
  <c r="AK674" i="13"/>
  <c r="X674" i="13"/>
  <c r="T674" i="13"/>
  <c r="AL673" i="13"/>
  <c r="AK673" i="13"/>
  <c r="X673" i="13"/>
  <c r="T673" i="13"/>
  <c r="AL672" i="13"/>
  <c r="AK672" i="13"/>
  <c r="X672" i="13"/>
  <c r="T672" i="13"/>
  <c r="AL671" i="13"/>
  <c r="AK671" i="13"/>
  <c r="X671" i="13"/>
  <c r="T671" i="13"/>
  <c r="AL670" i="13"/>
  <c r="AK670" i="13"/>
  <c r="X670" i="13"/>
  <c r="T670" i="13"/>
  <c r="AL669" i="13"/>
  <c r="AK669" i="13"/>
  <c r="X669" i="13"/>
  <c r="T669" i="13"/>
  <c r="AL668" i="13"/>
  <c r="AK668" i="13"/>
  <c r="X668" i="13"/>
  <c r="T668" i="13"/>
  <c r="AL667" i="13"/>
  <c r="AK667" i="13"/>
  <c r="X667" i="13"/>
  <c r="T667" i="13"/>
  <c r="AL666" i="13"/>
  <c r="AK666" i="13"/>
  <c r="X666" i="13"/>
  <c r="T666" i="13"/>
  <c r="AL665" i="13"/>
  <c r="AK665" i="13"/>
  <c r="X665" i="13"/>
  <c r="T665" i="13"/>
  <c r="AL664" i="13"/>
  <c r="AK664" i="13"/>
  <c r="X664" i="13"/>
  <c r="T664" i="13"/>
  <c r="AL663" i="13"/>
  <c r="AK663" i="13"/>
  <c r="X663" i="13"/>
  <c r="T663" i="13"/>
  <c r="AL662" i="13"/>
  <c r="AK662" i="13"/>
  <c r="X662" i="13"/>
  <c r="T662" i="13"/>
  <c r="AL661" i="13"/>
  <c r="AK661" i="13"/>
  <c r="X661" i="13"/>
  <c r="T661" i="13"/>
  <c r="AL660" i="13"/>
  <c r="AK660" i="13"/>
  <c r="X660" i="13"/>
  <c r="T660" i="13"/>
  <c r="AL659" i="13"/>
  <c r="AK659" i="13"/>
  <c r="X659" i="13"/>
  <c r="T659" i="13"/>
  <c r="AL658" i="13"/>
  <c r="AK658" i="13"/>
  <c r="X658" i="13"/>
  <c r="T658" i="13"/>
  <c r="AL657" i="13"/>
  <c r="AK657" i="13"/>
  <c r="X657" i="13"/>
  <c r="T657" i="13"/>
  <c r="AL656" i="13"/>
  <c r="AK656" i="13"/>
  <c r="X656" i="13"/>
  <c r="T656" i="13"/>
  <c r="AL655" i="13"/>
  <c r="AK655" i="13"/>
  <c r="T655" i="13"/>
  <c r="AL654" i="13"/>
  <c r="AK654" i="13"/>
  <c r="T654" i="13"/>
  <c r="AL653" i="13"/>
  <c r="AK653" i="13"/>
  <c r="T653" i="13"/>
  <c r="AL652" i="13"/>
  <c r="AK652" i="13"/>
  <c r="X652" i="13"/>
  <c r="T652" i="13"/>
  <c r="AL651" i="13"/>
  <c r="AK651" i="13"/>
  <c r="X651" i="13"/>
  <c r="T651" i="13"/>
  <c r="AL650" i="13"/>
  <c r="AK650" i="13"/>
  <c r="X650" i="13"/>
  <c r="T650" i="13"/>
  <c r="AL649" i="13"/>
  <c r="AK649" i="13"/>
  <c r="X649" i="13"/>
  <c r="T649" i="13"/>
  <c r="AL648" i="13"/>
  <c r="AK648" i="13"/>
  <c r="AJ648" i="13"/>
  <c r="AM648" i="13" s="1"/>
  <c r="X648" i="13"/>
  <c r="T648" i="13"/>
  <c r="AL647" i="13"/>
  <c r="AK647" i="13"/>
  <c r="X647" i="13"/>
  <c r="T647" i="13"/>
  <c r="AL646" i="13"/>
  <c r="AK646" i="13"/>
  <c r="X646" i="13"/>
  <c r="T646" i="13"/>
  <c r="AL645" i="13"/>
  <c r="AK645" i="13"/>
  <c r="X645" i="13"/>
  <c r="T645" i="13"/>
  <c r="AL644" i="13"/>
  <c r="AK644" i="13"/>
  <c r="X644" i="13"/>
  <c r="T644" i="13"/>
  <c r="AL643" i="13"/>
  <c r="AK643" i="13"/>
  <c r="X643" i="13"/>
  <c r="T643" i="13"/>
  <c r="AL642" i="13"/>
  <c r="AK642" i="13"/>
  <c r="X642" i="13"/>
  <c r="T642" i="13"/>
  <c r="AL641" i="13"/>
  <c r="AK641" i="13"/>
  <c r="X641" i="13"/>
  <c r="T641" i="13"/>
  <c r="AL640" i="13"/>
  <c r="AK640" i="13"/>
  <c r="X640" i="13"/>
  <c r="T640" i="13"/>
  <c r="AL639" i="13"/>
  <c r="AK639" i="13"/>
  <c r="X639" i="13"/>
  <c r="T639" i="13"/>
  <c r="AL638" i="13"/>
  <c r="AK638" i="13"/>
  <c r="X638" i="13"/>
  <c r="T638" i="13"/>
  <c r="AL637" i="13"/>
  <c r="AK637" i="13"/>
  <c r="X637" i="13"/>
  <c r="T637" i="13"/>
  <c r="AL636" i="13"/>
  <c r="AK636" i="13"/>
  <c r="X636" i="13"/>
  <c r="T636" i="13"/>
  <c r="AL635" i="13"/>
  <c r="AK635" i="13"/>
  <c r="X635" i="13"/>
  <c r="T635" i="13"/>
  <c r="AL634" i="13"/>
  <c r="AK634" i="13"/>
  <c r="X634" i="13"/>
  <c r="T634" i="13"/>
  <c r="AL633" i="13"/>
  <c r="AK633" i="13"/>
  <c r="X633" i="13"/>
  <c r="T633" i="13"/>
  <c r="AL632" i="13"/>
  <c r="AK632" i="13"/>
  <c r="X632" i="13"/>
  <c r="T632" i="13"/>
  <c r="AL631" i="13"/>
  <c r="AK631" i="13"/>
  <c r="X631" i="13"/>
  <c r="T631" i="13"/>
  <c r="AL630" i="13"/>
  <c r="AK630" i="13"/>
  <c r="X630" i="13"/>
  <c r="T630" i="13"/>
  <c r="AL629" i="13"/>
  <c r="AK629" i="13"/>
  <c r="X629" i="13"/>
  <c r="T629" i="13"/>
  <c r="AL628" i="13"/>
  <c r="AK628" i="13"/>
  <c r="X628" i="13"/>
  <c r="T628" i="13"/>
  <c r="AL627" i="13"/>
  <c r="AK627" i="13"/>
  <c r="X627" i="13"/>
  <c r="T627" i="13"/>
  <c r="AL626" i="13"/>
  <c r="AK626" i="13"/>
  <c r="X626" i="13"/>
  <c r="T626" i="13"/>
  <c r="AL625" i="13"/>
  <c r="AK625" i="13"/>
  <c r="X625" i="13"/>
  <c r="T625" i="13"/>
  <c r="AL624" i="13"/>
  <c r="AK624" i="13"/>
  <c r="X624" i="13"/>
  <c r="T624" i="13"/>
  <c r="AL623" i="13"/>
  <c r="AK623" i="13"/>
  <c r="X623" i="13"/>
  <c r="T623" i="13"/>
  <c r="AL622" i="13"/>
  <c r="AK622" i="13"/>
  <c r="X622" i="13"/>
  <c r="T622" i="13"/>
  <c r="AL621" i="13"/>
  <c r="AK621" i="13"/>
  <c r="X621" i="13"/>
  <c r="T621" i="13"/>
  <c r="AL620" i="13"/>
  <c r="AK620" i="13"/>
  <c r="X620" i="13"/>
  <c r="T620" i="13"/>
  <c r="AL619" i="13"/>
  <c r="AK619" i="13"/>
  <c r="X619" i="13"/>
  <c r="T619" i="13"/>
  <c r="AL618" i="13"/>
  <c r="AK618" i="13"/>
  <c r="X618" i="13"/>
  <c r="T618" i="13"/>
  <c r="AL617" i="13"/>
  <c r="AK617" i="13"/>
  <c r="X617" i="13"/>
  <c r="T617" i="13"/>
  <c r="AL616" i="13"/>
  <c r="AK616" i="13"/>
  <c r="X616" i="13"/>
  <c r="T616" i="13"/>
  <c r="AL615" i="13"/>
  <c r="AK615" i="13"/>
  <c r="X615" i="13"/>
  <c r="T615" i="13"/>
  <c r="AL614" i="13"/>
  <c r="AK614" i="13"/>
  <c r="X614" i="13"/>
  <c r="T614" i="13"/>
  <c r="AL613" i="13"/>
  <c r="AK613" i="13"/>
  <c r="X613" i="13"/>
  <c r="T613" i="13"/>
  <c r="AL612" i="13"/>
  <c r="AK612" i="13"/>
  <c r="X612" i="13"/>
  <c r="T612" i="13"/>
  <c r="AL611" i="13"/>
  <c r="AK611" i="13"/>
  <c r="X611" i="13"/>
  <c r="T611" i="13"/>
  <c r="AL610" i="13"/>
  <c r="AK610" i="13"/>
  <c r="X610" i="13"/>
  <c r="T610" i="13"/>
  <c r="AL609" i="13"/>
  <c r="AK609" i="13"/>
  <c r="X609" i="13"/>
  <c r="T609" i="13"/>
  <c r="AL608" i="13"/>
  <c r="AK608" i="13"/>
  <c r="X608" i="13"/>
  <c r="T608" i="13"/>
  <c r="AL607" i="13"/>
  <c r="AK607" i="13"/>
  <c r="X607" i="13"/>
  <c r="T607" i="13"/>
  <c r="AL606" i="13"/>
  <c r="AK606" i="13"/>
  <c r="X606" i="13"/>
  <c r="T606" i="13"/>
  <c r="AL605" i="13"/>
  <c r="AK605" i="13"/>
  <c r="X605" i="13"/>
  <c r="T605" i="13"/>
  <c r="AL604" i="13"/>
  <c r="AK604" i="13"/>
  <c r="T604" i="13"/>
  <c r="AL603" i="13"/>
  <c r="AK603" i="13"/>
  <c r="T603" i="13"/>
  <c r="AL602" i="13"/>
  <c r="AK602" i="13"/>
  <c r="T602" i="13"/>
  <c r="AL601" i="13"/>
  <c r="AK601" i="13"/>
  <c r="X601" i="13"/>
  <c r="T601" i="13"/>
  <c r="AL600" i="13"/>
  <c r="AK600" i="13"/>
  <c r="X600" i="13"/>
  <c r="T600" i="13"/>
  <c r="AL599" i="13"/>
  <c r="AK599" i="13"/>
  <c r="X599" i="13"/>
  <c r="T599" i="13"/>
  <c r="AL598" i="13"/>
  <c r="AK598" i="13"/>
  <c r="X598" i="13"/>
  <c r="T598" i="13"/>
  <c r="AL597" i="13"/>
  <c r="AK597" i="13"/>
  <c r="X597" i="13"/>
  <c r="T597" i="13"/>
  <c r="AL596" i="13"/>
  <c r="AK596" i="13"/>
  <c r="X596" i="13"/>
  <c r="T596" i="13"/>
  <c r="AL595" i="13"/>
  <c r="AK595" i="13"/>
  <c r="X595" i="13"/>
  <c r="T595" i="13"/>
  <c r="AL594" i="13"/>
  <c r="AK594" i="13"/>
  <c r="X594" i="13"/>
  <c r="T594" i="13"/>
  <c r="AL593" i="13"/>
  <c r="AK593" i="13"/>
  <c r="X593" i="13"/>
  <c r="T593" i="13"/>
  <c r="AL592" i="13"/>
  <c r="AK592" i="13"/>
  <c r="X592" i="13"/>
  <c r="T592" i="13"/>
  <c r="AL591" i="13"/>
  <c r="AK591" i="13"/>
  <c r="X591" i="13"/>
  <c r="T591" i="13"/>
  <c r="AL590" i="13"/>
  <c r="AK590" i="13"/>
  <c r="X590" i="13"/>
  <c r="T590" i="13"/>
  <c r="AL589" i="13"/>
  <c r="AK589" i="13"/>
  <c r="X589" i="13"/>
  <c r="T589" i="13"/>
  <c r="AL588" i="13"/>
  <c r="AK588" i="13"/>
  <c r="X588" i="13"/>
  <c r="T588" i="13"/>
  <c r="AL587" i="13"/>
  <c r="AK587" i="13"/>
  <c r="X587" i="13"/>
  <c r="T587" i="13"/>
  <c r="AL586" i="13"/>
  <c r="AK586" i="13"/>
  <c r="X586" i="13"/>
  <c r="T586" i="13"/>
  <c r="AL585" i="13"/>
  <c r="AK585" i="13"/>
  <c r="X585" i="13"/>
  <c r="T585" i="13"/>
  <c r="AL584" i="13"/>
  <c r="AK584" i="13"/>
  <c r="X584" i="13"/>
  <c r="T584" i="13"/>
  <c r="AL583" i="13"/>
  <c r="AK583" i="13"/>
  <c r="X583" i="13"/>
  <c r="T583" i="13"/>
  <c r="AL582" i="13"/>
  <c r="AK582" i="13"/>
  <c r="X582" i="13"/>
  <c r="T582" i="13"/>
  <c r="AL581" i="13"/>
  <c r="AK581" i="13"/>
  <c r="X581" i="13"/>
  <c r="T581" i="13"/>
  <c r="AL580" i="13"/>
  <c r="AK580" i="13"/>
  <c r="X580" i="13"/>
  <c r="T580" i="13"/>
  <c r="AL579" i="13"/>
  <c r="AK579" i="13"/>
  <c r="X579" i="13"/>
  <c r="T579" i="13"/>
  <c r="AL578" i="13"/>
  <c r="AK578" i="13"/>
  <c r="X578" i="13"/>
  <c r="T578" i="13"/>
  <c r="AL577" i="13"/>
  <c r="AK577" i="13"/>
  <c r="X577" i="13"/>
  <c r="T577" i="13"/>
  <c r="AL576" i="13"/>
  <c r="AK576" i="13"/>
  <c r="X576" i="13"/>
  <c r="T576" i="13"/>
  <c r="AL575" i="13"/>
  <c r="AK575" i="13"/>
  <c r="X575" i="13"/>
  <c r="T575" i="13"/>
  <c r="AL574" i="13"/>
  <c r="AK574" i="13"/>
  <c r="X574" i="13"/>
  <c r="T574" i="13"/>
  <c r="AL573" i="13"/>
  <c r="AK573" i="13"/>
  <c r="X573" i="13"/>
  <c r="T573" i="13"/>
  <c r="AL572" i="13"/>
  <c r="AK572" i="13"/>
  <c r="X572" i="13"/>
  <c r="T572" i="13"/>
  <c r="AL571" i="13"/>
  <c r="AK571" i="13"/>
  <c r="X571" i="13"/>
  <c r="T571" i="13"/>
  <c r="AL570" i="13"/>
  <c r="AK570" i="13"/>
  <c r="X570" i="13"/>
  <c r="T570" i="13"/>
  <c r="AL569" i="13"/>
  <c r="AK569" i="13"/>
  <c r="X569" i="13"/>
  <c r="T569" i="13"/>
  <c r="AL568" i="13"/>
  <c r="AK568" i="13"/>
  <c r="X568" i="13"/>
  <c r="T568" i="13"/>
  <c r="AL567" i="13"/>
  <c r="AK567" i="13"/>
  <c r="X567" i="13"/>
  <c r="T567" i="13"/>
  <c r="AL566" i="13"/>
  <c r="AK566" i="13"/>
  <c r="X566" i="13"/>
  <c r="T566" i="13"/>
  <c r="AL565" i="13"/>
  <c r="AK565" i="13"/>
  <c r="X565" i="13"/>
  <c r="T565" i="13"/>
  <c r="AL564" i="13"/>
  <c r="AK564" i="13"/>
  <c r="X564" i="13"/>
  <c r="T564" i="13"/>
  <c r="AL563" i="13"/>
  <c r="AK563" i="13"/>
  <c r="X563" i="13"/>
  <c r="T563" i="13"/>
  <c r="AL562" i="13"/>
  <c r="AK562" i="13"/>
  <c r="X562" i="13"/>
  <c r="T562" i="13"/>
  <c r="AL561" i="13"/>
  <c r="AK561" i="13"/>
  <c r="X561" i="13"/>
  <c r="T561" i="13"/>
  <c r="AL560" i="13"/>
  <c r="AK560" i="13"/>
  <c r="X560" i="13"/>
  <c r="T560" i="13"/>
  <c r="AL559" i="13"/>
  <c r="AK559" i="13"/>
  <c r="T559" i="13"/>
  <c r="AL558" i="13"/>
  <c r="AK558" i="13"/>
  <c r="T558" i="13"/>
  <c r="AL557" i="13"/>
  <c r="AK557" i="13"/>
  <c r="T557" i="13"/>
  <c r="AL556" i="13"/>
  <c r="AK556" i="13"/>
  <c r="X556" i="13"/>
  <c r="T556" i="13"/>
  <c r="AL555" i="13"/>
  <c r="AK555" i="13"/>
  <c r="X555" i="13"/>
  <c r="T555" i="13"/>
  <c r="AL554" i="13"/>
  <c r="AK554" i="13"/>
  <c r="X554" i="13"/>
  <c r="T554" i="13"/>
  <c r="AL553" i="13"/>
  <c r="AK553" i="13"/>
  <c r="X553" i="13"/>
  <c r="T553" i="13"/>
  <c r="AL552" i="13"/>
  <c r="AK552" i="13"/>
  <c r="X552" i="13"/>
  <c r="T552" i="13"/>
  <c r="AL551" i="13"/>
  <c r="AK551" i="13"/>
  <c r="X551" i="13"/>
  <c r="T551" i="13"/>
  <c r="AL550" i="13"/>
  <c r="AK550" i="13"/>
  <c r="X550" i="13"/>
  <c r="T550" i="13"/>
  <c r="AL549" i="13"/>
  <c r="AK549" i="13"/>
  <c r="X549" i="13"/>
  <c r="T549" i="13"/>
  <c r="AL548" i="13"/>
  <c r="AK548" i="13"/>
  <c r="X548" i="13"/>
  <c r="T548" i="13"/>
  <c r="AL547" i="13"/>
  <c r="AK547" i="13"/>
  <c r="X547" i="13"/>
  <c r="T547" i="13"/>
  <c r="AL546" i="13"/>
  <c r="AK546" i="13"/>
  <c r="X546" i="13"/>
  <c r="T546" i="13"/>
  <c r="AL545" i="13"/>
  <c r="AK545" i="13"/>
  <c r="X545" i="13"/>
  <c r="T545" i="13"/>
  <c r="AL544" i="13"/>
  <c r="AK544" i="13"/>
  <c r="X544" i="13"/>
  <c r="T544" i="13"/>
  <c r="AL543" i="13"/>
  <c r="AK543" i="13"/>
  <c r="X543" i="13"/>
  <c r="T543" i="13"/>
  <c r="AL542" i="13"/>
  <c r="AK542" i="13"/>
  <c r="X542" i="13"/>
  <c r="T542" i="13"/>
  <c r="AL541" i="13"/>
  <c r="AK541" i="13"/>
  <c r="X541" i="13"/>
  <c r="T541" i="13"/>
  <c r="AL540" i="13"/>
  <c r="AK540" i="13"/>
  <c r="X540" i="13"/>
  <c r="T540" i="13"/>
  <c r="AL539" i="13"/>
  <c r="AK539" i="13"/>
  <c r="X539" i="13"/>
  <c r="T539" i="13"/>
  <c r="AL538" i="13"/>
  <c r="AK538" i="13"/>
  <c r="X538" i="13"/>
  <c r="T538" i="13"/>
  <c r="AL537" i="13"/>
  <c r="AK537" i="13"/>
  <c r="X537" i="13"/>
  <c r="T537" i="13"/>
  <c r="AL536" i="13"/>
  <c r="AK536" i="13"/>
  <c r="X536" i="13"/>
  <c r="T536" i="13"/>
  <c r="AL535" i="13"/>
  <c r="AK535" i="13"/>
  <c r="X535" i="13"/>
  <c r="T535" i="13"/>
  <c r="AL534" i="13"/>
  <c r="AK534" i="13"/>
  <c r="X534" i="13"/>
  <c r="T534" i="13"/>
  <c r="AL533" i="13"/>
  <c r="AK533" i="13"/>
  <c r="X533" i="13"/>
  <c r="T533" i="13"/>
  <c r="AL532" i="13"/>
  <c r="AK532" i="13"/>
  <c r="X532" i="13"/>
  <c r="T532" i="13"/>
  <c r="AL531" i="13"/>
  <c r="AK531" i="13"/>
  <c r="X531" i="13"/>
  <c r="T531" i="13"/>
  <c r="AL530" i="13"/>
  <c r="AK530" i="13"/>
  <c r="X530" i="13"/>
  <c r="T530" i="13"/>
  <c r="AL529" i="13"/>
  <c r="AK529" i="13"/>
  <c r="AJ529" i="13"/>
  <c r="AM529" i="13" s="1"/>
  <c r="X529" i="13"/>
  <c r="T529" i="13"/>
  <c r="AL528" i="13"/>
  <c r="AK528" i="13"/>
  <c r="X528" i="13"/>
  <c r="T528" i="13"/>
  <c r="AL527" i="13"/>
  <c r="AK527" i="13"/>
  <c r="X527" i="13"/>
  <c r="T527" i="13"/>
  <c r="AL526" i="13"/>
  <c r="AK526" i="13"/>
  <c r="T526" i="13"/>
  <c r="AL525" i="13"/>
  <c r="AK525" i="13"/>
  <c r="T525" i="13"/>
  <c r="AL524" i="13"/>
  <c r="AK524" i="13"/>
  <c r="T524" i="13"/>
  <c r="AL523" i="13"/>
  <c r="AK523" i="13"/>
  <c r="X523" i="13"/>
  <c r="T523" i="13"/>
  <c r="AL522" i="13"/>
  <c r="AK522" i="13"/>
  <c r="X522" i="13"/>
  <c r="T522" i="13"/>
  <c r="AL521" i="13"/>
  <c r="AK521" i="13"/>
  <c r="X521" i="13"/>
  <c r="T521" i="13"/>
  <c r="AL520" i="13"/>
  <c r="AK520" i="13"/>
  <c r="X520" i="13"/>
  <c r="T520" i="13"/>
  <c r="AL519" i="13"/>
  <c r="AK519" i="13"/>
  <c r="X519" i="13"/>
  <c r="T519" i="13"/>
  <c r="AL518" i="13"/>
  <c r="AK518" i="13"/>
  <c r="X518" i="13"/>
  <c r="T518" i="13"/>
  <c r="AL517" i="13"/>
  <c r="AK517" i="13"/>
  <c r="X517" i="13"/>
  <c r="T517" i="13"/>
  <c r="AL516" i="13"/>
  <c r="AK516" i="13"/>
  <c r="X516" i="13"/>
  <c r="T516" i="13"/>
  <c r="AL515" i="13"/>
  <c r="AK515" i="13"/>
  <c r="X515" i="13"/>
  <c r="T515" i="13"/>
  <c r="AL514" i="13"/>
  <c r="AK514" i="13"/>
  <c r="X514" i="13"/>
  <c r="T514" i="13"/>
  <c r="AL513" i="13"/>
  <c r="AK513" i="13"/>
  <c r="X513" i="13"/>
  <c r="T513" i="13"/>
  <c r="AL512" i="13"/>
  <c r="AK512" i="13"/>
  <c r="X512" i="13"/>
  <c r="T512" i="13"/>
  <c r="AL511" i="13"/>
  <c r="AK511" i="13"/>
  <c r="X511" i="13"/>
  <c r="T511" i="13"/>
  <c r="AL510" i="13"/>
  <c r="AK510" i="13"/>
  <c r="X510" i="13"/>
  <c r="T510" i="13"/>
  <c r="AL509" i="13"/>
  <c r="AK509" i="13"/>
  <c r="X509" i="13"/>
  <c r="T509" i="13"/>
  <c r="AL508" i="13"/>
  <c r="AK508" i="13"/>
  <c r="X508" i="13"/>
  <c r="T508" i="13"/>
  <c r="AL507" i="13"/>
  <c r="AK507" i="13"/>
  <c r="X507" i="13"/>
  <c r="T507" i="13"/>
  <c r="AL506" i="13"/>
  <c r="AK506" i="13"/>
  <c r="X506" i="13"/>
  <c r="T506" i="13"/>
  <c r="AL505" i="13"/>
  <c r="AK505" i="13"/>
  <c r="X505" i="13"/>
  <c r="T505" i="13"/>
  <c r="AL504" i="13"/>
  <c r="AK504" i="13"/>
  <c r="X504" i="13"/>
  <c r="T504" i="13"/>
  <c r="AL503" i="13"/>
  <c r="AK503" i="13"/>
  <c r="X503" i="13"/>
  <c r="T503" i="13"/>
  <c r="AL502" i="13"/>
  <c r="AK502" i="13"/>
  <c r="X502" i="13"/>
  <c r="T502" i="13"/>
  <c r="AL501" i="13"/>
  <c r="AK501" i="13"/>
  <c r="X501" i="13"/>
  <c r="T501" i="13"/>
  <c r="AL500" i="13"/>
  <c r="AK500" i="13"/>
  <c r="X500" i="13"/>
  <c r="T500" i="13"/>
  <c r="AL499" i="13"/>
  <c r="AK499" i="13"/>
  <c r="X499" i="13"/>
  <c r="T499" i="13"/>
  <c r="AL498" i="13"/>
  <c r="AK498" i="13"/>
  <c r="X498" i="13"/>
  <c r="T498" i="13"/>
  <c r="AL497" i="13"/>
  <c r="AK497" i="13"/>
  <c r="X497" i="13"/>
  <c r="T497" i="13"/>
  <c r="AL496" i="13"/>
  <c r="AK496" i="13"/>
  <c r="X496" i="13"/>
  <c r="T496" i="13"/>
  <c r="AL495" i="13"/>
  <c r="AK495" i="13"/>
  <c r="X495" i="13"/>
  <c r="T495" i="13"/>
  <c r="AL494" i="13"/>
  <c r="AK494" i="13"/>
  <c r="X494" i="13"/>
  <c r="T494" i="13"/>
  <c r="AL493" i="13"/>
  <c r="AK493" i="13"/>
  <c r="X493" i="13"/>
  <c r="T493" i="13"/>
  <c r="AL492" i="13"/>
  <c r="AK492" i="13"/>
  <c r="AJ492" i="13"/>
  <c r="AM492" i="13" s="1"/>
  <c r="X492" i="13"/>
  <c r="T492" i="13"/>
  <c r="AL491" i="13"/>
  <c r="AK491" i="13"/>
  <c r="X491" i="13"/>
  <c r="T491" i="13"/>
  <c r="AL490" i="13"/>
  <c r="AK490" i="13"/>
  <c r="X490" i="13"/>
  <c r="T490" i="13"/>
  <c r="AL489" i="13"/>
  <c r="AK489" i="13"/>
  <c r="X489" i="13"/>
  <c r="T489" i="13"/>
  <c r="AL488" i="13"/>
  <c r="AK488" i="13"/>
  <c r="X488" i="13"/>
  <c r="T488" i="13"/>
  <c r="AL487" i="13"/>
  <c r="AK487" i="13"/>
  <c r="X487" i="13"/>
  <c r="T487" i="13"/>
  <c r="AL486" i="13"/>
  <c r="AK486" i="13"/>
  <c r="X486" i="13"/>
  <c r="T486" i="13"/>
  <c r="AL485" i="13"/>
  <c r="AK485" i="13"/>
  <c r="X485" i="13"/>
  <c r="T485" i="13"/>
  <c r="AL484" i="13"/>
  <c r="AK484" i="13"/>
  <c r="X484" i="13"/>
  <c r="T484" i="13"/>
  <c r="AL483" i="13"/>
  <c r="AK483" i="13"/>
  <c r="X483" i="13"/>
  <c r="T483" i="13"/>
  <c r="AL482" i="13"/>
  <c r="AK482" i="13"/>
  <c r="X482" i="13"/>
  <c r="T482" i="13"/>
  <c r="AL481" i="13"/>
  <c r="AK481" i="13"/>
  <c r="X481" i="13"/>
  <c r="T481" i="13"/>
  <c r="AL480" i="13"/>
  <c r="AK480" i="13"/>
  <c r="X480" i="13"/>
  <c r="T480" i="13"/>
  <c r="AL479" i="13"/>
  <c r="AK479" i="13"/>
  <c r="X479" i="13"/>
  <c r="T479" i="13"/>
  <c r="AL478" i="13"/>
  <c r="AK478" i="13"/>
  <c r="X478" i="13"/>
  <c r="T478" i="13"/>
  <c r="AL477" i="13"/>
  <c r="AK477" i="13"/>
  <c r="X477" i="13"/>
  <c r="T477" i="13"/>
  <c r="AL476" i="13"/>
  <c r="AK476" i="13"/>
  <c r="X476" i="13"/>
  <c r="T476" i="13"/>
  <c r="AL475" i="13"/>
  <c r="AK475" i="13"/>
  <c r="T475" i="13"/>
  <c r="AL474" i="13"/>
  <c r="AK474" i="13"/>
  <c r="T474" i="13"/>
  <c r="AL473" i="13"/>
  <c r="AK473" i="13"/>
  <c r="T473" i="13"/>
  <c r="AL472" i="13"/>
  <c r="AK472" i="13"/>
  <c r="X472" i="13"/>
  <c r="T472" i="13"/>
  <c r="AL471" i="13"/>
  <c r="AK471" i="13"/>
  <c r="X471" i="13"/>
  <c r="T471" i="13"/>
  <c r="AL470" i="13"/>
  <c r="AK470" i="13"/>
  <c r="X470" i="13"/>
  <c r="T470" i="13"/>
  <c r="AL469" i="13"/>
  <c r="AK469" i="13"/>
  <c r="X469" i="13"/>
  <c r="T469" i="13"/>
  <c r="AL468" i="13"/>
  <c r="AK468" i="13"/>
  <c r="X468" i="13"/>
  <c r="T468" i="13"/>
  <c r="AL467" i="13"/>
  <c r="AK467" i="13"/>
  <c r="X467" i="13"/>
  <c r="T467" i="13"/>
  <c r="AL466" i="13"/>
  <c r="AK466" i="13"/>
  <c r="X466" i="13"/>
  <c r="T466" i="13"/>
  <c r="AL465" i="13"/>
  <c r="AK465" i="13"/>
  <c r="X465" i="13"/>
  <c r="T465" i="13"/>
  <c r="AL464" i="13"/>
  <c r="AK464" i="13"/>
  <c r="X464" i="13"/>
  <c r="T464" i="13"/>
  <c r="AL463" i="13"/>
  <c r="AK463" i="13"/>
  <c r="X463" i="13"/>
  <c r="T463" i="13"/>
  <c r="AL462" i="13"/>
  <c r="AK462" i="13"/>
  <c r="X462" i="13"/>
  <c r="T462" i="13"/>
  <c r="AL461" i="13"/>
  <c r="AK461" i="13"/>
  <c r="X461" i="13"/>
  <c r="T461" i="13"/>
  <c r="AL460" i="13"/>
  <c r="AK460" i="13"/>
  <c r="X460" i="13"/>
  <c r="T460" i="13"/>
  <c r="AL459" i="13"/>
  <c r="AK459" i="13"/>
  <c r="X459" i="13"/>
  <c r="T459" i="13"/>
  <c r="AL458" i="13"/>
  <c r="AK458" i="13"/>
  <c r="X458" i="13"/>
  <c r="T458" i="13"/>
  <c r="AL457" i="13"/>
  <c r="AK457" i="13"/>
  <c r="X457" i="13"/>
  <c r="T457" i="13"/>
  <c r="AL456" i="13"/>
  <c r="AK456" i="13"/>
  <c r="X456" i="13"/>
  <c r="T456" i="13"/>
  <c r="AL455" i="13"/>
  <c r="AK455" i="13"/>
  <c r="X455" i="13"/>
  <c r="T455" i="13"/>
  <c r="AL454" i="13"/>
  <c r="AK454" i="13"/>
  <c r="AJ454" i="13"/>
  <c r="AM454" i="13" s="1"/>
  <c r="X454" i="13"/>
  <c r="T454" i="13"/>
  <c r="AL453" i="13"/>
  <c r="AK453" i="13"/>
  <c r="X453" i="13"/>
  <c r="T453" i="13"/>
  <c r="AL452" i="13"/>
  <c r="AK452" i="13"/>
  <c r="X452" i="13"/>
  <c r="T452" i="13"/>
  <c r="AL451" i="13"/>
  <c r="AK451" i="13"/>
  <c r="X451" i="13"/>
  <c r="T451" i="13"/>
  <c r="AL450" i="13"/>
  <c r="AK450" i="13"/>
  <c r="X450" i="13"/>
  <c r="T450" i="13"/>
  <c r="AL449" i="13"/>
  <c r="AK449" i="13"/>
  <c r="X449" i="13"/>
  <c r="T449" i="13"/>
  <c r="AL448" i="13"/>
  <c r="AK448" i="13"/>
  <c r="X448" i="13"/>
  <c r="T448" i="13"/>
  <c r="AL447" i="13"/>
  <c r="AK447" i="13"/>
  <c r="X447" i="13"/>
  <c r="T447" i="13"/>
  <c r="AL446" i="13"/>
  <c r="AK446" i="13"/>
  <c r="X446" i="13"/>
  <c r="T446" i="13"/>
  <c r="AL445" i="13"/>
  <c r="AK445" i="13"/>
  <c r="X445" i="13"/>
  <c r="T445" i="13"/>
  <c r="AL444" i="13"/>
  <c r="AK444" i="13"/>
  <c r="X444" i="13"/>
  <c r="T444" i="13"/>
  <c r="AL443" i="13"/>
  <c r="AK443" i="13"/>
  <c r="X443" i="13"/>
  <c r="T443" i="13"/>
  <c r="AL442" i="13"/>
  <c r="AK442" i="13"/>
  <c r="X442" i="13"/>
  <c r="T442" i="13"/>
  <c r="AL441" i="13"/>
  <c r="AK441" i="13"/>
  <c r="X441" i="13"/>
  <c r="T441" i="13"/>
  <c r="AL440" i="13"/>
  <c r="AK440" i="13"/>
  <c r="X440" i="13"/>
  <c r="T440" i="13"/>
  <c r="AL439" i="13"/>
  <c r="AK439" i="13"/>
  <c r="X439" i="13"/>
  <c r="T439" i="13"/>
  <c r="AL438" i="13"/>
  <c r="AK438" i="13"/>
  <c r="X438" i="13"/>
  <c r="T438" i="13"/>
  <c r="AL437" i="13"/>
  <c r="AK437" i="13"/>
  <c r="X437" i="13"/>
  <c r="T437" i="13"/>
  <c r="AL436" i="13"/>
  <c r="AK436" i="13"/>
  <c r="X436" i="13"/>
  <c r="T436" i="13"/>
  <c r="AL435" i="13"/>
  <c r="AK435" i="13"/>
  <c r="X435" i="13"/>
  <c r="T435" i="13"/>
  <c r="AL434" i="13"/>
  <c r="AK434" i="13"/>
  <c r="X434" i="13"/>
  <c r="T434" i="13"/>
  <c r="AL433" i="13"/>
  <c r="AK433" i="13"/>
  <c r="X433" i="13"/>
  <c r="T433" i="13"/>
  <c r="AL432" i="13"/>
  <c r="AK432" i="13"/>
  <c r="X432" i="13"/>
  <c r="T432" i="13"/>
  <c r="AL431" i="13"/>
  <c r="AK431" i="13"/>
  <c r="X431" i="13"/>
  <c r="T431" i="13"/>
  <c r="AL430" i="13"/>
  <c r="AK430" i="13"/>
  <c r="T430" i="13"/>
  <c r="AL429" i="13"/>
  <c r="AK429" i="13"/>
  <c r="T429" i="13"/>
  <c r="AL428" i="13"/>
  <c r="AK428" i="13"/>
  <c r="T428" i="13"/>
  <c r="AL427" i="13"/>
  <c r="AK427" i="13"/>
  <c r="X427" i="13"/>
  <c r="T427" i="13"/>
  <c r="AL426" i="13"/>
  <c r="AK426" i="13"/>
  <c r="X426" i="13"/>
  <c r="T426" i="13"/>
  <c r="AL425" i="13"/>
  <c r="AK425" i="13"/>
  <c r="X425" i="13"/>
  <c r="T425" i="13"/>
  <c r="AL424" i="13"/>
  <c r="AK424" i="13"/>
  <c r="X424" i="13"/>
  <c r="T424" i="13"/>
  <c r="AL423" i="13"/>
  <c r="AK423" i="13"/>
  <c r="X423" i="13"/>
  <c r="T423" i="13"/>
  <c r="AL422" i="13"/>
  <c r="AK422" i="13"/>
  <c r="X422" i="13"/>
  <c r="T422" i="13"/>
  <c r="AL421" i="13"/>
  <c r="AK421" i="13"/>
  <c r="X421" i="13"/>
  <c r="T421" i="13"/>
  <c r="AL420" i="13"/>
  <c r="AK420" i="13"/>
  <c r="X420" i="13"/>
  <c r="T420" i="13"/>
  <c r="AL419" i="13"/>
  <c r="AK419" i="13"/>
  <c r="X419" i="13"/>
  <c r="T419" i="13"/>
  <c r="AL418" i="13"/>
  <c r="AK418" i="13"/>
  <c r="AJ418" i="13"/>
  <c r="AM418" i="13" s="1"/>
  <c r="X418" i="13"/>
  <c r="T418" i="13"/>
  <c r="AL417" i="13"/>
  <c r="AK417" i="13"/>
  <c r="X417" i="13"/>
  <c r="T417" i="13"/>
  <c r="AL416" i="13"/>
  <c r="AK416" i="13"/>
  <c r="X416" i="13"/>
  <c r="T416" i="13"/>
  <c r="AL415" i="13"/>
  <c r="AK415" i="13"/>
  <c r="X415" i="13"/>
  <c r="T415" i="13"/>
  <c r="AL414" i="13"/>
  <c r="AK414" i="13"/>
  <c r="X414" i="13"/>
  <c r="T414" i="13"/>
  <c r="AL413" i="13"/>
  <c r="AK413" i="13"/>
  <c r="X413" i="13"/>
  <c r="T413" i="13"/>
  <c r="AL412" i="13"/>
  <c r="AK412" i="13"/>
  <c r="X412" i="13"/>
  <c r="T412" i="13"/>
  <c r="AL411" i="13"/>
  <c r="AK411" i="13"/>
  <c r="AJ411" i="13"/>
  <c r="AM411" i="13" s="1"/>
  <c r="X411" i="13"/>
  <c r="T411" i="13"/>
  <c r="AL410" i="13"/>
  <c r="AK410" i="13"/>
  <c r="X410" i="13"/>
  <c r="T410" i="13"/>
  <c r="AL409" i="13"/>
  <c r="AK409" i="13"/>
  <c r="X409" i="13"/>
  <c r="T409" i="13"/>
  <c r="AL408" i="13"/>
  <c r="AK408" i="13"/>
  <c r="X408" i="13"/>
  <c r="T408" i="13"/>
  <c r="AL407" i="13"/>
  <c r="AK407" i="13"/>
  <c r="X407" i="13"/>
  <c r="T407" i="13"/>
  <c r="AL406" i="13"/>
  <c r="AK406" i="13"/>
  <c r="X406" i="13"/>
  <c r="T406" i="13"/>
  <c r="AL405" i="13"/>
  <c r="AK405" i="13"/>
  <c r="X405" i="13"/>
  <c r="T405" i="13"/>
  <c r="AL404" i="13"/>
  <c r="AK404" i="13"/>
  <c r="X404" i="13"/>
  <c r="T404" i="13"/>
  <c r="AL403" i="13"/>
  <c r="AK403" i="13"/>
  <c r="X403" i="13"/>
  <c r="T403" i="13"/>
  <c r="AL402" i="13"/>
  <c r="AK402" i="13"/>
  <c r="X402" i="13"/>
  <c r="T402" i="13"/>
  <c r="AL401" i="13"/>
  <c r="AK401" i="13"/>
  <c r="X401" i="13"/>
  <c r="T401" i="13"/>
  <c r="AL400" i="13"/>
  <c r="AK400" i="13"/>
  <c r="X400" i="13"/>
  <c r="T400" i="13"/>
  <c r="AL399" i="13"/>
  <c r="AK399" i="13"/>
  <c r="X399" i="13"/>
  <c r="T399" i="13"/>
  <c r="AL398" i="13"/>
  <c r="AK398" i="13"/>
  <c r="AJ398" i="13"/>
  <c r="AM398" i="13" s="1"/>
  <c r="X398" i="13"/>
  <c r="T398" i="13"/>
  <c r="AL397" i="13"/>
  <c r="AK397" i="13"/>
  <c r="T397" i="13"/>
  <c r="AL396" i="13"/>
  <c r="AK396" i="13"/>
  <c r="T396" i="13"/>
  <c r="AL395" i="13"/>
  <c r="AK395" i="13"/>
  <c r="T395" i="13"/>
  <c r="AL394" i="13"/>
  <c r="AK394" i="13"/>
  <c r="X394" i="13"/>
  <c r="T394" i="13"/>
  <c r="AL393" i="13"/>
  <c r="AK393" i="13"/>
  <c r="X393" i="13"/>
  <c r="T393" i="13"/>
  <c r="AL392" i="13"/>
  <c r="AK392" i="13"/>
  <c r="X392" i="13"/>
  <c r="T392" i="13"/>
  <c r="AL391" i="13"/>
  <c r="AK391" i="13"/>
  <c r="X391" i="13"/>
  <c r="T391" i="13"/>
  <c r="AL390" i="13"/>
  <c r="AK390" i="13"/>
  <c r="X390" i="13"/>
  <c r="T390" i="13"/>
  <c r="AL389" i="13"/>
  <c r="AK389" i="13"/>
  <c r="X389" i="13"/>
  <c r="T389" i="13"/>
  <c r="AL388" i="13"/>
  <c r="AK388" i="13"/>
  <c r="X388" i="13"/>
  <c r="T388" i="13"/>
  <c r="AL387" i="13"/>
  <c r="AK387" i="13"/>
  <c r="X387" i="13"/>
  <c r="T387" i="13"/>
  <c r="AL386" i="13"/>
  <c r="AK386" i="13"/>
  <c r="X386" i="13"/>
  <c r="T386" i="13"/>
  <c r="AL385" i="13"/>
  <c r="AK385" i="13"/>
  <c r="X385" i="13"/>
  <c r="T385" i="13"/>
  <c r="AL384" i="13"/>
  <c r="AK384" i="13"/>
  <c r="X384" i="13"/>
  <c r="T384" i="13"/>
  <c r="AL383" i="13"/>
  <c r="AK383" i="13"/>
  <c r="X383" i="13"/>
  <c r="T383" i="13"/>
  <c r="AL382" i="13"/>
  <c r="AK382" i="13"/>
  <c r="AJ382" i="13"/>
  <c r="AM382" i="13" s="1"/>
  <c r="X382" i="13"/>
  <c r="T382" i="13"/>
  <c r="AL381" i="13"/>
  <c r="AK381" i="13"/>
  <c r="X381" i="13"/>
  <c r="T381" i="13"/>
  <c r="AL380" i="13"/>
  <c r="AK380" i="13"/>
  <c r="X380" i="13"/>
  <c r="T380" i="13"/>
  <c r="AL379" i="13"/>
  <c r="AK379" i="13"/>
  <c r="X379" i="13"/>
  <c r="T379" i="13"/>
  <c r="AL378" i="13"/>
  <c r="AK378" i="13"/>
  <c r="X378" i="13"/>
  <c r="T378" i="13"/>
  <c r="AL377" i="13"/>
  <c r="AK377" i="13"/>
  <c r="X377" i="13"/>
  <c r="T377" i="13"/>
  <c r="AL376" i="13"/>
  <c r="AK376" i="13"/>
  <c r="X376" i="13"/>
  <c r="T376" i="13"/>
  <c r="AL375" i="13"/>
  <c r="AK375" i="13"/>
  <c r="X375" i="13"/>
  <c r="T375" i="13"/>
  <c r="AL374" i="13"/>
  <c r="AK374" i="13"/>
  <c r="X374" i="13"/>
  <c r="T374" i="13"/>
  <c r="AL373" i="13"/>
  <c r="AK373" i="13"/>
  <c r="X373" i="13"/>
  <c r="T373" i="13"/>
  <c r="AL372" i="13"/>
  <c r="AK372" i="13"/>
  <c r="X372" i="13"/>
  <c r="T372" i="13"/>
  <c r="AL371" i="13"/>
  <c r="AK371" i="13"/>
  <c r="X371" i="13"/>
  <c r="T371" i="13"/>
  <c r="AL370" i="13"/>
  <c r="AK370" i="13"/>
  <c r="AJ370" i="13"/>
  <c r="AM370" i="13" s="1"/>
  <c r="X370" i="13"/>
  <c r="T370" i="13"/>
  <c r="AL369" i="13"/>
  <c r="AK369" i="13"/>
  <c r="X369" i="13"/>
  <c r="T369" i="13"/>
  <c r="AL368" i="13"/>
  <c r="AK368" i="13"/>
  <c r="X368" i="13"/>
  <c r="T368" i="13"/>
  <c r="AL367" i="13"/>
  <c r="AK367" i="13"/>
  <c r="X367" i="13"/>
  <c r="T367" i="13"/>
  <c r="AL366" i="13"/>
  <c r="AK366" i="13"/>
  <c r="X366" i="13"/>
  <c r="T366" i="13"/>
  <c r="AL365" i="13"/>
  <c r="AK365" i="13"/>
  <c r="X365" i="13"/>
  <c r="T365" i="13"/>
  <c r="AL364" i="13"/>
  <c r="AK364" i="13"/>
  <c r="X364" i="13"/>
  <c r="T364" i="13"/>
  <c r="AL363" i="13"/>
  <c r="AK363" i="13"/>
  <c r="X363" i="13"/>
  <c r="T363" i="13"/>
  <c r="AL362" i="13"/>
  <c r="AK362" i="13"/>
  <c r="X362" i="13"/>
  <c r="T362" i="13"/>
  <c r="AL361" i="13"/>
  <c r="AK361" i="13"/>
  <c r="X361" i="13"/>
  <c r="T361" i="13"/>
  <c r="AL360" i="13"/>
  <c r="AK360" i="13"/>
  <c r="X360" i="13"/>
  <c r="T360" i="13"/>
  <c r="AL359" i="13"/>
  <c r="AK359" i="13"/>
  <c r="X359" i="13"/>
  <c r="T359" i="13"/>
  <c r="AL358" i="13"/>
  <c r="AK358" i="13"/>
  <c r="X358" i="13"/>
  <c r="T358" i="13"/>
  <c r="AL357" i="13"/>
  <c r="AK357" i="13"/>
  <c r="X357" i="13"/>
  <c r="T357" i="13"/>
  <c r="AL356" i="13"/>
  <c r="AK356" i="13"/>
  <c r="AJ356" i="13"/>
  <c r="AM356" i="13" s="1"/>
  <c r="X356" i="13"/>
  <c r="T356" i="13"/>
  <c r="AL355" i="13"/>
  <c r="AK355" i="13"/>
  <c r="X355" i="13"/>
  <c r="T355" i="13"/>
  <c r="AL354" i="13"/>
  <c r="AK354" i="13"/>
  <c r="X354" i="13"/>
  <c r="T354" i="13"/>
  <c r="AL353" i="13"/>
  <c r="AK353" i="13"/>
  <c r="X353" i="13"/>
  <c r="T353" i="13"/>
  <c r="AL352" i="13"/>
  <c r="AK352" i="13"/>
  <c r="X352" i="13"/>
  <c r="T352" i="13"/>
  <c r="AL351" i="13"/>
  <c r="AK351" i="13"/>
  <c r="X351" i="13"/>
  <c r="T351" i="13"/>
  <c r="AL350" i="13"/>
  <c r="AK350" i="13"/>
  <c r="X350" i="13"/>
  <c r="T350" i="13"/>
  <c r="AL349" i="13"/>
  <c r="AK349" i="13"/>
  <c r="X349" i="13"/>
  <c r="T349" i="13"/>
  <c r="AL348" i="13"/>
  <c r="AK348" i="13"/>
  <c r="X348" i="13"/>
  <c r="T348" i="13"/>
  <c r="AL347" i="13"/>
  <c r="AK347" i="13"/>
  <c r="X347" i="13"/>
  <c r="T347" i="13"/>
  <c r="AL346" i="13"/>
  <c r="AK346" i="13"/>
  <c r="T346" i="13"/>
  <c r="AL345" i="13"/>
  <c r="AK345" i="13"/>
  <c r="T345" i="13"/>
  <c r="AL344" i="13"/>
  <c r="AK344" i="13"/>
  <c r="T344" i="13"/>
  <c r="AL343" i="13"/>
  <c r="AK343" i="13"/>
  <c r="X343" i="13"/>
  <c r="T343" i="13"/>
  <c r="AL342" i="13"/>
  <c r="AK342" i="13"/>
  <c r="X342" i="13"/>
  <c r="T342" i="13"/>
  <c r="AL341" i="13"/>
  <c r="AK341" i="13"/>
  <c r="X341" i="13"/>
  <c r="T341" i="13"/>
  <c r="AL340" i="13"/>
  <c r="AK340" i="13"/>
  <c r="AJ340" i="13"/>
  <c r="AM340" i="13" s="1"/>
  <c r="X340" i="13"/>
  <c r="T340" i="13"/>
  <c r="AL339" i="13"/>
  <c r="AK339" i="13"/>
  <c r="X339" i="13"/>
  <c r="T339" i="13"/>
  <c r="AL338" i="13"/>
  <c r="AK338" i="13"/>
  <c r="X338" i="13"/>
  <c r="T338" i="13"/>
  <c r="AL337" i="13"/>
  <c r="AK337" i="13"/>
  <c r="X337" i="13"/>
  <c r="T337" i="13"/>
  <c r="AL336" i="13"/>
  <c r="AK336" i="13"/>
  <c r="X336" i="13"/>
  <c r="T336" i="13"/>
  <c r="AL335" i="13"/>
  <c r="AK335" i="13"/>
  <c r="X335" i="13"/>
  <c r="T335" i="13"/>
  <c r="AL334" i="13"/>
  <c r="AK334" i="13"/>
  <c r="X334" i="13"/>
  <c r="T334" i="13"/>
  <c r="AL333" i="13"/>
  <c r="AK333" i="13"/>
  <c r="X333" i="13"/>
  <c r="T333" i="13"/>
  <c r="AL332" i="13"/>
  <c r="AK332" i="13"/>
  <c r="X332" i="13"/>
  <c r="T332" i="13"/>
  <c r="AL331" i="13"/>
  <c r="AK331" i="13"/>
  <c r="X331" i="13"/>
  <c r="T331" i="13"/>
  <c r="AL330" i="13"/>
  <c r="AK330" i="13"/>
  <c r="X330" i="13"/>
  <c r="T330" i="13"/>
  <c r="AL329" i="13"/>
  <c r="AK329" i="13"/>
  <c r="AJ329" i="13"/>
  <c r="AM329" i="13" s="1"/>
  <c r="X329" i="13"/>
  <c r="T329" i="13"/>
  <c r="AL328" i="13"/>
  <c r="AK328" i="13"/>
  <c r="X328" i="13"/>
  <c r="T328" i="13"/>
  <c r="AL327" i="13"/>
  <c r="AK327" i="13"/>
  <c r="X327" i="13"/>
  <c r="T327" i="13"/>
  <c r="AL326" i="13"/>
  <c r="AK326" i="13"/>
  <c r="AJ326" i="13"/>
  <c r="AM326" i="13" s="1"/>
  <c r="X326" i="13"/>
  <c r="T326" i="13"/>
  <c r="AL325" i="13"/>
  <c r="AK325" i="13"/>
  <c r="X325" i="13"/>
  <c r="T325" i="13"/>
  <c r="AL324" i="13"/>
  <c r="AK324" i="13"/>
  <c r="X324" i="13"/>
  <c r="T324" i="13"/>
  <c r="AL323" i="13"/>
  <c r="AK323" i="13"/>
  <c r="X323" i="13"/>
  <c r="T323" i="13"/>
  <c r="AL322" i="13"/>
  <c r="AK322" i="13"/>
  <c r="X322" i="13"/>
  <c r="T322" i="13"/>
  <c r="AL321" i="13"/>
  <c r="AK321" i="13"/>
  <c r="X321" i="13"/>
  <c r="T321" i="13"/>
  <c r="AL320" i="13"/>
  <c r="AK320" i="13"/>
  <c r="X320" i="13"/>
  <c r="T320" i="13"/>
  <c r="AL319" i="13"/>
  <c r="AK319" i="13"/>
  <c r="X319" i="13"/>
  <c r="T319" i="13"/>
  <c r="AL318" i="13"/>
  <c r="AK318" i="13"/>
  <c r="X318" i="13"/>
  <c r="T318" i="13"/>
  <c r="AL317" i="13"/>
  <c r="AK317" i="13"/>
  <c r="X317" i="13"/>
  <c r="T317" i="13"/>
  <c r="AL316" i="13"/>
  <c r="AK316" i="13"/>
  <c r="X316" i="13"/>
  <c r="T316" i="13"/>
  <c r="AL315" i="13"/>
  <c r="AK315" i="13"/>
  <c r="X315" i="13"/>
  <c r="T315" i="13"/>
  <c r="AL314" i="13"/>
  <c r="AK314" i="13"/>
  <c r="X314" i="13"/>
  <c r="T314" i="13"/>
  <c r="AL313" i="13"/>
  <c r="AK313" i="13"/>
  <c r="X313" i="13"/>
  <c r="T313" i="13"/>
  <c r="AL312" i="13"/>
  <c r="AK312" i="13"/>
  <c r="AJ312" i="13"/>
  <c r="AM312" i="13" s="1"/>
  <c r="X312" i="13"/>
  <c r="T312" i="13"/>
  <c r="AL311" i="13"/>
  <c r="AK311" i="13"/>
  <c r="X311" i="13"/>
  <c r="T311" i="13"/>
  <c r="AL310" i="13"/>
  <c r="AK310" i="13"/>
  <c r="X310" i="13"/>
  <c r="T310" i="13"/>
  <c r="AL309" i="13"/>
  <c r="AK309" i="13"/>
  <c r="X309" i="13"/>
  <c r="T309" i="13"/>
  <c r="AL308" i="13"/>
  <c r="AK308" i="13"/>
  <c r="X308" i="13"/>
  <c r="T308" i="13"/>
  <c r="AL307" i="13"/>
  <c r="AK307" i="13"/>
  <c r="X307" i="13"/>
  <c r="T307" i="13"/>
  <c r="AL306" i="13"/>
  <c r="AK306" i="13"/>
  <c r="X306" i="13"/>
  <c r="T306" i="13"/>
  <c r="AL305" i="13"/>
  <c r="AK305" i="13"/>
  <c r="X305" i="13"/>
  <c r="T305" i="13"/>
  <c r="AL304" i="13"/>
  <c r="AK304" i="13"/>
  <c r="X304" i="13"/>
  <c r="T304" i="13"/>
  <c r="AL303" i="13"/>
  <c r="AK303" i="13"/>
  <c r="X303" i="13"/>
  <c r="T303" i="13"/>
  <c r="AL302" i="13"/>
  <c r="AK302" i="13"/>
  <c r="X302" i="13"/>
  <c r="T302" i="13"/>
  <c r="AL301" i="13"/>
  <c r="AK301" i="13"/>
  <c r="T301" i="13"/>
  <c r="AL300" i="13"/>
  <c r="AK300" i="13"/>
  <c r="T300" i="13"/>
  <c r="AL299" i="13"/>
  <c r="AK299" i="13"/>
  <c r="T299" i="13"/>
  <c r="AL298" i="13"/>
  <c r="AK298" i="13"/>
  <c r="X298" i="13"/>
  <c r="T298" i="13"/>
  <c r="AL297" i="13"/>
  <c r="AK297" i="13"/>
  <c r="X297" i="13"/>
  <c r="T297" i="13"/>
  <c r="AL296" i="13"/>
  <c r="AK296" i="13"/>
  <c r="X296" i="13"/>
  <c r="T296" i="13"/>
  <c r="AL295" i="13"/>
  <c r="AK295" i="13"/>
  <c r="X295" i="13"/>
  <c r="T295" i="13"/>
  <c r="AL294" i="13"/>
  <c r="AK294" i="13"/>
  <c r="X294" i="13"/>
  <c r="T294" i="13"/>
  <c r="AL293" i="13"/>
  <c r="AK293" i="13"/>
  <c r="X293" i="13"/>
  <c r="T293" i="13"/>
  <c r="AL292" i="13"/>
  <c r="AK292" i="13"/>
  <c r="X292" i="13"/>
  <c r="T292" i="13"/>
  <c r="AL291" i="13"/>
  <c r="AK291" i="13"/>
  <c r="X291" i="13"/>
  <c r="T291" i="13"/>
  <c r="AL290" i="13"/>
  <c r="AK290" i="13"/>
  <c r="X290" i="13"/>
  <c r="T290" i="13"/>
  <c r="AL289" i="13"/>
  <c r="AK289" i="13"/>
  <c r="X289" i="13"/>
  <c r="T289" i="13"/>
  <c r="AL288" i="13"/>
  <c r="AK288" i="13"/>
  <c r="X288" i="13"/>
  <c r="T288" i="13"/>
  <c r="AL287" i="13"/>
  <c r="AK287" i="13"/>
  <c r="AJ287" i="13"/>
  <c r="AM287" i="13" s="1"/>
  <c r="X287" i="13"/>
  <c r="T287" i="13"/>
  <c r="AL286" i="13"/>
  <c r="AK286" i="13"/>
  <c r="X286" i="13"/>
  <c r="T286" i="13"/>
  <c r="AL285" i="13"/>
  <c r="AK285" i="13"/>
  <c r="X285" i="13"/>
  <c r="T285" i="13"/>
  <c r="AL284" i="13"/>
  <c r="AK284" i="13"/>
  <c r="X284" i="13"/>
  <c r="T284" i="13"/>
  <c r="AL283" i="13"/>
  <c r="AK283" i="13"/>
  <c r="X283" i="13"/>
  <c r="T283" i="13"/>
  <c r="AL282" i="13"/>
  <c r="AK282" i="13"/>
  <c r="X282" i="13"/>
  <c r="T282" i="13"/>
  <c r="AL281" i="13"/>
  <c r="AK281" i="13"/>
  <c r="X281" i="13"/>
  <c r="T281" i="13"/>
  <c r="AL280" i="13"/>
  <c r="AK280" i="13"/>
  <c r="X280" i="13"/>
  <c r="T280" i="13"/>
  <c r="AL279" i="13"/>
  <c r="AK279" i="13"/>
  <c r="X279" i="13"/>
  <c r="T279" i="13"/>
  <c r="AL278" i="13"/>
  <c r="AK278" i="13"/>
  <c r="X278" i="13"/>
  <c r="T278" i="13"/>
  <c r="AL277" i="13"/>
  <c r="AK277" i="13"/>
  <c r="X277" i="13"/>
  <c r="T277" i="13"/>
  <c r="AL276" i="13"/>
  <c r="AK276" i="13"/>
  <c r="AJ276" i="13"/>
  <c r="AM276" i="13" s="1"/>
  <c r="X276" i="13"/>
  <c r="T276" i="13"/>
  <c r="AL275" i="13"/>
  <c r="AK275" i="13"/>
  <c r="X275" i="13"/>
  <c r="T275" i="13"/>
  <c r="AL274" i="13"/>
  <c r="AK274" i="13"/>
  <c r="X274" i="13"/>
  <c r="T274" i="13"/>
  <c r="AL273" i="13"/>
  <c r="AK273" i="13"/>
  <c r="X273" i="13"/>
  <c r="T273" i="13"/>
  <c r="AL272" i="13"/>
  <c r="AK272" i="13"/>
  <c r="X272" i="13"/>
  <c r="T272" i="13"/>
  <c r="AL271" i="13"/>
  <c r="AK271" i="13"/>
  <c r="X271" i="13"/>
  <c r="T271" i="13"/>
  <c r="AL270" i="13"/>
  <c r="AK270" i="13"/>
  <c r="X270" i="13"/>
  <c r="T270" i="13"/>
  <c r="AL269" i="13"/>
  <c r="AK269" i="13"/>
  <c r="X269" i="13"/>
  <c r="T269" i="13"/>
  <c r="AL268" i="13"/>
  <c r="AK268" i="13"/>
  <c r="T268" i="13"/>
  <c r="AL267" i="13"/>
  <c r="AK267" i="13"/>
  <c r="T267" i="13"/>
  <c r="AL266" i="13"/>
  <c r="AK266" i="13"/>
  <c r="T266" i="13"/>
  <c r="AL265" i="13"/>
  <c r="AK265" i="13"/>
  <c r="X265" i="13"/>
  <c r="T265" i="13"/>
  <c r="AL264" i="13"/>
  <c r="AK264" i="13"/>
  <c r="X264" i="13"/>
  <c r="T264" i="13"/>
  <c r="AL263" i="13"/>
  <c r="AK263" i="13"/>
  <c r="X263" i="13"/>
  <c r="T263" i="13"/>
  <c r="AL262" i="13"/>
  <c r="AK262" i="13"/>
  <c r="X262" i="13"/>
  <c r="T262" i="13"/>
  <c r="AL261" i="13"/>
  <c r="AK261" i="13"/>
  <c r="AJ261" i="13"/>
  <c r="AM261" i="13" s="1"/>
  <c r="X261" i="13"/>
  <c r="T261" i="13"/>
  <c r="AL260" i="13"/>
  <c r="AK260" i="13"/>
  <c r="X260" i="13"/>
  <c r="T260" i="13"/>
  <c r="AL259" i="13"/>
  <c r="AK259" i="13"/>
  <c r="X259" i="13"/>
  <c r="T259" i="13"/>
  <c r="AL258" i="13"/>
  <c r="AK258" i="13"/>
  <c r="X258" i="13"/>
  <c r="T258" i="13"/>
  <c r="AL257" i="13"/>
  <c r="AK257" i="13"/>
  <c r="X257" i="13"/>
  <c r="T257" i="13"/>
  <c r="AL256" i="13"/>
  <c r="AK256" i="13"/>
  <c r="X256" i="13"/>
  <c r="T256" i="13"/>
  <c r="AL255" i="13"/>
  <c r="AK255" i="13"/>
  <c r="X255" i="13"/>
  <c r="T255" i="13"/>
  <c r="AL254" i="13"/>
  <c r="AK254" i="13"/>
  <c r="X254" i="13"/>
  <c r="T254" i="13"/>
  <c r="AL253" i="13"/>
  <c r="AK253" i="13"/>
  <c r="X253" i="13"/>
  <c r="T253" i="13"/>
  <c r="AL252" i="13"/>
  <c r="AK252" i="13"/>
  <c r="AJ252" i="13"/>
  <c r="AM252" i="13" s="1"/>
  <c r="X252" i="13"/>
  <c r="T252" i="13"/>
  <c r="AL251" i="13"/>
  <c r="AK251" i="13"/>
  <c r="X251" i="13"/>
  <c r="T251" i="13"/>
  <c r="AL250" i="13"/>
  <c r="AK250" i="13"/>
  <c r="X250" i="13"/>
  <c r="T250" i="13"/>
  <c r="AL249" i="13"/>
  <c r="AK249" i="13"/>
  <c r="X249" i="13"/>
  <c r="T249" i="13"/>
  <c r="AL248" i="13"/>
  <c r="AK248" i="13"/>
  <c r="X248" i="13"/>
  <c r="T248" i="13"/>
  <c r="AL247" i="13"/>
  <c r="AK247" i="13"/>
  <c r="X247" i="13"/>
  <c r="T247" i="13"/>
  <c r="AL246" i="13"/>
  <c r="AK246" i="13"/>
  <c r="X246" i="13"/>
  <c r="T246" i="13"/>
  <c r="AL245" i="13"/>
  <c r="AK245" i="13"/>
  <c r="AJ245" i="13"/>
  <c r="AM245" i="13" s="1"/>
  <c r="X245" i="13"/>
  <c r="T245" i="13"/>
  <c r="AL244" i="13"/>
  <c r="AK244" i="13"/>
  <c r="X244" i="13"/>
  <c r="T244" i="13"/>
  <c r="AL243" i="13"/>
  <c r="AK243" i="13"/>
  <c r="X243" i="13"/>
  <c r="T243" i="13"/>
  <c r="AL242" i="13"/>
  <c r="AK242" i="13"/>
  <c r="AJ242" i="13"/>
  <c r="AM242" i="13" s="1"/>
  <c r="X242" i="13"/>
  <c r="T242" i="13"/>
  <c r="AL241" i="13"/>
  <c r="AK241" i="13"/>
  <c r="X241" i="13"/>
  <c r="T241" i="13"/>
  <c r="AL240" i="13"/>
  <c r="AK240" i="13"/>
  <c r="X240" i="13"/>
  <c r="T240" i="13"/>
  <c r="AL239" i="13"/>
  <c r="AK239" i="13"/>
  <c r="X239" i="13"/>
  <c r="T239" i="13"/>
  <c r="AL238" i="13"/>
  <c r="AK238" i="13"/>
  <c r="X238" i="13"/>
  <c r="T238" i="13"/>
  <c r="AL237" i="13"/>
  <c r="AK237" i="13"/>
  <c r="X237" i="13"/>
  <c r="T237" i="13"/>
  <c r="AL236" i="13"/>
  <c r="AK236" i="13"/>
  <c r="X236" i="13"/>
  <c r="T236" i="13"/>
  <c r="AL235" i="13"/>
  <c r="AK235" i="13"/>
  <c r="X235" i="13"/>
  <c r="T235" i="13"/>
  <c r="AL234" i="13"/>
  <c r="AK234" i="13"/>
  <c r="AJ234" i="13"/>
  <c r="AM234" i="13" s="1"/>
  <c r="X234" i="13"/>
  <c r="T234" i="13"/>
  <c r="AL233" i="13"/>
  <c r="AK233" i="13"/>
  <c r="X233" i="13"/>
  <c r="T233" i="13"/>
  <c r="AL232" i="13"/>
  <c r="AK232" i="13"/>
  <c r="X232" i="13"/>
  <c r="T232" i="13"/>
  <c r="AL231" i="13"/>
  <c r="AK231" i="13"/>
  <c r="X231" i="13"/>
  <c r="T231" i="13"/>
  <c r="AL230" i="13"/>
  <c r="AK230" i="13"/>
  <c r="X230" i="13"/>
  <c r="T230" i="13"/>
  <c r="AL229" i="13"/>
  <c r="AK229" i="13"/>
  <c r="AJ229" i="13"/>
  <c r="AM229" i="13" s="1"/>
  <c r="X229" i="13"/>
  <c r="T229" i="13"/>
  <c r="AL228" i="13"/>
  <c r="AK228" i="13"/>
  <c r="X228" i="13"/>
  <c r="T228" i="13"/>
  <c r="AL227" i="13"/>
  <c r="AK227" i="13"/>
  <c r="X227" i="13"/>
  <c r="T227" i="13"/>
  <c r="AL226" i="13"/>
  <c r="AK226" i="13"/>
  <c r="AJ226" i="13"/>
  <c r="AM226" i="13" s="1"/>
  <c r="X226" i="13"/>
  <c r="T226" i="13"/>
  <c r="AL225" i="13"/>
  <c r="AK225" i="13"/>
  <c r="X225" i="13"/>
  <c r="T225" i="13"/>
  <c r="AL224" i="13"/>
  <c r="AK224" i="13"/>
  <c r="X224" i="13"/>
  <c r="T224" i="13"/>
  <c r="AL223" i="13"/>
  <c r="AK223" i="13"/>
  <c r="X223" i="13"/>
  <c r="T223" i="13"/>
  <c r="AL222" i="13"/>
  <c r="AK222" i="13"/>
  <c r="X222" i="13"/>
  <c r="T222" i="13"/>
  <c r="AL221" i="13"/>
  <c r="AK221" i="13"/>
  <c r="X221" i="13"/>
  <c r="T221" i="13"/>
  <c r="AL220" i="13"/>
  <c r="AK220" i="13"/>
  <c r="X220" i="13"/>
  <c r="T220" i="13"/>
  <c r="AL219" i="13"/>
  <c r="AK219" i="13"/>
  <c r="X219" i="13"/>
  <c r="T219" i="13"/>
  <c r="AL218" i="13"/>
  <c r="AK218" i="13"/>
  <c r="X218" i="13"/>
  <c r="T218" i="13"/>
  <c r="AL217" i="13"/>
  <c r="AK217" i="13"/>
  <c r="T217" i="13"/>
  <c r="AL216" i="13"/>
  <c r="AK216" i="13"/>
  <c r="T216" i="13"/>
  <c r="AL215" i="13"/>
  <c r="AK215" i="13"/>
  <c r="T215" i="13"/>
  <c r="AL214" i="13"/>
  <c r="AK214" i="13"/>
  <c r="X214" i="13"/>
  <c r="T214" i="13"/>
  <c r="AL213" i="13"/>
  <c r="AK213" i="13"/>
  <c r="AJ213" i="13"/>
  <c r="AM213" i="13" s="1"/>
  <c r="X213" i="13"/>
  <c r="T213" i="13"/>
  <c r="AL212" i="13"/>
  <c r="AK212" i="13"/>
  <c r="X212" i="13"/>
  <c r="T212" i="13"/>
  <c r="AL211" i="13"/>
  <c r="AK211" i="13"/>
  <c r="X211" i="13"/>
  <c r="T211" i="13"/>
  <c r="AL210" i="13"/>
  <c r="AK210" i="13"/>
  <c r="X210" i="13"/>
  <c r="T210" i="13"/>
  <c r="AL209" i="13"/>
  <c r="AK209" i="13"/>
  <c r="X209" i="13"/>
  <c r="T209" i="13"/>
  <c r="AL208" i="13"/>
  <c r="AK208" i="13"/>
  <c r="AJ208" i="13"/>
  <c r="AM208" i="13" s="1"/>
  <c r="X208" i="13"/>
  <c r="T208" i="13"/>
  <c r="AL207" i="13"/>
  <c r="AK207" i="13"/>
  <c r="X207" i="13"/>
  <c r="T207" i="13"/>
  <c r="AL206" i="13"/>
  <c r="AK206" i="13"/>
  <c r="X206" i="13"/>
  <c r="T206" i="13"/>
  <c r="AL205" i="13"/>
  <c r="AK205" i="13"/>
  <c r="X205" i="13"/>
  <c r="T205" i="13"/>
  <c r="AL204" i="13"/>
  <c r="AK204" i="13"/>
  <c r="X204" i="13"/>
  <c r="T204" i="13"/>
  <c r="AL203" i="13"/>
  <c r="AK203" i="13"/>
  <c r="X203" i="13"/>
  <c r="T203" i="13"/>
  <c r="AL202" i="13"/>
  <c r="AK202" i="13"/>
  <c r="X202" i="13"/>
  <c r="T202" i="13"/>
  <c r="AL201" i="13"/>
  <c r="AK201" i="13"/>
  <c r="X201" i="13"/>
  <c r="T201" i="13"/>
  <c r="AL200" i="13"/>
  <c r="AK200" i="13"/>
  <c r="X200" i="13"/>
  <c r="T200" i="13"/>
  <c r="AL199" i="13"/>
  <c r="AK199" i="13"/>
  <c r="X199" i="13"/>
  <c r="T199" i="13"/>
  <c r="AL198" i="13"/>
  <c r="AK198" i="13"/>
  <c r="X198" i="13"/>
  <c r="T198" i="13"/>
  <c r="AL197" i="13"/>
  <c r="AK197" i="13"/>
  <c r="X197" i="13"/>
  <c r="T197" i="13"/>
  <c r="AL196" i="13"/>
  <c r="AK196" i="13"/>
  <c r="X196" i="13"/>
  <c r="T196" i="13"/>
  <c r="AL195" i="13"/>
  <c r="AK195" i="13"/>
  <c r="X195" i="13"/>
  <c r="T195" i="13"/>
  <c r="AL194" i="13"/>
  <c r="AK194" i="13"/>
  <c r="X194" i="13"/>
  <c r="T194" i="13"/>
  <c r="AL193" i="13"/>
  <c r="AK193" i="13"/>
  <c r="X193" i="13"/>
  <c r="T193" i="13"/>
  <c r="AL192" i="13"/>
  <c r="AK192" i="13"/>
  <c r="X192" i="13"/>
  <c r="T192" i="13"/>
  <c r="AL191" i="13"/>
  <c r="AK191" i="13"/>
  <c r="X191" i="13"/>
  <c r="T191" i="13"/>
  <c r="AL190" i="13"/>
  <c r="AK190" i="13"/>
  <c r="X190" i="13"/>
  <c r="T190" i="13"/>
  <c r="AL189" i="13"/>
  <c r="AK189" i="13"/>
  <c r="X189" i="13"/>
  <c r="T189" i="13"/>
  <c r="AL188" i="13"/>
  <c r="AK188" i="13"/>
  <c r="AJ188" i="13"/>
  <c r="AM188" i="13" s="1"/>
  <c r="X188" i="13"/>
  <c r="T188" i="13"/>
  <c r="AL187" i="13"/>
  <c r="AK187" i="13"/>
  <c r="X187" i="13"/>
  <c r="T187" i="13"/>
  <c r="AL186" i="13"/>
  <c r="AK186" i="13"/>
  <c r="X186" i="13"/>
  <c r="T186" i="13"/>
  <c r="AL185" i="13"/>
  <c r="AK185" i="13"/>
  <c r="X185" i="13"/>
  <c r="T185" i="13"/>
  <c r="AL184" i="13"/>
  <c r="AK184" i="13"/>
  <c r="AJ184" i="13"/>
  <c r="AM184" i="13" s="1"/>
  <c r="X184" i="13"/>
  <c r="T184" i="13"/>
  <c r="AL183" i="13"/>
  <c r="AK183" i="13"/>
  <c r="X183" i="13"/>
  <c r="T183" i="13"/>
  <c r="AL182" i="13"/>
  <c r="AK182" i="13"/>
  <c r="X182" i="13"/>
  <c r="T182" i="13"/>
  <c r="AL181" i="13"/>
  <c r="AK181" i="13"/>
  <c r="X181" i="13"/>
  <c r="T181" i="13"/>
  <c r="AL180" i="13"/>
  <c r="AK180" i="13"/>
  <c r="X180" i="13"/>
  <c r="T180" i="13"/>
  <c r="AL179" i="13"/>
  <c r="AK179" i="13"/>
  <c r="X179" i="13"/>
  <c r="T179" i="13"/>
  <c r="AL178" i="13"/>
  <c r="AK178" i="13"/>
  <c r="X178" i="13"/>
  <c r="T178" i="13"/>
  <c r="AL177" i="13"/>
  <c r="AK177" i="13"/>
  <c r="AJ177" i="13"/>
  <c r="AM177" i="13" s="1"/>
  <c r="X177" i="13"/>
  <c r="T177" i="13"/>
  <c r="AL176" i="13"/>
  <c r="AK176" i="13"/>
  <c r="X176" i="13"/>
  <c r="T176" i="13"/>
  <c r="AL175" i="13"/>
  <c r="AK175" i="13"/>
  <c r="X175" i="13"/>
  <c r="T175" i="13"/>
  <c r="AL174" i="13"/>
  <c r="AK174" i="13"/>
  <c r="X174" i="13"/>
  <c r="T174" i="13"/>
  <c r="AL173" i="13"/>
  <c r="AK173" i="13"/>
  <c r="X173" i="13"/>
  <c r="T173" i="13"/>
  <c r="AL172" i="13"/>
  <c r="AK172" i="13"/>
  <c r="T172" i="13"/>
  <c r="AL171" i="13"/>
  <c r="AK171" i="13"/>
  <c r="T171" i="13"/>
  <c r="AL170" i="13"/>
  <c r="AK170" i="13"/>
  <c r="T170" i="13"/>
  <c r="AL169" i="13"/>
  <c r="AK169" i="13"/>
  <c r="X169" i="13"/>
  <c r="T169" i="13"/>
  <c r="AL168" i="13"/>
  <c r="AK168" i="13"/>
  <c r="AJ168" i="13"/>
  <c r="AM168" i="13" s="1"/>
  <c r="AO168" i="13" s="1"/>
  <c r="X168" i="13"/>
  <c r="T168" i="13"/>
  <c r="AL167" i="13"/>
  <c r="AK167" i="13"/>
  <c r="X167" i="13"/>
  <c r="T167" i="13"/>
  <c r="AL166" i="13"/>
  <c r="AK166" i="13"/>
  <c r="AJ166" i="13"/>
  <c r="AM166" i="13" s="1"/>
  <c r="X166" i="13"/>
  <c r="T166" i="13"/>
  <c r="AL165" i="13"/>
  <c r="AK165" i="13"/>
  <c r="X165" i="13"/>
  <c r="T165" i="13"/>
  <c r="AL164" i="13"/>
  <c r="AK164" i="13"/>
  <c r="X164" i="13"/>
  <c r="T164" i="13"/>
  <c r="AL163" i="13"/>
  <c r="AK163" i="13"/>
  <c r="AJ163" i="13"/>
  <c r="AM163" i="13" s="1"/>
  <c r="X163" i="13"/>
  <c r="T163" i="13"/>
  <c r="AL162" i="13"/>
  <c r="AK162" i="13"/>
  <c r="X162" i="13"/>
  <c r="T162" i="13"/>
  <c r="AL161" i="13"/>
  <c r="AK161" i="13"/>
  <c r="X161" i="13"/>
  <c r="T161" i="13"/>
  <c r="AL160" i="13"/>
  <c r="AK160" i="13"/>
  <c r="AJ160" i="13"/>
  <c r="AM160" i="13" s="1"/>
  <c r="X160" i="13"/>
  <c r="T160" i="13"/>
  <c r="AL159" i="13"/>
  <c r="AK159" i="13"/>
  <c r="X159" i="13"/>
  <c r="T159" i="13"/>
  <c r="AL158" i="13"/>
  <c r="AK158" i="13"/>
  <c r="X158" i="13"/>
  <c r="T158" i="13"/>
  <c r="AL157" i="13"/>
  <c r="AK157" i="13"/>
  <c r="X157" i="13"/>
  <c r="T157" i="13"/>
  <c r="AL156" i="13"/>
  <c r="AK156" i="13"/>
  <c r="X156" i="13"/>
  <c r="T156" i="13"/>
  <c r="AL155" i="13"/>
  <c r="AK155" i="13"/>
  <c r="X155" i="13"/>
  <c r="T155" i="13"/>
  <c r="AL154" i="13"/>
  <c r="AK154" i="13"/>
  <c r="X154" i="13"/>
  <c r="T154" i="13"/>
  <c r="AL153" i="13"/>
  <c r="AK153" i="13"/>
  <c r="X153" i="13"/>
  <c r="T153" i="13"/>
  <c r="AL152" i="13"/>
  <c r="AK152" i="13"/>
  <c r="X152" i="13"/>
  <c r="T152" i="13"/>
  <c r="AL151" i="13"/>
  <c r="AK151" i="13"/>
  <c r="X151" i="13"/>
  <c r="T151" i="13"/>
  <c r="AL150" i="13"/>
  <c r="AK150" i="13"/>
  <c r="X150" i="13"/>
  <c r="T150" i="13"/>
  <c r="AL149" i="13"/>
  <c r="AK149" i="13"/>
  <c r="X149" i="13"/>
  <c r="T149" i="13"/>
  <c r="AL148" i="13"/>
  <c r="AK148" i="13"/>
  <c r="X148" i="13"/>
  <c r="T148" i="13"/>
  <c r="AL147" i="13"/>
  <c r="AK147" i="13"/>
  <c r="X147" i="13"/>
  <c r="T147" i="13"/>
  <c r="AL146" i="13"/>
  <c r="AK146" i="13"/>
  <c r="X146" i="13"/>
  <c r="T146" i="13"/>
  <c r="AL145" i="13"/>
  <c r="AK145" i="13"/>
  <c r="X145" i="13"/>
  <c r="T145" i="13"/>
  <c r="AL144" i="13"/>
  <c r="AK144" i="13"/>
  <c r="AJ144" i="13"/>
  <c r="AM144" i="13" s="1"/>
  <c r="X144" i="13"/>
  <c r="T144" i="13"/>
  <c r="AL143" i="13"/>
  <c r="AK143" i="13"/>
  <c r="X143" i="13"/>
  <c r="T143" i="13"/>
  <c r="AL142" i="13"/>
  <c r="AK142" i="13"/>
  <c r="X142" i="13"/>
  <c r="T142" i="13"/>
  <c r="AL141" i="13"/>
  <c r="AK141" i="13"/>
  <c r="AJ141" i="13"/>
  <c r="AM141" i="13" s="1"/>
  <c r="X141" i="13"/>
  <c r="T141" i="13"/>
  <c r="AL140" i="13"/>
  <c r="AK140" i="13"/>
  <c r="X140" i="13"/>
  <c r="T140" i="13"/>
  <c r="AL139" i="13"/>
  <c r="AK139" i="13"/>
  <c r="T139" i="13"/>
  <c r="AL138" i="13"/>
  <c r="AK138" i="13"/>
  <c r="AJ138" i="13"/>
  <c r="AM138" i="13" s="1"/>
  <c r="T138" i="13"/>
  <c r="AL137" i="13"/>
  <c r="AK137" i="13"/>
  <c r="T137" i="13"/>
  <c r="AL136" i="13"/>
  <c r="AK136" i="13"/>
  <c r="X136" i="13"/>
  <c r="T136" i="13"/>
  <c r="AL135" i="13"/>
  <c r="AK135" i="13"/>
  <c r="X135" i="13"/>
  <c r="T135" i="13"/>
  <c r="AL134" i="13"/>
  <c r="AK134" i="13"/>
  <c r="X134" i="13"/>
  <c r="T134" i="13"/>
  <c r="AL133" i="13"/>
  <c r="AK133" i="13"/>
  <c r="X133" i="13"/>
  <c r="T133" i="13"/>
  <c r="AL132" i="13"/>
  <c r="AK132" i="13"/>
  <c r="X132" i="13"/>
  <c r="T132" i="13"/>
  <c r="AL131" i="13"/>
  <c r="AK131" i="13"/>
  <c r="X131" i="13"/>
  <c r="T131" i="13"/>
  <c r="AL130" i="13"/>
  <c r="AK130" i="13"/>
  <c r="AJ130" i="13"/>
  <c r="AM130" i="13" s="1"/>
  <c r="X130" i="13"/>
  <c r="T130" i="13"/>
  <c r="AL129" i="13"/>
  <c r="AK129" i="13"/>
  <c r="AJ129" i="13"/>
  <c r="AM129" i="13" s="1"/>
  <c r="X129" i="13"/>
  <c r="T129" i="13"/>
  <c r="AL128" i="13"/>
  <c r="AK128" i="13"/>
  <c r="X128" i="13"/>
  <c r="T128" i="13"/>
  <c r="AL127" i="13"/>
  <c r="AK127" i="13"/>
  <c r="X127" i="13"/>
  <c r="T127" i="13"/>
  <c r="AL126" i="13"/>
  <c r="AK126" i="13"/>
  <c r="X126" i="13"/>
  <c r="T126" i="13"/>
  <c r="AL125" i="13"/>
  <c r="AK125" i="13"/>
  <c r="X125" i="13"/>
  <c r="T125" i="13"/>
  <c r="AL124" i="13"/>
  <c r="AK124" i="13"/>
  <c r="X124" i="13"/>
  <c r="T124" i="13"/>
  <c r="AL123" i="13"/>
  <c r="AK123" i="13"/>
  <c r="X123" i="13"/>
  <c r="T123" i="13"/>
  <c r="AL122" i="13"/>
  <c r="AK122" i="13"/>
  <c r="X122" i="13"/>
  <c r="T122" i="13"/>
  <c r="AL121" i="13"/>
  <c r="AK121" i="13"/>
  <c r="X121" i="13"/>
  <c r="T121" i="13"/>
  <c r="AL120" i="13"/>
  <c r="AK120" i="13"/>
  <c r="X120" i="13"/>
  <c r="T120" i="13"/>
  <c r="AL119" i="13"/>
  <c r="AK119" i="13"/>
  <c r="X119" i="13"/>
  <c r="T119" i="13"/>
  <c r="AL118" i="13"/>
  <c r="AK118" i="13"/>
  <c r="AJ118" i="13"/>
  <c r="AM118" i="13" s="1"/>
  <c r="X118" i="13"/>
  <c r="T118" i="13"/>
  <c r="AL117" i="13"/>
  <c r="AK117" i="13"/>
  <c r="X117" i="13"/>
  <c r="T117" i="13"/>
  <c r="AL116" i="13"/>
  <c r="AK116" i="13"/>
  <c r="X116" i="13"/>
  <c r="T116" i="13"/>
  <c r="AL115" i="13"/>
  <c r="AK115" i="13"/>
  <c r="AJ115" i="13"/>
  <c r="AM115" i="13" s="1"/>
  <c r="AN115" i="13" s="1"/>
  <c r="X115" i="13"/>
  <c r="T115" i="13"/>
  <c r="AL114" i="13"/>
  <c r="AK114" i="13"/>
  <c r="X114" i="13"/>
  <c r="T114" i="13"/>
  <c r="AL113" i="13"/>
  <c r="AK113" i="13"/>
  <c r="X113" i="13"/>
  <c r="T113" i="13"/>
  <c r="AL112" i="13"/>
  <c r="AK112" i="13"/>
  <c r="X112" i="13"/>
  <c r="T112" i="13"/>
  <c r="AL111" i="13"/>
  <c r="AK111" i="13"/>
  <c r="X111" i="13"/>
  <c r="T111" i="13"/>
  <c r="AL110" i="13"/>
  <c r="AK110" i="13"/>
  <c r="AJ110" i="13"/>
  <c r="X110" i="13"/>
  <c r="T110" i="13"/>
  <c r="AL109" i="13"/>
  <c r="AK109" i="13"/>
  <c r="X109" i="13"/>
  <c r="T109" i="13"/>
  <c r="AL108" i="13"/>
  <c r="AK108" i="13"/>
  <c r="X108" i="13"/>
  <c r="T108" i="13"/>
  <c r="AL107" i="13"/>
  <c r="AK107" i="13"/>
  <c r="AJ107" i="13"/>
  <c r="AM107" i="13" s="1"/>
  <c r="AN107" i="13" s="1"/>
  <c r="X107" i="13"/>
  <c r="T107" i="13"/>
  <c r="AL106" i="13"/>
  <c r="AK106" i="13"/>
  <c r="X106" i="13"/>
  <c r="T106" i="13"/>
  <c r="AL105" i="13"/>
  <c r="AK105" i="13"/>
  <c r="X105" i="13"/>
  <c r="T105" i="13"/>
  <c r="AL104" i="13"/>
  <c r="AK104" i="13"/>
  <c r="X104" i="13"/>
  <c r="T104" i="13"/>
  <c r="AL103" i="13"/>
  <c r="AK103" i="13"/>
  <c r="X103" i="13"/>
  <c r="T103" i="13"/>
  <c r="AL102" i="13"/>
  <c r="AK102" i="13"/>
  <c r="AJ102" i="13"/>
  <c r="X102" i="13"/>
  <c r="T102" i="13"/>
  <c r="AL101" i="13"/>
  <c r="AK101" i="13"/>
  <c r="X101" i="13"/>
  <c r="T101" i="13"/>
  <c r="AL100" i="13"/>
  <c r="AK100" i="13"/>
  <c r="X100" i="13"/>
  <c r="T100" i="13"/>
  <c r="AL99" i="13"/>
  <c r="AK99" i="13"/>
  <c r="AJ99" i="13"/>
  <c r="AM99" i="13" s="1"/>
  <c r="AN99" i="13" s="1"/>
  <c r="X99" i="13"/>
  <c r="T99" i="13"/>
  <c r="AL98" i="13"/>
  <c r="AK98" i="13"/>
  <c r="X98" i="13"/>
  <c r="T98" i="13"/>
  <c r="AL97" i="13"/>
  <c r="AK97" i="13"/>
  <c r="X97" i="13"/>
  <c r="T97" i="13"/>
  <c r="F97" i="13" a="1"/>
  <c r="F97" i="13" s="1"/>
  <c r="AL96" i="13"/>
  <c r="AK96" i="13"/>
  <c r="X96" i="13"/>
  <c r="T96" i="13"/>
  <c r="AL95" i="13"/>
  <c r="AK95" i="13"/>
  <c r="X95" i="13"/>
  <c r="T95" i="13"/>
  <c r="F95" i="13" a="1"/>
  <c r="F95" i="13" s="1"/>
  <c r="AL94" i="13"/>
  <c r="AK94" i="13"/>
  <c r="X94" i="13"/>
  <c r="T94" i="13"/>
  <c r="AL93" i="13"/>
  <c r="AK93" i="13"/>
  <c r="X93" i="13"/>
  <c r="T93" i="13"/>
  <c r="AL92" i="13"/>
  <c r="AK92" i="13"/>
  <c r="X92" i="13"/>
  <c r="T92" i="13"/>
  <c r="H92" i="13" a="1"/>
  <c r="H92" i="13" s="1"/>
  <c r="G92" i="13" a="1"/>
  <c r="G92" i="13" s="1"/>
  <c r="F92" i="13"/>
  <c r="F92" i="13" a="1"/>
  <c r="AL91" i="13"/>
  <c r="AK91" i="13"/>
  <c r="X91" i="13"/>
  <c r="T91" i="13"/>
  <c r="AL90" i="13"/>
  <c r="AK90" i="13"/>
  <c r="X90" i="13"/>
  <c r="T90" i="13"/>
  <c r="AL89" i="13"/>
  <c r="AK89" i="13"/>
  <c r="X89" i="13"/>
  <c r="T89" i="13"/>
  <c r="AL88" i="13"/>
  <c r="AK88" i="13"/>
  <c r="T88" i="13"/>
  <c r="AL87" i="13"/>
  <c r="AK87" i="13"/>
  <c r="T87" i="13"/>
  <c r="AL86" i="13"/>
  <c r="AK86" i="13"/>
  <c r="T86" i="13"/>
  <c r="AL85" i="13"/>
  <c r="AK85" i="13"/>
  <c r="AJ85" i="13"/>
  <c r="AM85" i="13" s="1"/>
  <c r="X85" i="13"/>
  <c r="T85" i="13"/>
  <c r="F85" i="13"/>
  <c r="F85" i="13" a="1"/>
  <c r="AL84" i="13"/>
  <c r="AK84" i="13"/>
  <c r="X84" i="13"/>
  <c r="T84" i="13"/>
  <c r="AL83" i="13"/>
  <c r="AK83" i="13"/>
  <c r="X83" i="13"/>
  <c r="T83" i="13"/>
  <c r="F83" i="13" a="1"/>
  <c r="F83" i="13" s="1"/>
  <c r="AL82" i="13"/>
  <c r="AK82" i="13"/>
  <c r="X82" i="13"/>
  <c r="T82" i="13"/>
  <c r="AL81" i="13"/>
  <c r="AK81" i="13"/>
  <c r="AJ81" i="13"/>
  <c r="AM81" i="13" s="1"/>
  <c r="AO81" i="13" s="1"/>
  <c r="X81" i="13"/>
  <c r="T81" i="13"/>
  <c r="AL80" i="13"/>
  <c r="AK80" i="13"/>
  <c r="AJ80" i="13"/>
  <c r="AM80" i="13" s="1"/>
  <c r="X80" i="13"/>
  <c r="T80" i="13"/>
  <c r="H80" i="13" a="1"/>
  <c r="H80" i="13" s="1"/>
  <c r="G80" i="13" a="1"/>
  <c r="G80" i="13" s="1"/>
  <c r="F80" i="13" a="1"/>
  <c r="F80" i="13" s="1"/>
  <c r="AL79" i="13"/>
  <c r="AK79" i="13"/>
  <c r="X79" i="13"/>
  <c r="T79" i="13"/>
  <c r="AL78" i="13"/>
  <c r="AK78" i="13"/>
  <c r="X78" i="13"/>
  <c r="T78" i="13"/>
  <c r="AL77" i="13"/>
  <c r="AK77" i="13"/>
  <c r="X77" i="13"/>
  <c r="T77" i="13"/>
  <c r="AL76" i="13"/>
  <c r="AK76" i="13"/>
  <c r="X76" i="13"/>
  <c r="T76" i="13"/>
  <c r="AL75" i="13"/>
  <c r="AK75" i="13"/>
  <c r="X75" i="13"/>
  <c r="T75" i="13"/>
  <c r="AL74" i="13"/>
  <c r="AK74" i="13"/>
  <c r="X74" i="13"/>
  <c r="T74" i="13"/>
  <c r="AL73" i="13"/>
  <c r="AK73" i="13"/>
  <c r="X73" i="13"/>
  <c r="T73" i="13"/>
  <c r="F73" i="13" a="1"/>
  <c r="F73" i="13" s="1"/>
  <c r="AL72" i="13"/>
  <c r="AK72" i="13"/>
  <c r="AJ72" i="13"/>
  <c r="AM72" i="13" s="1"/>
  <c r="X72" i="13"/>
  <c r="T72" i="13"/>
  <c r="AL71" i="13"/>
  <c r="AK71" i="13"/>
  <c r="AJ71" i="13"/>
  <c r="AM71" i="13" s="1"/>
  <c r="X71" i="13"/>
  <c r="T71" i="13"/>
  <c r="F71" i="13" a="1"/>
  <c r="F71" i="13" s="1"/>
  <c r="AL70" i="13"/>
  <c r="AK70" i="13"/>
  <c r="X70" i="13"/>
  <c r="T70" i="13"/>
  <c r="AL69" i="13"/>
  <c r="AK69" i="13"/>
  <c r="X69" i="13"/>
  <c r="T69" i="13"/>
  <c r="AL68" i="13"/>
  <c r="AK68" i="13"/>
  <c r="X68" i="13"/>
  <c r="T68" i="13"/>
  <c r="H68" i="13" a="1"/>
  <c r="H68" i="13" s="1"/>
  <c r="G68" i="13"/>
  <c r="G68" i="13" a="1"/>
  <c r="F68" i="13" a="1"/>
  <c r="F68" i="13" s="1"/>
  <c r="AL67" i="13"/>
  <c r="AK67" i="13"/>
  <c r="X67" i="13"/>
  <c r="T67" i="13"/>
  <c r="AL66" i="13"/>
  <c r="AK66" i="13"/>
  <c r="X66" i="13"/>
  <c r="T66" i="13"/>
  <c r="AL65" i="13"/>
  <c r="AK65" i="13"/>
  <c r="X65" i="13"/>
  <c r="T65" i="13"/>
  <c r="AL64" i="13"/>
  <c r="AK64" i="13"/>
  <c r="X64" i="13"/>
  <c r="T64" i="13"/>
  <c r="AL63" i="13"/>
  <c r="AK63" i="13"/>
  <c r="X63" i="13"/>
  <c r="T63" i="13"/>
  <c r="AL62" i="13"/>
  <c r="AK62" i="13"/>
  <c r="X62" i="13"/>
  <c r="T62" i="13"/>
  <c r="AL61" i="13"/>
  <c r="AK61" i="13"/>
  <c r="X61" i="13"/>
  <c r="T61" i="13"/>
  <c r="F61" i="13"/>
  <c r="F61" i="13" a="1"/>
  <c r="AL60" i="13"/>
  <c r="AK60" i="13"/>
  <c r="AJ60" i="13"/>
  <c r="AM60" i="13" s="1"/>
  <c r="X60" i="13"/>
  <c r="T60" i="13"/>
  <c r="AL59" i="13"/>
  <c r="AK59" i="13"/>
  <c r="X59" i="13"/>
  <c r="T59" i="13"/>
  <c r="F59" i="13" a="1"/>
  <c r="F59" i="13" s="1"/>
  <c r="AL58" i="13"/>
  <c r="AK58" i="13"/>
  <c r="X58" i="13"/>
  <c r="T58" i="13"/>
  <c r="AL57" i="13"/>
  <c r="AK57" i="13"/>
  <c r="X57" i="13"/>
  <c r="T57" i="13"/>
  <c r="AL56" i="13"/>
  <c r="AK56" i="13"/>
  <c r="X56" i="13"/>
  <c r="T56" i="13"/>
  <c r="H56" i="13" a="1"/>
  <c r="H56" i="13" s="1"/>
  <c r="G56" i="13"/>
  <c r="G56" i="13" a="1"/>
  <c r="F56" i="13" a="1"/>
  <c r="F56" i="13" s="1"/>
  <c r="AL55" i="13"/>
  <c r="AK55" i="13"/>
  <c r="X55" i="13"/>
  <c r="T55" i="13"/>
  <c r="AL54" i="13"/>
  <c r="AK54" i="13"/>
  <c r="X54" i="13"/>
  <c r="T54" i="13"/>
  <c r="AL53" i="13"/>
  <c r="AK53" i="13"/>
  <c r="X53" i="13"/>
  <c r="T53" i="13"/>
  <c r="AL52" i="13"/>
  <c r="AK52" i="13"/>
  <c r="X52" i="13"/>
  <c r="T52" i="13"/>
  <c r="AL51" i="13"/>
  <c r="AK51" i="13"/>
  <c r="AJ51" i="13"/>
  <c r="AM51" i="13" s="1"/>
  <c r="X51" i="13"/>
  <c r="T51" i="13"/>
  <c r="AL50" i="13"/>
  <c r="AK50" i="13"/>
  <c r="AJ50" i="13"/>
  <c r="AM50" i="13" s="1"/>
  <c r="X50" i="13"/>
  <c r="T50" i="13"/>
  <c r="AL49" i="13"/>
  <c r="AK49" i="13"/>
  <c r="AJ49" i="13"/>
  <c r="AM49" i="13" s="1"/>
  <c r="X49" i="13"/>
  <c r="T49" i="13"/>
  <c r="F49" i="13" a="1"/>
  <c r="F49" i="13" s="1"/>
  <c r="AL48" i="13"/>
  <c r="AK48" i="13"/>
  <c r="X48" i="13"/>
  <c r="T48" i="13"/>
  <c r="AL47" i="13"/>
  <c r="AK47" i="13"/>
  <c r="X47" i="13"/>
  <c r="T47" i="13"/>
  <c r="F47" i="13" a="1"/>
  <c r="F47" i="13" s="1"/>
  <c r="AL46" i="13"/>
  <c r="AK46" i="13"/>
  <c r="AJ46" i="13"/>
  <c r="AM46" i="13" s="1"/>
  <c r="X46" i="13"/>
  <c r="T46" i="13"/>
  <c r="AL45" i="13"/>
  <c r="AK45" i="13"/>
  <c r="X45" i="13"/>
  <c r="T45" i="13"/>
  <c r="AL44" i="13"/>
  <c r="AK44" i="13"/>
  <c r="X44" i="13"/>
  <c r="T44" i="13"/>
  <c r="H44" i="13" a="1"/>
  <c r="H44" i="13" s="1"/>
  <c r="G44" i="13" a="1"/>
  <c r="G44" i="13" s="1"/>
  <c r="F44" i="13"/>
  <c r="F44" i="13" a="1"/>
  <c r="AL43" i="13"/>
  <c r="AK43" i="13"/>
  <c r="AJ43" i="13"/>
  <c r="T43" i="13"/>
  <c r="AL42" i="13"/>
  <c r="AK42" i="13"/>
  <c r="AJ42" i="13"/>
  <c r="AM42" i="13" s="1"/>
  <c r="T42" i="13"/>
  <c r="AL41" i="13"/>
  <c r="AK41" i="13"/>
  <c r="AJ41" i="13"/>
  <c r="T41" i="13"/>
  <c r="AL40" i="13"/>
  <c r="AK40" i="13"/>
  <c r="AJ40" i="13"/>
  <c r="AM40" i="13" s="1"/>
  <c r="X40" i="13"/>
  <c r="T40" i="13"/>
  <c r="AL39" i="13"/>
  <c r="AK39" i="13"/>
  <c r="X39" i="13"/>
  <c r="T39" i="13"/>
  <c r="AL38" i="13"/>
  <c r="AK38" i="13"/>
  <c r="X38" i="13"/>
  <c r="T38" i="13"/>
  <c r="AL37" i="13"/>
  <c r="AK37" i="13"/>
  <c r="X37" i="13"/>
  <c r="T37" i="13"/>
  <c r="F37" i="13"/>
  <c r="F37" i="13" a="1"/>
  <c r="AL36" i="13"/>
  <c r="AK36" i="13"/>
  <c r="AJ36" i="13"/>
  <c r="AM36" i="13" s="1"/>
  <c r="X36" i="13"/>
  <c r="T36" i="13"/>
  <c r="AL35" i="13"/>
  <c r="AK35" i="13"/>
  <c r="X35" i="13"/>
  <c r="T35" i="13"/>
  <c r="F35" i="13" a="1"/>
  <c r="F35" i="13" s="1"/>
  <c r="AL34" i="13"/>
  <c r="AK34" i="13"/>
  <c r="AJ34" i="13"/>
  <c r="AM34" i="13" s="1"/>
  <c r="X34" i="13"/>
  <c r="T34" i="13"/>
  <c r="AL33" i="13"/>
  <c r="AK33" i="13"/>
  <c r="AJ33" i="13"/>
  <c r="X33" i="13"/>
  <c r="T33" i="13"/>
  <c r="AL32" i="13"/>
  <c r="AK32" i="13"/>
  <c r="X32" i="13"/>
  <c r="T32" i="13"/>
  <c r="H32" i="13" a="1"/>
  <c r="H32" i="13" s="1"/>
  <c r="G32" i="13"/>
  <c r="G32" i="13" a="1"/>
  <c r="F32" i="13" a="1"/>
  <c r="F32" i="13" s="1"/>
  <c r="AL31" i="13"/>
  <c r="AK31" i="13"/>
  <c r="X31" i="13"/>
  <c r="T31" i="13"/>
  <c r="AL30" i="13"/>
  <c r="AK30" i="13"/>
  <c r="X30" i="13"/>
  <c r="T30" i="13"/>
  <c r="AL29" i="13"/>
  <c r="AK29" i="13"/>
  <c r="AJ29" i="13"/>
  <c r="AM29" i="13" s="1"/>
  <c r="X29" i="13"/>
  <c r="T29" i="13"/>
  <c r="AL28" i="13"/>
  <c r="AK28" i="13"/>
  <c r="AJ28" i="13"/>
  <c r="X28" i="13"/>
  <c r="T28" i="13"/>
  <c r="J28" i="13"/>
  <c r="AL27" i="13"/>
  <c r="AK27" i="13"/>
  <c r="X27" i="13"/>
  <c r="T27" i="13"/>
  <c r="AL26" i="13"/>
  <c r="AK26" i="13"/>
  <c r="X26" i="13"/>
  <c r="T26" i="13"/>
  <c r="AL25" i="13"/>
  <c r="AK25" i="13"/>
  <c r="AJ25" i="13"/>
  <c r="AM25" i="13" s="1"/>
  <c r="X25" i="13"/>
  <c r="Y8" i="13" s="1" a="1"/>
  <c r="T25" i="13"/>
  <c r="F25" i="13" a="1"/>
  <c r="F25" i="13" s="1"/>
  <c r="AL24" i="13"/>
  <c r="AK24" i="13"/>
  <c r="X24" i="13"/>
  <c r="T24" i="13"/>
  <c r="AL23" i="13"/>
  <c r="AK23" i="13"/>
  <c r="X23" i="13"/>
  <c r="T23" i="13"/>
  <c r="F23" i="13"/>
  <c r="F23" i="13" a="1"/>
  <c r="AL22" i="13"/>
  <c r="AK22" i="13"/>
  <c r="X22" i="13"/>
  <c r="T22" i="13"/>
  <c r="AL21" i="13"/>
  <c r="AK21" i="13"/>
  <c r="X21" i="13"/>
  <c r="T21" i="13"/>
  <c r="AL20" i="13"/>
  <c r="AK20" i="13"/>
  <c r="X20" i="13"/>
  <c r="T20" i="13"/>
  <c r="H20" i="13"/>
  <c r="H20" i="13" a="1"/>
  <c r="G20" i="13" a="1"/>
  <c r="G20" i="13" s="1"/>
  <c r="F20" i="13" a="1"/>
  <c r="F20" i="13" s="1"/>
  <c r="AL19" i="13"/>
  <c r="AK19" i="13"/>
  <c r="X19" i="13"/>
  <c r="T19" i="13"/>
  <c r="AL18" i="13"/>
  <c r="AK18" i="13"/>
  <c r="AJ18" i="13"/>
  <c r="AM18" i="13" s="1"/>
  <c r="X18" i="13"/>
  <c r="T18" i="13"/>
  <c r="AL17" i="13"/>
  <c r="AK17" i="13"/>
  <c r="X17" i="13"/>
  <c r="T17" i="13"/>
  <c r="AL16" i="13"/>
  <c r="AK16" i="13"/>
  <c r="X16" i="13"/>
  <c r="T16" i="13"/>
  <c r="AL15" i="13"/>
  <c r="AK15" i="13"/>
  <c r="X15" i="13"/>
  <c r="T15" i="13"/>
  <c r="AL14" i="13"/>
  <c r="AK14" i="13"/>
  <c r="AJ14" i="13"/>
  <c r="AM14" i="13" s="1"/>
  <c r="X14" i="13"/>
  <c r="T14" i="13"/>
  <c r="AL13" i="13"/>
  <c r="AK13" i="13"/>
  <c r="X13" i="13"/>
  <c r="T13" i="13"/>
  <c r="AL12" i="13"/>
  <c r="AK12" i="13"/>
  <c r="X12" i="13"/>
  <c r="T12" i="13"/>
  <c r="AL11" i="13"/>
  <c r="AK11" i="13"/>
  <c r="X11" i="13"/>
  <c r="T11" i="13"/>
  <c r="AL10" i="13"/>
  <c r="AK10" i="13"/>
  <c r="AJ10" i="13"/>
  <c r="AM10" i="13" s="1"/>
  <c r="T10" i="13"/>
  <c r="V8" i="13" s="1"/>
  <c r="AL9" i="13"/>
  <c r="AK9" i="13"/>
  <c r="AJ9" i="13"/>
  <c r="AM9" i="13" s="1"/>
  <c r="T9" i="13"/>
  <c r="AL8" i="13"/>
  <c r="AK8" i="13"/>
  <c r="AI8" i="13" a="1"/>
  <c r="AI8" i="13" s="1"/>
  <c r="AH8" i="13" a="1"/>
  <c r="AJ704" i="13" s="1"/>
  <c r="AM704" i="13" s="1"/>
  <c r="T8" i="13"/>
  <c r="H8" i="13" a="1"/>
  <c r="H8" i="13" s="1"/>
  <c r="G8" i="13" a="1"/>
  <c r="G8" i="13" s="1"/>
  <c r="F8" i="13" a="1"/>
  <c r="F8" i="13" s="1"/>
  <c r="T5" i="13"/>
  <c r="S5" i="13"/>
  <c r="R5" i="13"/>
  <c r="Q5" i="13"/>
  <c r="P5" i="13"/>
  <c r="O5" i="13"/>
  <c r="P5" i="9"/>
  <c r="Q5" i="9"/>
  <c r="R5" i="9"/>
  <c r="S5" i="9"/>
  <c r="T5" i="9"/>
  <c r="O5" i="9"/>
  <c r="X1015" i="9"/>
  <c r="X1010" i="9"/>
  <c r="X994" i="9"/>
  <c r="X910" i="9"/>
  <c r="X886" i="9"/>
  <c r="X865" i="9"/>
  <c r="X757" i="9"/>
  <c r="X751" i="9"/>
  <c r="X736" i="9"/>
  <c r="X652" i="9"/>
  <c r="X628" i="9"/>
  <c r="X607" i="9"/>
  <c r="X517" i="9"/>
  <c r="X499" i="9"/>
  <c r="X494" i="9"/>
  <c r="X478" i="9"/>
  <c r="X394" i="9"/>
  <c r="X370" i="9"/>
  <c r="X349" i="9"/>
  <c r="X241" i="9"/>
  <c r="X235" i="9"/>
  <c r="T1031" i="9"/>
  <c r="T1025" i="9"/>
  <c r="T1003" i="9"/>
  <c r="T992" i="9"/>
  <c r="T963" i="9"/>
  <c r="T959" i="9"/>
  <c r="T946" i="9"/>
  <c r="T938" i="9"/>
  <c r="T931" i="9"/>
  <c r="T927" i="9"/>
  <c r="T925" i="9"/>
  <c r="T918" i="9"/>
  <c r="T916" i="9"/>
  <c r="T912" i="9"/>
  <c r="T903" i="9"/>
  <c r="T897" i="9"/>
  <c r="T888" i="9"/>
  <c r="T876" i="9"/>
  <c r="T873" i="9"/>
  <c r="T849" i="9"/>
  <c r="T834" i="9"/>
  <c r="X833" i="9"/>
  <c r="X818" i="9"/>
  <c r="T813" i="9"/>
  <c r="T810" i="9"/>
  <c r="T801" i="9"/>
  <c r="T795" i="9"/>
  <c r="T789" i="9"/>
  <c r="T786" i="9"/>
  <c r="T783" i="9"/>
  <c r="T780" i="9"/>
  <c r="T774" i="9"/>
  <c r="T768" i="9"/>
  <c r="T756" i="9"/>
  <c r="T747" i="9"/>
  <c r="T744" i="9"/>
  <c r="T720" i="9"/>
  <c r="T705" i="9"/>
  <c r="T702" i="9"/>
  <c r="T687" i="9"/>
  <c r="T681" i="9"/>
  <c r="T669" i="9"/>
  <c r="T660" i="9"/>
  <c r="X659" i="9"/>
  <c r="T654" i="9"/>
  <c r="T645" i="9"/>
  <c r="T639" i="9"/>
  <c r="T630" i="9"/>
  <c r="T618" i="9"/>
  <c r="X614" i="9"/>
  <c r="T591" i="9"/>
  <c r="T576" i="9"/>
  <c r="T573" i="9"/>
  <c r="X560" i="9"/>
  <c r="T555" i="9"/>
  <c r="T552" i="9"/>
  <c r="T543" i="9"/>
  <c r="T540" i="9"/>
  <c r="T531" i="9"/>
  <c r="T525" i="9"/>
  <c r="T516" i="9"/>
  <c r="X509" i="9"/>
  <c r="T498" i="9"/>
  <c r="T486" i="9"/>
  <c r="X479" i="9"/>
  <c r="T447" i="9"/>
  <c r="T444" i="9"/>
  <c r="T429" i="9"/>
  <c r="T423" i="9"/>
  <c r="T411" i="9"/>
  <c r="T402" i="9"/>
  <c r="T399" i="9"/>
  <c r="T393" i="9"/>
  <c r="T381" i="9"/>
  <c r="T372" i="9"/>
  <c r="T369" i="9"/>
  <c r="T360" i="9"/>
  <c r="T357" i="9"/>
  <c r="T315" i="9"/>
  <c r="T300" i="9"/>
  <c r="T297" i="9"/>
  <c r="X296" i="9"/>
  <c r="T285" i="9"/>
  <c r="T279" i="9"/>
  <c r="T270" i="9"/>
  <c r="T267" i="9"/>
  <c r="T264" i="9"/>
  <c r="T258" i="9"/>
  <c r="T252" i="9"/>
  <c r="T243" i="9"/>
  <c r="T231" i="9"/>
  <c r="T219" i="9"/>
  <c r="T189" i="9"/>
  <c r="T186" i="9"/>
  <c r="T171" i="9"/>
  <c r="T165" i="9"/>
  <c r="X158" i="9"/>
  <c r="T153" i="9"/>
  <c r="T144" i="9"/>
  <c r="T141" i="9"/>
  <c r="X220" i="9"/>
  <c r="J28" i="9"/>
  <c r="T1023" i="9"/>
  <c r="X1020" i="9"/>
  <c r="T986" i="9"/>
  <c r="T969" i="9"/>
  <c r="T953" i="9"/>
  <c r="T951" i="9"/>
  <c r="T921" i="9"/>
  <c r="T895" i="9"/>
  <c r="T871" i="9"/>
  <c r="X867" i="9"/>
  <c r="T857" i="9"/>
  <c r="X852" i="9"/>
  <c r="T847" i="9"/>
  <c r="T836" i="9"/>
  <c r="T829" i="9"/>
  <c r="T825" i="9"/>
  <c r="X819" i="9"/>
  <c r="T807" i="9"/>
  <c r="T764" i="9"/>
  <c r="T729" i="9"/>
  <c r="T727" i="9"/>
  <c r="T713" i="9"/>
  <c r="T711" i="9"/>
  <c r="T707" i="9"/>
  <c r="T696" i="9"/>
  <c r="T693" i="9"/>
  <c r="T674" i="9"/>
  <c r="T663" i="9"/>
  <c r="T609" i="9"/>
  <c r="T593" i="9"/>
  <c r="T587" i="9"/>
  <c r="T580" i="9"/>
  <c r="T569" i="9"/>
  <c r="T561" i="9"/>
  <c r="T549" i="9"/>
  <c r="X510" i="9"/>
  <c r="T504" i="9"/>
  <c r="T480" i="9"/>
  <c r="T471" i="9"/>
  <c r="T468" i="9"/>
  <c r="X456" i="9"/>
  <c r="T439" i="9"/>
  <c r="T434" i="9"/>
  <c r="T417" i="9"/>
  <c r="T406" i="9"/>
  <c r="T353" i="9"/>
  <c r="T351" i="9"/>
  <c r="X336" i="9"/>
  <c r="T329" i="9"/>
  <c r="T321" i="9"/>
  <c r="T312" i="9"/>
  <c r="T303" i="9"/>
  <c r="T291" i="9"/>
  <c r="T249" i="9"/>
  <c r="T247" i="9"/>
  <c r="T213" i="9"/>
  <c r="T209" i="9"/>
  <c r="T199" i="9"/>
  <c r="T196" i="9"/>
  <c r="T192" i="9"/>
  <c r="T180" i="9"/>
  <c r="T177" i="9"/>
  <c r="T159" i="9"/>
  <c r="G8" i="9" a="1"/>
  <c r="G8" i="9" s="1"/>
  <c r="AL8" i="9"/>
  <c r="AL9" i="9"/>
  <c r="AL10" i="9"/>
  <c r="AL11" i="9"/>
  <c r="AL12" i="9"/>
  <c r="AL13" i="9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05" i="9"/>
  <c r="AL106" i="9"/>
  <c r="AL107" i="9"/>
  <c r="AL108" i="9"/>
  <c r="AL109" i="9"/>
  <c r="AL110" i="9"/>
  <c r="AL111" i="9"/>
  <c r="AL112" i="9"/>
  <c r="AL113" i="9"/>
  <c r="AL114" i="9"/>
  <c r="AL115" i="9"/>
  <c r="AL116" i="9"/>
  <c r="AL117" i="9"/>
  <c r="AL118" i="9"/>
  <c r="AL119" i="9"/>
  <c r="AL120" i="9"/>
  <c r="AL121" i="9"/>
  <c r="AL122" i="9"/>
  <c r="AL123" i="9"/>
  <c r="AL124" i="9"/>
  <c r="AL125" i="9"/>
  <c r="AL126" i="9"/>
  <c r="AL127" i="9"/>
  <c r="AL128" i="9"/>
  <c r="AL129" i="9"/>
  <c r="AL130" i="9"/>
  <c r="AL131" i="9"/>
  <c r="AL132" i="9"/>
  <c r="AL133" i="9"/>
  <c r="AL134" i="9"/>
  <c r="AL135" i="9"/>
  <c r="AL136" i="9"/>
  <c r="AL137" i="9"/>
  <c r="AL138" i="9"/>
  <c r="AL139" i="9"/>
  <c r="AL140" i="9"/>
  <c r="AL141" i="9"/>
  <c r="AL142" i="9"/>
  <c r="AL143" i="9"/>
  <c r="AL144" i="9"/>
  <c r="AL145" i="9"/>
  <c r="AL146" i="9"/>
  <c r="AL147" i="9"/>
  <c r="AL148" i="9"/>
  <c r="AL149" i="9"/>
  <c r="AL150" i="9"/>
  <c r="AL151" i="9"/>
  <c r="AL152" i="9"/>
  <c r="AL153" i="9"/>
  <c r="AL154" i="9"/>
  <c r="AL155" i="9"/>
  <c r="AL156" i="9"/>
  <c r="AL157" i="9"/>
  <c r="AL158" i="9"/>
  <c r="AL159" i="9"/>
  <c r="AL160" i="9"/>
  <c r="AL161" i="9"/>
  <c r="AL162" i="9"/>
  <c r="AL163" i="9"/>
  <c r="AL164" i="9"/>
  <c r="AL165" i="9"/>
  <c r="AL166" i="9"/>
  <c r="AL167" i="9"/>
  <c r="AL168" i="9"/>
  <c r="AL169" i="9"/>
  <c r="AL170" i="9"/>
  <c r="AL171" i="9"/>
  <c r="AL172" i="9"/>
  <c r="AL173" i="9"/>
  <c r="AL174" i="9"/>
  <c r="AL175" i="9"/>
  <c r="AL176" i="9"/>
  <c r="AL177" i="9"/>
  <c r="AL178" i="9"/>
  <c r="AL179" i="9"/>
  <c r="AL180" i="9"/>
  <c r="AL181" i="9"/>
  <c r="AL182" i="9"/>
  <c r="AL183" i="9"/>
  <c r="AL184" i="9"/>
  <c r="AL185" i="9"/>
  <c r="AL186" i="9"/>
  <c r="AL187" i="9"/>
  <c r="AL188" i="9"/>
  <c r="AL189" i="9"/>
  <c r="AL190" i="9"/>
  <c r="AL191" i="9"/>
  <c r="AL192" i="9"/>
  <c r="AL193" i="9"/>
  <c r="AL194" i="9"/>
  <c r="AL195" i="9"/>
  <c r="AL196" i="9"/>
  <c r="AL197" i="9"/>
  <c r="AL198" i="9"/>
  <c r="AL199" i="9"/>
  <c r="AL200" i="9"/>
  <c r="AL201" i="9"/>
  <c r="AL202" i="9"/>
  <c r="AL203" i="9"/>
  <c r="AL204" i="9"/>
  <c r="AL205" i="9"/>
  <c r="AL206" i="9"/>
  <c r="AL207" i="9"/>
  <c r="AL208" i="9"/>
  <c r="AL209" i="9"/>
  <c r="AL210" i="9"/>
  <c r="AL211" i="9"/>
  <c r="AL212" i="9"/>
  <c r="AL213" i="9"/>
  <c r="AL214" i="9"/>
  <c r="AL215" i="9"/>
  <c r="AL216" i="9"/>
  <c r="AL217" i="9"/>
  <c r="AL218" i="9"/>
  <c r="AL219" i="9"/>
  <c r="AL220" i="9"/>
  <c r="AL221" i="9"/>
  <c r="AL222" i="9"/>
  <c r="AL223" i="9"/>
  <c r="AL224" i="9"/>
  <c r="AL225" i="9"/>
  <c r="AL226" i="9"/>
  <c r="AL227" i="9"/>
  <c r="AL228" i="9"/>
  <c r="AL229" i="9"/>
  <c r="AL230" i="9"/>
  <c r="AL231" i="9"/>
  <c r="AL232" i="9"/>
  <c r="AL233" i="9"/>
  <c r="AL234" i="9"/>
  <c r="AL235" i="9"/>
  <c r="AL236" i="9"/>
  <c r="AL237" i="9"/>
  <c r="AL238" i="9"/>
  <c r="AL239" i="9"/>
  <c r="AL240" i="9"/>
  <c r="AL241" i="9"/>
  <c r="AL242" i="9"/>
  <c r="AL243" i="9"/>
  <c r="AL244" i="9"/>
  <c r="AL245" i="9"/>
  <c r="AL246" i="9"/>
  <c r="AL247" i="9"/>
  <c r="AL248" i="9"/>
  <c r="AL249" i="9"/>
  <c r="AL250" i="9"/>
  <c r="AL251" i="9"/>
  <c r="AL252" i="9"/>
  <c r="AL253" i="9"/>
  <c r="AL254" i="9"/>
  <c r="AL255" i="9"/>
  <c r="AL256" i="9"/>
  <c r="AL257" i="9"/>
  <c r="AL258" i="9"/>
  <c r="AL259" i="9"/>
  <c r="AL260" i="9"/>
  <c r="AL261" i="9"/>
  <c r="AL262" i="9"/>
  <c r="AL263" i="9"/>
  <c r="AL264" i="9"/>
  <c r="AL265" i="9"/>
  <c r="AL266" i="9"/>
  <c r="AL267" i="9"/>
  <c r="AL268" i="9"/>
  <c r="AL269" i="9"/>
  <c r="AL270" i="9"/>
  <c r="AL271" i="9"/>
  <c r="AL272" i="9"/>
  <c r="AL273" i="9"/>
  <c r="AL274" i="9"/>
  <c r="AL275" i="9"/>
  <c r="AL276" i="9"/>
  <c r="AL277" i="9"/>
  <c r="AL278" i="9"/>
  <c r="AL279" i="9"/>
  <c r="AL280" i="9"/>
  <c r="AL281" i="9"/>
  <c r="AL282" i="9"/>
  <c r="AL283" i="9"/>
  <c r="AL284" i="9"/>
  <c r="AL285" i="9"/>
  <c r="AL286" i="9"/>
  <c r="AL287" i="9"/>
  <c r="AL288" i="9"/>
  <c r="AL289" i="9"/>
  <c r="AL290" i="9"/>
  <c r="AL291" i="9"/>
  <c r="AL292" i="9"/>
  <c r="AL293" i="9"/>
  <c r="AL294" i="9"/>
  <c r="AL295" i="9"/>
  <c r="AL296" i="9"/>
  <c r="AL297" i="9"/>
  <c r="AL298" i="9"/>
  <c r="AL299" i="9"/>
  <c r="AL300" i="9"/>
  <c r="AL301" i="9"/>
  <c r="AL302" i="9"/>
  <c r="AL303" i="9"/>
  <c r="AL304" i="9"/>
  <c r="AL305" i="9"/>
  <c r="AL306" i="9"/>
  <c r="AL307" i="9"/>
  <c r="AL308" i="9"/>
  <c r="AL309" i="9"/>
  <c r="AL310" i="9"/>
  <c r="AL311" i="9"/>
  <c r="AL312" i="9"/>
  <c r="AL313" i="9"/>
  <c r="AL314" i="9"/>
  <c r="AL315" i="9"/>
  <c r="AL316" i="9"/>
  <c r="AL317" i="9"/>
  <c r="AL318" i="9"/>
  <c r="AL319" i="9"/>
  <c r="AL320" i="9"/>
  <c r="AL321" i="9"/>
  <c r="AL322" i="9"/>
  <c r="AL323" i="9"/>
  <c r="AL324" i="9"/>
  <c r="AL325" i="9"/>
  <c r="AL326" i="9"/>
  <c r="AL327" i="9"/>
  <c r="AL328" i="9"/>
  <c r="AL329" i="9"/>
  <c r="AL330" i="9"/>
  <c r="AL331" i="9"/>
  <c r="AL332" i="9"/>
  <c r="AL333" i="9"/>
  <c r="AL334" i="9"/>
  <c r="AL335" i="9"/>
  <c r="AL336" i="9"/>
  <c r="AL337" i="9"/>
  <c r="AL338" i="9"/>
  <c r="AL339" i="9"/>
  <c r="AL340" i="9"/>
  <c r="AL341" i="9"/>
  <c r="AL342" i="9"/>
  <c r="AL343" i="9"/>
  <c r="AL344" i="9"/>
  <c r="AL345" i="9"/>
  <c r="AL346" i="9"/>
  <c r="AL347" i="9"/>
  <c r="AL348" i="9"/>
  <c r="AL349" i="9"/>
  <c r="AL350" i="9"/>
  <c r="AL351" i="9"/>
  <c r="AL352" i="9"/>
  <c r="AL353" i="9"/>
  <c r="AL354" i="9"/>
  <c r="AL355" i="9"/>
  <c r="AL356" i="9"/>
  <c r="AL357" i="9"/>
  <c r="AL358" i="9"/>
  <c r="AL359" i="9"/>
  <c r="AL360" i="9"/>
  <c r="AL361" i="9"/>
  <c r="AL362" i="9"/>
  <c r="AL363" i="9"/>
  <c r="AL364" i="9"/>
  <c r="AL365" i="9"/>
  <c r="AL366" i="9"/>
  <c r="AL367" i="9"/>
  <c r="AL368" i="9"/>
  <c r="AL369" i="9"/>
  <c r="AL370" i="9"/>
  <c r="AL371" i="9"/>
  <c r="AL372" i="9"/>
  <c r="AL373" i="9"/>
  <c r="AL374" i="9"/>
  <c r="AL375" i="9"/>
  <c r="AL376" i="9"/>
  <c r="AL377" i="9"/>
  <c r="AL378" i="9"/>
  <c r="AL379" i="9"/>
  <c r="AL380" i="9"/>
  <c r="AL381" i="9"/>
  <c r="AL382" i="9"/>
  <c r="AL383" i="9"/>
  <c r="AL384" i="9"/>
  <c r="AL385" i="9"/>
  <c r="AL386" i="9"/>
  <c r="AL387" i="9"/>
  <c r="AL388" i="9"/>
  <c r="AL389" i="9"/>
  <c r="AL390" i="9"/>
  <c r="AL391" i="9"/>
  <c r="AL392" i="9"/>
  <c r="AL393" i="9"/>
  <c r="AL394" i="9"/>
  <c r="AL395" i="9"/>
  <c r="AL396" i="9"/>
  <c r="AL397" i="9"/>
  <c r="AL398" i="9"/>
  <c r="AL399" i="9"/>
  <c r="AL400" i="9"/>
  <c r="AL401" i="9"/>
  <c r="AL402" i="9"/>
  <c r="AL403" i="9"/>
  <c r="AL404" i="9"/>
  <c r="AL405" i="9"/>
  <c r="AL406" i="9"/>
  <c r="AL407" i="9"/>
  <c r="AL408" i="9"/>
  <c r="AL409" i="9"/>
  <c r="AL410" i="9"/>
  <c r="AL411" i="9"/>
  <c r="AL412" i="9"/>
  <c r="AL413" i="9"/>
  <c r="AL414" i="9"/>
  <c r="AL415" i="9"/>
  <c r="AL416" i="9"/>
  <c r="AL417" i="9"/>
  <c r="AL418" i="9"/>
  <c r="AL419" i="9"/>
  <c r="AL420" i="9"/>
  <c r="AL421" i="9"/>
  <c r="AL422" i="9"/>
  <c r="AL423" i="9"/>
  <c r="AL424" i="9"/>
  <c r="AL425" i="9"/>
  <c r="AL426" i="9"/>
  <c r="AL427" i="9"/>
  <c r="AL428" i="9"/>
  <c r="AL429" i="9"/>
  <c r="AL430" i="9"/>
  <c r="AL431" i="9"/>
  <c r="AL432" i="9"/>
  <c r="AL433" i="9"/>
  <c r="AL434" i="9"/>
  <c r="AL435" i="9"/>
  <c r="AL436" i="9"/>
  <c r="AL437" i="9"/>
  <c r="AL438" i="9"/>
  <c r="AL439" i="9"/>
  <c r="AL440" i="9"/>
  <c r="AL441" i="9"/>
  <c r="AL442" i="9"/>
  <c r="AL443" i="9"/>
  <c r="AL444" i="9"/>
  <c r="AL445" i="9"/>
  <c r="AL446" i="9"/>
  <c r="AL447" i="9"/>
  <c r="AL448" i="9"/>
  <c r="AL449" i="9"/>
  <c r="AL450" i="9"/>
  <c r="AL451" i="9"/>
  <c r="AL452" i="9"/>
  <c r="AL453" i="9"/>
  <c r="AL454" i="9"/>
  <c r="AL455" i="9"/>
  <c r="AL456" i="9"/>
  <c r="AL457" i="9"/>
  <c r="AL458" i="9"/>
  <c r="AL459" i="9"/>
  <c r="AL460" i="9"/>
  <c r="AL461" i="9"/>
  <c r="AL462" i="9"/>
  <c r="AL463" i="9"/>
  <c r="AL464" i="9"/>
  <c r="AL465" i="9"/>
  <c r="AL466" i="9"/>
  <c r="AL467" i="9"/>
  <c r="AL468" i="9"/>
  <c r="AL469" i="9"/>
  <c r="AL470" i="9"/>
  <c r="AL471" i="9"/>
  <c r="AL472" i="9"/>
  <c r="AL473" i="9"/>
  <c r="AL474" i="9"/>
  <c r="AL475" i="9"/>
  <c r="AL476" i="9"/>
  <c r="AL477" i="9"/>
  <c r="AL478" i="9"/>
  <c r="AL479" i="9"/>
  <c r="AL480" i="9"/>
  <c r="AL481" i="9"/>
  <c r="AL482" i="9"/>
  <c r="AL483" i="9"/>
  <c r="AL484" i="9"/>
  <c r="AL485" i="9"/>
  <c r="AL486" i="9"/>
  <c r="AL487" i="9"/>
  <c r="AL488" i="9"/>
  <c r="AL489" i="9"/>
  <c r="AL490" i="9"/>
  <c r="AL491" i="9"/>
  <c r="AL492" i="9"/>
  <c r="AL493" i="9"/>
  <c r="AL494" i="9"/>
  <c r="AL495" i="9"/>
  <c r="AL496" i="9"/>
  <c r="AL497" i="9"/>
  <c r="AL498" i="9"/>
  <c r="AL499" i="9"/>
  <c r="AL500" i="9"/>
  <c r="AL501" i="9"/>
  <c r="AL502" i="9"/>
  <c r="AL503" i="9"/>
  <c r="AL504" i="9"/>
  <c r="AL505" i="9"/>
  <c r="AL506" i="9"/>
  <c r="AL507" i="9"/>
  <c r="AL508" i="9"/>
  <c r="AL509" i="9"/>
  <c r="AL510" i="9"/>
  <c r="AL511" i="9"/>
  <c r="AL512" i="9"/>
  <c r="AL513" i="9"/>
  <c r="AL514" i="9"/>
  <c r="AL515" i="9"/>
  <c r="AL516" i="9"/>
  <c r="AL517" i="9"/>
  <c r="AL518" i="9"/>
  <c r="AL519" i="9"/>
  <c r="AL520" i="9"/>
  <c r="AL521" i="9"/>
  <c r="AL522" i="9"/>
  <c r="AL523" i="9"/>
  <c r="AL524" i="9"/>
  <c r="AL525" i="9"/>
  <c r="AL526" i="9"/>
  <c r="AL527" i="9"/>
  <c r="AL528" i="9"/>
  <c r="AL529" i="9"/>
  <c r="AL530" i="9"/>
  <c r="AL531" i="9"/>
  <c r="AL532" i="9"/>
  <c r="AL533" i="9"/>
  <c r="AL534" i="9"/>
  <c r="AL535" i="9"/>
  <c r="AL536" i="9"/>
  <c r="AL537" i="9"/>
  <c r="AL538" i="9"/>
  <c r="AL539" i="9"/>
  <c r="AL540" i="9"/>
  <c r="AL541" i="9"/>
  <c r="AL542" i="9"/>
  <c r="AL543" i="9"/>
  <c r="AL544" i="9"/>
  <c r="AL545" i="9"/>
  <c r="AL546" i="9"/>
  <c r="AL547" i="9"/>
  <c r="AL548" i="9"/>
  <c r="AL549" i="9"/>
  <c r="AL550" i="9"/>
  <c r="AL551" i="9"/>
  <c r="AL552" i="9"/>
  <c r="AL553" i="9"/>
  <c r="AL554" i="9"/>
  <c r="AL555" i="9"/>
  <c r="AL556" i="9"/>
  <c r="AL557" i="9"/>
  <c r="AL558" i="9"/>
  <c r="AL559" i="9"/>
  <c r="AL560" i="9"/>
  <c r="AL561" i="9"/>
  <c r="AL562" i="9"/>
  <c r="AL563" i="9"/>
  <c r="AL564" i="9"/>
  <c r="AL565" i="9"/>
  <c r="AL566" i="9"/>
  <c r="AL567" i="9"/>
  <c r="AL568" i="9"/>
  <c r="AL569" i="9"/>
  <c r="AL570" i="9"/>
  <c r="AL571" i="9"/>
  <c r="AL572" i="9"/>
  <c r="AL573" i="9"/>
  <c r="AL574" i="9"/>
  <c r="AL575" i="9"/>
  <c r="AL576" i="9"/>
  <c r="AL577" i="9"/>
  <c r="AL578" i="9"/>
  <c r="AL579" i="9"/>
  <c r="AL580" i="9"/>
  <c r="AL581" i="9"/>
  <c r="AL582" i="9"/>
  <c r="AL583" i="9"/>
  <c r="AL584" i="9"/>
  <c r="AL585" i="9"/>
  <c r="AL586" i="9"/>
  <c r="AL587" i="9"/>
  <c r="AL588" i="9"/>
  <c r="AL589" i="9"/>
  <c r="AL590" i="9"/>
  <c r="AL591" i="9"/>
  <c r="AL592" i="9"/>
  <c r="AL593" i="9"/>
  <c r="AL594" i="9"/>
  <c r="AL595" i="9"/>
  <c r="AL596" i="9"/>
  <c r="AL597" i="9"/>
  <c r="AL598" i="9"/>
  <c r="AL599" i="9"/>
  <c r="AL600" i="9"/>
  <c r="AL601" i="9"/>
  <c r="AL602" i="9"/>
  <c r="AL603" i="9"/>
  <c r="AL604" i="9"/>
  <c r="AL605" i="9"/>
  <c r="AL606" i="9"/>
  <c r="AL607" i="9"/>
  <c r="AL608" i="9"/>
  <c r="AL609" i="9"/>
  <c r="AL610" i="9"/>
  <c r="AL611" i="9"/>
  <c r="AL612" i="9"/>
  <c r="AL613" i="9"/>
  <c r="AL614" i="9"/>
  <c r="AL615" i="9"/>
  <c r="AL616" i="9"/>
  <c r="AL617" i="9"/>
  <c r="AL618" i="9"/>
  <c r="AL619" i="9"/>
  <c r="AL620" i="9"/>
  <c r="AL621" i="9"/>
  <c r="AL622" i="9"/>
  <c r="AL623" i="9"/>
  <c r="AL624" i="9"/>
  <c r="AL625" i="9"/>
  <c r="AL626" i="9"/>
  <c r="AL627" i="9"/>
  <c r="AL628" i="9"/>
  <c r="AL629" i="9"/>
  <c r="AL630" i="9"/>
  <c r="AL631" i="9"/>
  <c r="AL632" i="9"/>
  <c r="AL633" i="9"/>
  <c r="AL634" i="9"/>
  <c r="AL635" i="9"/>
  <c r="AL636" i="9"/>
  <c r="AL637" i="9"/>
  <c r="AL638" i="9"/>
  <c r="AL639" i="9"/>
  <c r="AL640" i="9"/>
  <c r="AL641" i="9"/>
  <c r="AL642" i="9"/>
  <c r="AL643" i="9"/>
  <c r="AL644" i="9"/>
  <c r="AL645" i="9"/>
  <c r="AL646" i="9"/>
  <c r="AL647" i="9"/>
  <c r="AL648" i="9"/>
  <c r="AL649" i="9"/>
  <c r="AL650" i="9"/>
  <c r="AL651" i="9"/>
  <c r="AL652" i="9"/>
  <c r="AL653" i="9"/>
  <c r="AL654" i="9"/>
  <c r="AL655" i="9"/>
  <c r="AL656" i="9"/>
  <c r="AL657" i="9"/>
  <c r="AL658" i="9"/>
  <c r="AL659" i="9"/>
  <c r="AL660" i="9"/>
  <c r="AL661" i="9"/>
  <c r="AL662" i="9"/>
  <c r="AL663" i="9"/>
  <c r="AL664" i="9"/>
  <c r="AL665" i="9"/>
  <c r="AL666" i="9"/>
  <c r="AL667" i="9"/>
  <c r="AL668" i="9"/>
  <c r="AL669" i="9"/>
  <c r="AL670" i="9"/>
  <c r="AL671" i="9"/>
  <c r="AL672" i="9"/>
  <c r="AL673" i="9"/>
  <c r="AL674" i="9"/>
  <c r="AL675" i="9"/>
  <c r="AL676" i="9"/>
  <c r="AL677" i="9"/>
  <c r="AL678" i="9"/>
  <c r="AL679" i="9"/>
  <c r="AL680" i="9"/>
  <c r="AL681" i="9"/>
  <c r="AL682" i="9"/>
  <c r="AL683" i="9"/>
  <c r="AL684" i="9"/>
  <c r="AL685" i="9"/>
  <c r="AL686" i="9"/>
  <c r="AL687" i="9"/>
  <c r="AL688" i="9"/>
  <c r="AL689" i="9"/>
  <c r="AL690" i="9"/>
  <c r="AL691" i="9"/>
  <c r="AL692" i="9"/>
  <c r="AL693" i="9"/>
  <c r="AL694" i="9"/>
  <c r="AL695" i="9"/>
  <c r="AL696" i="9"/>
  <c r="AL697" i="9"/>
  <c r="AL698" i="9"/>
  <c r="AL699" i="9"/>
  <c r="AL700" i="9"/>
  <c r="AL701" i="9"/>
  <c r="AL702" i="9"/>
  <c r="AL703" i="9"/>
  <c r="AL704" i="9"/>
  <c r="AL705" i="9"/>
  <c r="AL706" i="9"/>
  <c r="AL707" i="9"/>
  <c r="AL708" i="9"/>
  <c r="AL709" i="9"/>
  <c r="AL710" i="9"/>
  <c r="AL711" i="9"/>
  <c r="AL712" i="9"/>
  <c r="AL713" i="9"/>
  <c r="AL714" i="9"/>
  <c r="AL715" i="9"/>
  <c r="AL716" i="9"/>
  <c r="AL717" i="9"/>
  <c r="AL718" i="9"/>
  <c r="AL719" i="9"/>
  <c r="AL720" i="9"/>
  <c r="AL721" i="9"/>
  <c r="AL722" i="9"/>
  <c r="AL723" i="9"/>
  <c r="AL724" i="9"/>
  <c r="AL725" i="9"/>
  <c r="AL726" i="9"/>
  <c r="AL727" i="9"/>
  <c r="AL728" i="9"/>
  <c r="AL729" i="9"/>
  <c r="AL730" i="9"/>
  <c r="AL731" i="9"/>
  <c r="AL732" i="9"/>
  <c r="AL733" i="9"/>
  <c r="AL734" i="9"/>
  <c r="AL735" i="9"/>
  <c r="AL736" i="9"/>
  <c r="AL737" i="9"/>
  <c r="AL738" i="9"/>
  <c r="AL739" i="9"/>
  <c r="AL740" i="9"/>
  <c r="AL741" i="9"/>
  <c r="AL742" i="9"/>
  <c r="AL743" i="9"/>
  <c r="AL744" i="9"/>
  <c r="AL745" i="9"/>
  <c r="AL746" i="9"/>
  <c r="AL747" i="9"/>
  <c r="AL748" i="9"/>
  <c r="AL749" i="9"/>
  <c r="AL750" i="9"/>
  <c r="AL751" i="9"/>
  <c r="AL752" i="9"/>
  <c r="AL753" i="9"/>
  <c r="AL754" i="9"/>
  <c r="AL755" i="9"/>
  <c r="AL756" i="9"/>
  <c r="AL757" i="9"/>
  <c r="AL758" i="9"/>
  <c r="AL759" i="9"/>
  <c r="AL760" i="9"/>
  <c r="AL761" i="9"/>
  <c r="AL762" i="9"/>
  <c r="AL763" i="9"/>
  <c r="AL764" i="9"/>
  <c r="AL765" i="9"/>
  <c r="AL766" i="9"/>
  <c r="AL767" i="9"/>
  <c r="AL768" i="9"/>
  <c r="AL769" i="9"/>
  <c r="AL770" i="9"/>
  <c r="AL771" i="9"/>
  <c r="AL772" i="9"/>
  <c r="AL773" i="9"/>
  <c r="AL774" i="9"/>
  <c r="AL775" i="9"/>
  <c r="AL776" i="9"/>
  <c r="AL777" i="9"/>
  <c r="AL778" i="9"/>
  <c r="AL779" i="9"/>
  <c r="AL780" i="9"/>
  <c r="AL781" i="9"/>
  <c r="AL782" i="9"/>
  <c r="AL783" i="9"/>
  <c r="AL784" i="9"/>
  <c r="AL785" i="9"/>
  <c r="AL786" i="9"/>
  <c r="AL787" i="9"/>
  <c r="AL788" i="9"/>
  <c r="AL789" i="9"/>
  <c r="AL790" i="9"/>
  <c r="AL791" i="9"/>
  <c r="AL792" i="9"/>
  <c r="AL793" i="9"/>
  <c r="AL794" i="9"/>
  <c r="AL795" i="9"/>
  <c r="AL796" i="9"/>
  <c r="AL797" i="9"/>
  <c r="AL798" i="9"/>
  <c r="AL799" i="9"/>
  <c r="AL800" i="9"/>
  <c r="AL801" i="9"/>
  <c r="AL802" i="9"/>
  <c r="AL803" i="9"/>
  <c r="AL804" i="9"/>
  <c r="AL805" i="9"/>
  <c r="AL806" i="9"/>
  <c r="AL807" i="9"/>
  <c r="AL808" i="9"/>
  <c r="AL809" i="9"/>
  <c r="AL810" i="9"/>
  <c r="AL811" i="9"/>
  <c r="AL812" i="9"/>
  <c r="AL813" i="9"/>
  <c r="AL814" i="9"/>
  <c r="AL815" i="9"/>
  <c r="AL816" i="9"/>
  <c r="AL817" i="9"/>
  <c r="AL818" i="9"/>
  <c r="AL819" i="9"/>
  <c r="AL820" i="9"/>
  <c r="AL821" i="9"/>
  <c r="AL822" i="9"/>
  <c r="AL823" i="9"/>
  <c r="AL824" i="9"/>
  <c r="AL825" i="9"/>
  <c r="AL826" i="9"/>
  <c r="AL827" i="9"/>
  <c r="AL828" i="9"/>
  <c r="AL829" i="9"/>
  <c r="AL830" i="9"/>
  <c r="AL831" i="9"/>
  <c r="AL832" i="9"/>
  <c r="AL833" i="9"/>
  <c r="AL834" i="9"/>
  <c r="AL835" i="9"/>
  <c r="AL836" i="9"/>
  <c r="AL837" i="9"/>
  <c r="AL838" i="9"/>
  <c r="AL839" i="9"/>
  <c r="AL840" i="9"/>
  <c r="AL841" i="9"/>
  <c r="AL842" i="9"/>
  <c r="AL843" i="9"/>
  <c r="AL844" i="9"/>
  <c r="AL845" i="9"/>
  <c r="AL846" i="9"/>
  <c r="AL847" i="9"/>
  <c r="AL848" i="9"/>
  <c r="AL849" i="9"/>
  <c r="AL850" i="9"/>
  <c r="AL851" i="9"/>
  <c r="AL852" i="9"/>
  <c r="AL853" i="9"/>
  <c r="AL854" i="9"/>
  <c r="AL855" i="9"/>
  <c r="AL856" i="9"/>
  <c r="AL857" i="9"/>
  <c r="AL858" i="9"/>
  <c r="AL859" i="9"/>
  <c r="AL860" i="9"/>
  <c r="AL861" i="9"/>
  <c r="AL862" i="9"/>
  <c r="AL863" i="9"/>
  <c r="AL864" i="9"/>
  <c r="AL865" i="9"/>
  <c r="AL866" i="9"/>
  <c r="AL867" i="9"/>
  <c r="AL868" i="9"/>
  <c r="AL869" i="9"/>
  <c r="AL870" i="9"/>
  <c r="AL871" i="9"/>
  <c r="AL872" i="9"/>
  <c r="AL873" i="9"/>
  <c r="AL874" i="9"/>
  <c r="AL875" i="9"/>
  <c r="AL876" i="9"/>
  <c r="AL877" i="9"/>
  <c r="AL878" i="9"/>
  <c r="AL879" i="9"/>
  <c r="AL880" i="9"/>
  <c r="AL881" i="9"/>
  <c r="AL882" i="9"/>
  <c r="AL883" i="9"/>
  <c r="AL884" i="9"/>
  <c r="AL885" i="9"/>
  <c r="AL886" i="9"/>
  <c r="AL887" i="9"/>
  <c r="AL888" i="9"/>
  <c r="AL889" i="9"/>
  <c r="AL890" i="9"/>
  <c r="AL891" i="9"/>
  <c r="AL892" i="9"/>
  <c r="AL893" i="9"/>
  <c r="AL894" i="9"/>
  <c r="AL895" i="9"/>
  <c r="AL896" i="9"/>
  <c r="AL897" i="9"/>
  <c r="AL898" i="9"/>
  <c r="AL899" i="9"/>
  <c r="AL900" i="9"/>
  <c r="AL901" i="9"/>
  <c r="AL902" i="9"/>
  <c r="AL903" i="9"/>
  <c r="AL904" i="9"/>
  <c r="AL905" i="9"/>
  <c r="AL906" i="9"/>
  <c r="AL907" i="9"/>
  <c r="AL908" i="9"/>
  <c r="AL909" i="9"/>
  <c r="AL910" i="9"/>
  <c r="AL911" i="9"/>
  <c r="AL912" i="9"/>
  <c r="AL913" i="9"/>
  <c r="AL914" i="9"/>
  <c r="AL915" i="9"/>
  <c r="AL916" i="9"/>
  <c r="AL917" i="9"/>
  <c r="AL918" i="9"/>
  <c r="AL919" i="9"/>
  <c r="AL920" i="9"/>
  <c r="AL921" i="9"/>
  <c r="AL922" i="9"/>
  <c r="AL923" i="9"/>
  <c r="AL924" i="9"/>
  <c r="AL925" i="9"/>
  <c r="AL926" i="9"/>
  <c r="AL927" i="9"/>
  <c r="AL928" i="9"/>
  <c r="AL929" i="9"/>
  <c r="AL930" i="9"/>
  <c r="AL931" i="9"/>
  <c r="AL932" i="9"/>
  <c r="AL933" i="9"/>
  <c r="AL934" i="9"/>
  <c r="AL935" i="9"/>
  <c r="AL936" i="9"/>
  <c r="AL937" i="9"/>
  <c r="AL938" i="9"/>
  <c r="AL939" i="9"/>
  <c r="AL940" i="9"/>
  <c r="AL941" i="9"/>
  <c r="AL942" i="9"/>
  <c r="AL943" i="9"/>
  <c r="AL944" i="9"/>
  <c r="AL945" i="9"/>
  <c r="AL946" i="9"/>
  <c r="AL947" i="9"/>
  <c r="AL948" i="9"/>
  <c r="AL949" i="9"/>
  <c r="AL950" i="9"/>
  <c r="AL951" i="9"/>
  <c r="AL952" i="9"/>
  <c r="AL953" i="9"/>
  <c r="AL954" i="9"/>
  <c r="AL955" i="9"/>
  <c r="AL956" i="9"/>
  <c r="AL957" i="9"/>
  <c r="AL958" i="9"/>
  <c r="AL959" i="9"/>
  <c r="AL960" i="9"/>
  <c r="AL961" i="9"/>
  <c r="AL962" i="9"/>
  <c r="AL963" i="9"/>
  <c r="AL964" i="9"/>
  <c r="AL965" i="9"/>
  <c r="AL966" i="9"/>
  <c r="AL967" i="9"/>
  <c r="AL968" i="9"/>
  <c r="AL969" i="9"/>
  <c r="AL970" i="9"/>
  <c r="AL971" i="9"/>
  <c r="AL972" i="9"/>
  <c r="AL973" i="9"/>
  <c r="AL974" i="9"/>
  <c r="AL975" i="9"/>
  <c r="AL976" i="9"/>
  <c r="AL977" i="9"/>
  <c r="AL978" i="9"/>
  <c r="AL979" i="9"/>
  <c r="AL980" i="9"/>
  <c r="AL981" i="9"/>
  <c r="AL982" i="9"/>
  <c r="AL983" i="9"/>
  <c r="AL984" i="9"/>
  <c r="AL985" i="9"/>
  <c r="AL986" i="9"/>
  <c r="AL987" i="9"/>
  <c r="AL988" i="9"/>
  <c r="AL989" i="9"/>
  <c r="AL990" i="9"/>
  <c r="AL991" i="9"/>
  <c r="AL992" i="9"/>
  <c r="AL993" i="9"/>
  <c r="AL994" i="9"/>
  <c r="AL995" i="9"/>
  <c r="AL996" i="9"/>
  <c r="AL997" i="9"/>
  <c r="AL998" i="9"/>
  <c r="AL999" i="9"/>
  <c r="AL1000" i="9"/>
  <c r="AL1001" i="9"/>
  <c r="AL1002" i="9"/>
  <c r="AL1003" i="9"/>
  <c r="AL1004" i="9"/>
  <c r="AL1005" i="9"/>
  <c r="AL1006" i="9"/>
  <c r="AL1007" i="9"/>
  <c r="AL1008" i="9"/>
  <c r="AL1009" i="9"/>
  <c r="AL1010" i="9"/>
  <c r="AL1011" i="9"/>
  <c r="AL1012" i="9"/>
  <c r="AL1013" i="9"/>
  <c r="AL1014" i="9"/>
  <c r="AL1015" i="9"/>
  <c r="AL1016" i="9"/>
  <c r="AL1017" i="9"/>
  <c r="AL1018" i="9"/>
  <c r="AL1019" i="9"/>
  <c r="AL1020" i="9"/>
  <c r="AL1021" i="9"/>
  <c r="AL1022" i="9"/>
  <c r="AL1023" i="9"/>
  <c r="AL1024" i="9"/>
  <c r="AL1025" i="9"/>
  <c r="AL1026" i="9"/>
  <c r="AL1027" i="9"/>
  <c r="AL1028" i="9"/>
  <c r="AL1029" i="9"/>
  <c r="AL1030" i="9"/>
  <c r="AL1031" i="9"/>
  <c r="AL1032" i="9"/>
  <c r="AL1033" i="9"/>
  <c r="AL1034" i="9"/>
  <c r="AL1035" i="9"/>
  <c r="AL1036" i="9"/>
  <c r="AL1037" i="9"/>
  <c r="AL1038" i="9"/>
  <c r="AL1039" i="9"/>
  <c r="AK8" i="9"/>
  <c r="AK9" i="9"/>
  <c r="AK10" i="9"/>
  <c r="AK11" i="9"/>
  <c r="AK12" i="9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K105" i="9"/>
  <c r="AK106" i="9"/>
  <c r="AK107" i="9"/>
  <c r="AK108" i="9"/>
  <c r="AK109" i="9"/>
  <c r="AK110" i="9"/>
  <c r="AK111" i="9"/>
  <c r="AK112" i="9"/>
  <c r="AK113" i="9"/>
  <c r="AK114" i="9"/>
  <c r="AK115" i="9"/>
  <c r="AK116" i="9"/>
  <c r="AK117" i="9"/>
  <c r="AK118" i="9"/>
  <c r="AK119" i="9"/>
  <c r="AK120" i="9"/>
  <c r="AK121" i="9"/>
  <c r="AK122" i="9"/>
  <c r="AK123" i="9"/>
  <c r="AK124" i="9"/>
  <c r="AK125" i="9"/>
  <c r="AK126" i="9"/>
  <c r="AK127" i="9"/>
  <c r="AK128" i="9"/>
  <c r="AK129" i="9"/>
  <c r="AK130" i="9"/>
  <c r="AK131" i="9"/>
  <c r="AK132" i="9"/>
  <c r="AK133" i="9"/>
  <c r="AK134" i="9"/>
  <c r="AK135" i="9"/>
  <c r="AK136" i="9"/>
  <c r="AK137" i="9"/>
  <c r="AK138" i="9"/>
  <c r="AK139" i="9"/>
  <c r="AK140" i="9"/>
  <c r="AK141" i="9"/>
  <c r="AK142" i="9"/>
  <c r="AK143" i="9"/>
  <c r="AK144" i="9"/>
  <c r="AK145" i="9"/>
  <c r="AK146" i="9"/>
  <c r="AK147" i="9"/>
  <c r="AK148" i="9"/>
  <c r="AK149" i="9"/>
  <c r="AK150" i="9"/>
  <c r="AK151" i="9"/>
  <c r="AK152" i="9"/>
  <c r="AK153" i="9"/>
  <c r="AK154" i="9"/>
  <c r="AK155" i="9"/>
  <c r="AK156" i="9"/>
  <c r="AK157" i="9"/>
  <c r="AK158" i="9"/>
  <c r="AK159" i="9"/>
  <c r="AK160" i="9"/>
  <c r="AK161" i="9"/>
  <c r="AK162" i="9"/>
  <c r="AK163" i="9"/>
  <c r="AK164" i="9"/>
  <c r="AK165" i="9"/>
  <c r="AK166" i="9"/>
  <c r="AK167" i="9"/>
  <c r="AK168" i="9"/>
  <c r="AK169" i="9"/>
  <c r="AK170" i="9"/>
  <c r="AK171" i="9"/>
  <c r="AK172" i="9"/>
  <c r="AK173" i="9"/>
  <c r="AK174" i="9"/>
  <c r="AK175" i="9"/>
  <c r="AK176" i="9"/>
  <c r="AK177" i="9"/>
  <c r="AK178" i="9"/>
  <c r="AK179" i="9"/>
  <c r="AK180" i="9"/>
  <c r="AK181" i="9"/>
  <c r="AK182" i="9"/>
  <c r="AK183" i="9"/>
  <c r="AK184" i="9"/>
  <c r="AK185" i="9"/>
  <c r="AK186" i="9"/>
  <c r="AK187" i="9"/>
  <c r="AK188" i="9"/>
  <c r="AK189" i="9"/>
  <c r="AK190" i="9"/>
  <c r="AK191" i="9"/>
  <c r="AK192" i="9"/>
  <c r="AK193" i="9"/>
  <c r="AK194" i="9"/>
  <c r="AK195" i="9"/>
  <c r="AK196" i="9"/>
  <c r="AK197" i="9"/>
  <c r="AK198" i="9"/>
  <c r="AK199" i="9"/>
  <c r="AK200" i="9"/>
  <c r="AK201" i="9"/>
  <c r="AK202" i="9"/>
  <c r="AK203" i="9"/>
  <c r="AK204" i="9"/>
  <c r="AK205" i="9"/>
  <c r="AK206" i="9"/>
  <c r="AK207" i="9"/>
  <c r="AK208" i="9"/>
  <c r="AK209" i="9"/>
  <c r="AK210" i="9"/>
  <c r="AK211" i="9"/>
  <c r="AK212" i="9"/>
  <c r="AK213" i="9"/>
  <c r="AK214" i="9"/>
  <c r="AK215" i="9"/>
  <c r="AK216" i="9"/>
  <c r="AK217" i="9"/>
  <c r="AK218" i="9"/>
  <c r="AK219" i="9"/>
  <c r="AK220" i="9"/>
  <c r="AK221" i="9"/>
  <c r="AK222" i="9"/>
  <c r="AK223" i="9"/>
  <c r="AK224" i="9"/>
  <c r="AK225" i="9"/>
  <c r="AK226" i="9"/>
  <c r="AK227" i="9"/>
  <c r="AK228" i="9"/>
  <c r="AK229" i="9"/>
  <c r="AK230" i="9"/>
  <c r="AK231" i="9"/>
  <c r="AK232" i="9"/>
  <c r="AK233" i="9"/>
  <c r="AK234" i="9"/>
  <c r="AK235" i="9"/>
  <c r="AK236" i="9"/>
  <c r="AK237" i="9"/>
  <c r="AK238" i="9"/>
  <c r="AK239" i="9"/>
  <c r="AK240" i="9"/>
  <c r="AK241" i="9"/>
  <c r="AK242" i="9"/>
  <c r="AK243" i="9"/>
  <c r="AK244" i="9"/>
  <c r="AK245" i="9"/>
  <c r="AK246" i="9"/>
  <c r="AK247" i="9"/>
  <c r="AK248" i="9"/>
  <c r="AK249" i="9"/>
  <c r="AK250" i="9"/>
  <c r="AK251" i="9"/>
  <c r="AK252" i="9"/>
  <c r="AK253" i="9"/>
  <c r="AK254" i="9"/>
  <c r="AK255" i="9"/>
  <c r="AK256" i="9"/>
  <c r="AK257" i="9"/>
  <c r="AK258" i="9"/>
  <c r="AK259" i="9"/>
  <c r="AK260" i="9"/>
  <c r="AK261" i="9"/>
  <c r="AK262" i="9"/>
  <c r="AK263" i="9"/>
  <c r="AK264" i="9"/>
  <c r="AK265" i="9"/>
  <c r="AK266" i="9"/>
  <c r="AK267" i="9"/>
  <c r="AK268" i="9"/>
  <c r="AK269" i="9"/>
  <c r="AK270" i="9"/>
  <c r="AK271" i="9"/>
  <c r="AK272" i="9"/>
  <c r="AK273" i="9"/>
  <c r="AK274" i="9"/>
  <c r="AK275" i="9"/>
  <c r="AK276" i="9"/>
  <c r="AK277" i="9"/>
  <c r="AK278" i="9"/>
  <c r="AK279" i="9"/>
  <c r="AK280" i="9"/>
  <c r="AK281" i="9"/>
  <c r="AK282" i="9"/>
  <c r="AK283" i="9"/>
  <c r="AK284" i="9"/>
  <c r="AK285" i="9"/>
  <c r="AK286" i="9"/>
  <c r="AK287" i="9"/>
  <c r="AK288" i="9"/>
  <c r="AK289" i="9"/>
  <c r="AK290" i="9"/>
  <c r="AK291" i="9"/>
  <c r="AK292" i="9"/>
  <c r="AK293" i="9"/>
  <c r="AK294" i="9"/>
  <c r="AK295" i="9"/>
  <c r="AK296" i="9"/>
  <c r="AK297" i="9"/>
  <c r="AK298" i="9"/>
  <c r="AK299" i="9"/>
  <c r="AK300" i="9"/>
  <c r="AK301" i="9"/>
  <c r="AK302" i="9"/>
  <c r="AK303" i="9"/>
  <c r="AK304" i="9"/>
  <c r="AK305" i="9"/>
  <c r="AK306" i="9"/>
  <c r="AK307" i="9"/>
  <c r="AK308" i="9"/>
  <c r="AK309" i="9"/>
  <c r="AK310" i="9"/>
  <c r="AK311" i="9"/>
  <c r="AK312" i="9"/>
  <c r="AK313" i="9"/>
  <c r="AK314" i="9"/>
  <c r="AK315" i="9"/>
  <c r="AK316" i="9"/>
  <c r="AK317" i="9"/>
  <c r="AK318" i="9"/>
  <c r="AK319" i="9"/>
  <c r="AK320" i="9"/>
  <c r="AK321" i="9"/>
  <c r="AK322" i="9"/>
  <c r="AK323" i="9"/>
  <c r="AK324" i="9"/>
  <c r="AK325" i="9"/>
  <c r="AK326" i="9"/>
  <c r="AK327" i="9"/>
  <c r="AK328" i="9"/>
  <c r="AK329" i="9"/>
  <c r="AK330" i="9"/>
  <c r="AK331" i="9"/>
  <c r="AK332" i="9"/>
  <c r="AK333" i="9"/>
  <c r="AK334" i="9"/>
  <c r="AK335" i="9"/>
  <c r="AK336" i="9"/>
  <c r="AK337" i="9"/>
  <c r="AK338" i="9"/>
  <c r="AK339" i="9"/>
  <c r="AK340" i="9"/>
  <c r="AK341" i="9"/>
  <c r="AK342" i="9"/>
  <c r="AK343" i="9"/>
  <c r="AK344" i="9"/>
  <c r="AK345" i="9"/>
  <c r="AK346" i="9"/>
  <c r="AK347" i="9"/>
  <c r="AK348" i="9"/>
  <c r="AK349" i="9"/>
  <c r="AK350" i="9"/>
  <c r="AK351" i="9"/>
  <c r="AK352" i="9"/>
  <c r="AK353" i="9"/>
  <c r="AK354" i="9"/>
  <c r="AK355" i="9"/>
  <c r="AK356" i="9"/>
  <c r="AK357" i="9"/>
  <c r="AK358" i="9"/>
  <c r="AK359" i="9"/>
  <c r="AK360" i="9"/>
  <c r="AK361" i="9"/>
  <c r="AK362" i="9"/>
  <c r="AK363" i="9"/>
  <c r="AK364" i="9"/>
  <c r="AK365" i="9"/>
  <c r="AK366" i="9"/>
  <c r="AK367" i="9"/>
  <c r="AK368" i="9"/>
  <c r="AK369" i="9"/>
  <c r="AK370" i="9"/>
  <c r="AK371" i="9"/>
  <c r="AK372" i="9"/>
  <c r="AK373" i="9"/>
  <c r="AK374" i="9"/>
  <c r="AK375" i="9"/>
  <c r="AK376" i="9"/>
  <c r="AK377" i="9"/>
  <c r="AK378" i="9"/>
  <c r="AK379" i="9"/>
  <c r="AK380" i="9"/>
  <c r="AK381" i="9"/>
  <c r="AK382" i="9"/>
  <c r="AK383" i="9"/>
  <c r="AK384" i="9"/>
  <c r="AK385" i="9"/>
  <c r="AK386" i="9"/>
  <c r="AK387" i="9"/>
  <c r="AK388" i="9"/>
  <c r="AK389" i="9"/>
  <c r="AK390" i="9"/>
  <c r="AK391" i="9"/>
  <c r="AK392" i="9"/>
  <c r="AK393" i="9"/>
  <c r="AK394" i="9"/>
  <c r="AK395" i="9"/>
  <c r="AK396" i="9"/>
  <c r="AK397" i="9"/>
  <c r="AK398" i="9"/>
  <c r="AK399" i="9"/>
  <c r="AK400" i="9"/>
  <c r="AK401" i="9"/>
  <c r="AK402" i="9"/>
  <c r="AK403" i="9"/>
  <c r="AK404" i="9"/>
  <c r="AK405" i="9"/>
  <c r="AK406" i="9"/>
  <c r="AK407" i="9"/>
  <c r="AK408" i="9"/>
  <c r="AK409" i="9"/>
  <c r="AK410" i="9"/>
  <c r="AK411" i="9"/>
  <c r="AK412" i="9"/>
  <c r="AK413" i="9"/>
  <c r="AK414" i="9"/>
  <c r="AK415" i="9"/>
  <c r="AK416" i="9"/>
  <c r="AK417" i="9"/>
  <c r="AK418" i="9"/>
  <c r="AK419" i="9"/>
  <c r="AK420" i="9"/>
  <c r="AK421" i="9"/>
  <c r="AK422" i="9"/>
  <c r="AK423" i="9"/>
  <c r="AK424" i="9"/>
  <c r="AK425" i="9"/>
  <c r="AK426" i="9"/>
  <c r="AK427" i="9"/>
  <c r="AK428" i="9"/>
  <c r="AK429" i="9"/>
  <c r="AK430" i="9"/>
  <c r="AK431" i="9"/>
  <c r="AK432" i="9"/>
  <c r="AK433" i="9"/>
  <c r="AK434" i="9"/>
  <c r="AK435" i="9"/>
  <c r="AK436" i="9"/>
  <c r="AK437" i="9"/>
  <c r="AK438" i="9"/>
  <c r="AK439" i="9"/>
  <c r="AK440" i="9"/>
  <c r="AK441" i="9"/>
  <c r="AK442" i="9"/>
  <c r="AK443" i="9"/>
  <c r="AK444" i="9"/>
  <c r="AK445" i="9"/>
  <c r="AK446" i="9"/>
  <c r="AK447" i="9"/>
  <c r="AK448" i="9"/>
  <c r="AK449" i="9"/>
  <c r="AK450" i="9"/>
  <c r="AK451" i="9"/>
  <c r="AK452" i="9"/>
  <c r="AK453" i="9"/>
  <c r="AK454" i="9"/>
  <c r="AK455" i="9"/>
  <c r="AK456" i="9"/>
  <c r="AK457" i="9"/>
  <c r="AK458" i="9"/>
  <c r="AK459" i="9"/>
  <c r="AK460" i="9"/>
  <c r="AK461" i="9"/>
  <c r="AK462" i="9"/>
  <c r="AK463" i="9"/>
  <c r="AK464" i="9"/>
  <c r="AK465" i="9"/>
  <c r="AK466" i="9"/>
  <c r="AK467" i="9"/>
  <c r="AK468" i="9"/>
  <c r="AK469" i="9"/>
  <c r="AK470" i="9"/>
  <c r="AK471" i="9"/>
  <c r="AK472" i="9"/>
  <c r="AK473" i="9"/>
  <c r="AK474" i="9"/>
  <c r="AK475" i="9"/>
  <c r="AK476" i="9"/>
  <c r="AK477" i="9"/>
  <c r="AK478" i="9"/>
  <c r="AK479" i="9"/>
  <c r="AK480" i="9"/>
  <c r="AK481" i="9"/>
  <c r="AK482" i="9"/>
  <c r="AK483" i="9"/>
  <c r="AK484" i="9"/>
  <c r="AK485" i="9"/>
  <c r="AK486" i="9"/>
  <c r="AK487" i="9"/>
  <c r="AK488" i="9"/>
  <c r="AK489" i="9"/>
  <c r="AK490" i="9"/>
  <c r="AK491" i="9"/>
  <c r="AK492" i="9"/>
  <c r="AK493" i="9"/>
  <c r="AK494" i="9"/>
  <c r="AK495" i="9"/>
  <c r="AK496" i="9"/>
  <c r="AK497" i="9"/>
  <c r="AK498" i="9"/>
  <c r="AK499" i="9"/>
  <c r="AK500" i="9"/>
  <c r="AK501" i="9"/>
  <c r="AK502" i="9"/>
  <c r="AK503" i="9"/>
  <c r="AK504" i="9"/>
  <c r="AK505" i="9"/>
  <c r="AK506" i="9"/>
  <c r="AK507" i="9"/>
  <c r="AK508" i="9"/>
  <c r="AK509" i="9"/>
  <c r="AK510" i="9"/>
  <c r="AK511" i="9"/>
  <c r="AK512" i="9"/>
  <c r="AK513" i="9"/>
  <c r="AK514" i="9"/>
  <c r="AK515" i="9"/>
  <c r="AK516" i="9"/>
  <c r="AK517" i="9"/>
  <c r="AK518" i="9"/>
  <c r="AK519" i="9"/>
  <c r="AK520" i="9"/>
  <c r="AK521" i="9"/>
  <c r="AK522" i="9"/>
  <c r="AK523" i="9"/>
  <c r="AK524" i="9"/>
  <c r="AK525" i="9"/>
  <c r="AK526" i="9"/>
  <c r="AK527" i="9"/>
  <c r="AK528" i="9"/>
  <c r="AK529" i="9"/>
  <c r="AK530" i="9"/>
  <c r="AK531" i="9"/>
  <c r="AK532" i="9"/>
  <c r="AK533" i="9"/>
  <c r="AK534" i="9"/>
  <c r="AK535" i="9"/>
  <c r="AK536" i="9"/>
  <c r="AK537" i="9"/>
  <c r="AK538" i="9"/>
  <c r="AK539" i="9"/>
  <c r="AK540" i="9"/>
  <c r="AK541" i="9"/>
  <c r="AK542" i="9"/>
  <c r="AK543" i="9"/>
  <c r="AK544" i="9"/>
  <c r="AK545" i="9"/>
  <c r="AK546" i="9"/>
  <c r="AK547" i="9"/>
  <c r="AK548" i="9"/>
  <c r="AK549" i="9"/>
  <c r="AK550" i="9"/>
  <c r="AK551" i="9"/>
  <c r="AK552" i="9"/>
  <c r="AK553" i="9"/>
  <c r="AK554" i="9"/>
  <c r="AK555" i="9"/>
  <c r="AK556" i="9"/>
  <c r="AK557" i="9"/>
  <c r="AK558" i="9"/>
  <c r="AK559" i="9"/>
  <c r="AK560" i="9"/>
  <c r="AK561" i="9"/>
  <c r="AK562" i="9"/>
  <c r="AK563" i="9"/>
  <c r="AK564" i="9"/>
  <c r="AK565" i="9"/>
  <c r="AK566" i="9"/>
  <c r="AK567" i="9"/>
  <c r="AK568" i="9"/>
  <c r="AK569" i="9"/>
  <c r="AK570" i="9"/>
  <c r="AK571" i="9"/>
  <c r="AK572" i="9"/>
  <c r="AK573" i="9"/>
  <c r="AK574" i="9"/>
  <c r="AK575" i="9"/>
  <c r="AK576" i="9"/>
  <c r="AK577" i="9"/>
  <c r="AK578" i="9"/>
  <c r="AK579" i="9"/>
  <c r="AK580" i="9"/>
  <c r="AK581" i="9"/>
  <c r="AK582" i="9"/>
  <c r="AK583" i="9"/>
  <c r="AK584" i="9"/>
  <c r="AK585" i="9"/>
  <c r="AK586" i="9"/>
  <c r="AK587" i="9"/>
  <c r="AK588" i="9"/>
  <c r="AK589" i="9"/>
  <c r="AK590" i="9"/>
  <c r="AK591" i="9"/>
  <c r="AK592" i="9"/>
  <c r="AK593" i="9"/>
  <c r="AK594" i="9"/>
  <c r="AK595" i="9"/>
  <c r="AK596" i="9"/>
  <c r="AK597" i="9"/>
  <c r="AK598" i="9"/>
  <c r="AK599" i="9"/>
  <c r="AK600" i="9"/>
  <c r="AK601" i="9"/>
  <c r="AK602" i="9"/>
  <c r="AK603" i="9"/>
  <c r="AK604" i="9"/>
  <c r="AK605" i="9"/>
  <c r="AK606" i="9"/>
  <c r="AK607" i="9"/>
  <c r="AK608" i="9"/>
  <c r="AK609" i="9"/>
  <c r="AK610" i="9"/>
  <c r="AK611" i="9"/>
  <c r="AK612" i="9"/>
  <c r="AK613" i="9"/>
  <c r="AK614" i="9"/>
  <c r="AK615" i="9"/>
  <c r="AK616" i="9"/>
  <c r="AK617" i="9"/>
  <c r="AK618" i="9"/>
  <c r="AK619" i="9"/>
  <c r="AK620" i="9"/>
  <c r="AK621" i="9"/>
  <c r="AK622" i="9"/>
  <c r="AK623" i="9"/>
  <c r="AK624" i="9"/>
  <c r="AK625" i="9"/>
  <c r="AK626" i="9"/>
  <c r="AK627" i="9"/>
  <c r="AK628" i="9"/>
  <c r="AK629" i="9"/>
  <c r="AK630" i="9"/>
  <c r="AK631" i="9"/>
  <c r="AK632" i="9"/>
  <c r="AK633" i="9"/>
  <c r="AK634" i="9"/>
  <c r="AK635" i="9"/>
  <c r="AK636" i="9"/>
  <c r="AK637" i="9"/>
  <c r="AK638" i="9"/>
  <c r="AK639" i="9"/>
  <c r="AK640" i="9"/>
  <c r="AK641" i="9"/>
  <c r="AK642" i="9"/>
  <c r="AK643" i="9"/>
  <c r="AK644" i="9"/>
  <c r="AK645" i="9"/>
  <c r="AK646" i="9"/>
  <c r="AK647" i="9"/>
  <c r="AK648" i="9"/>
  <c r="AK649" i="9"/>
  <c r="AK650" i="9"/>
  <c r="AK651" i="9"/>
  <c r="AK652" i="9"/>
  <c r="AK653" i="9"/>
  <c r="AK654" i="9"/>
  <c r="AK655" i="9"/>
  <c r="AK656" i="9"/>
  <c r="AK657" i="9"/>
  <c r="AK658" i="9"/>
  <c r="AK659" i="9"/>
  <c r="AK660" i="9"/>
  <c r="AK661" i="9"/>
  <c r="AK662" i="9"/>
  <c r="AK663" i="9"/>
  <c r="AK664" i="9"/>
  <c r="AK665" i="9"/>
  <c r="AK666" i="9"/>
  <c r="AK667" i="9"/>
  <c r="AK668" i="9"/>
  <c r="AK669" i="9"/>
  <c r="AK670" i="9"/>
  <c r="AK671" i="9"/>
  <c r="AK672" i="9"/>
  <c r="AK673" i="9"/>
  <c r="AK674" i="9"/>
  <c r="AK675" i="9"/>
  <c r="AK676" i="9"/>
  <c r="AK677" i="9"/>
  <c r="AK678" i="9"/>
  <c r="AK679" i="9"/>
  <c r="AK680" i="9"/>
  <c r="AK681" i="9"/>
  <c r="AK682" i="9"/>
  <c r="AK683" i="9"/>
  <c r="AK684" i="9"/>
  <c r="AK685" i="9"/>
  <c r="AK686" i="9"/>
  <c r="AK687" i="9"/>
  <c r="AK688" i="9"/>
  <c r="AK689" i="9"/>
  <c r="AK690" i="9"/>
  <c r="AK691" i="9"/>
  <c r="AK692" i="9"/>
  <c r="AK693" i="9"/>
  <c r="AK694" i="9"/>
  <c r="AK695" i="9"/>
  <c r="AK696" i="9"/>
  <c r="AK697" i="9"/>
  <c r="AK698" i="9"/>
  <c r="AK699" i="9"/>
  <c r="AK700" i="9"/>
  <c r="AK701" i="9"/>
  <c r="AK702" i="9"/>
  <c r="AK703" i="9"/>
  <c r="AK704" i="9"/>
  <c r="AK705" i="9"/>
  <c r="AK706" i="9"/>
  <c r="AK707" i="9"/>
  <c r="AK708" i="9"/>
  <c r="AK709" i="9"/>
  <c r="AK710" i="9"/>
  <c r="AK711" i="9"/>
  <c r="AK712" i="9"/>
  <c r="AK713" i="9"/>
  <c r="AK714" i="9"/>
  <c r="AK715" i="9"/>
  <c r="AK716" i="9"/>
  <c r="AK717" i="9"/>
  <c r="AK718" i="9"/>
  <c r="AK719" i="9"/>
  <c r="AK720" i="9"/>
  <c r="AK721" i="9"/>
  <c r="AK722" i="9"/>
  <c r="AK723" i="9"/>
  <c r="AK724" i="9"/>
  <c r="AK725" i="9"/>
  <c r="AK726" i="9"/>
  <c r="AK727" i="9"/>
  <c r="AK728" i="9"/>
  <c r="AK729" i="9"/>
  <c r="AK730" i="9"/>
  <c r="AK731" i="9"/>
  <c r="AK732" i="9"/>
  <c r="AK733" i="9"/>
  <c r="AK734" i="9"/>
  <c r="AK735" i="9"/>
  <c r="AK736" i="9"/>
  <c r="AK737" i="9"/>
  <c r="AK738" i="9"/>
  <c r="AK739" i="9"/>
  <c r="AK740" i="9"/>
  <c r="AK741" i="9"/>
  <c r="AK742" i="9"/>
  <c r="AK743" i="9"/>
  <c r="AK744" i="9"/>
  <c r="AK745" i="9"/>
  <c r="AK746" i="9"/>
  <c r="AK747" i="9"/>
  <c r="AK748" i="9"/>
  <c r="AK749" i="9"/>
  <c r="AK750" i="9"/>
  <c r="AK751" i="9"/>
  <c r="AK752" i="9"/>
  <c r="AK753" i="9"/>
  <c r="AK754" i="9"/>
  <c r="AK755" i="9"/>
  <c r="AK756" i="9"/>
  <c r="AK757" i="9"/>
  <c r="AK758" i="9"/>
  <c r="AK759" i="9"/>
  <c r="AK760" i="9"/>
  <c r="AK761" i="9"/>
  <c r="AK762" i="9"/>
  <c r="AK763" i="9"/>
  <c r="AK764" i="9"/>
  <c r="AK765" i="9"/>
  <c r="AK766" i="9"/>
  <c r="AK767" i="9"/>
  <c r="AK768" i="9"/>
  <c r="AK769" i="9"/>
  <c r="AK770" i="9"/>
  <c r="AK771" i="9"/>
  <c r="AK772" i="9"/>
  <c r="AK773" i="9"/>
  <c r="AK774" i="9"/>
  <c r="AK775" i="9"/>
  <c r="AK776" i="9"/>
  <c r="AK777" i="9"/>
  <c r="AK778" i="9"/>
  <c r="AK779" i="9"/>
  <c r="AK780" i="9"/>
  <c r="AK781" i="9"/>
  <c r="AK782" i="9"/>
  <c r="AK783" i="9"/>
  <c r="AK784" i="9"/>
  <c r="AK785" i="9"/>
  <c r="AK786" i="9"/>
  <c r="AK787" i="9"/>
  <c r="AK788" i="9"/>
  <c r="AK789" i="9"/>
  <c r="AK790" i="9"/>
  <c r="AK791" i="9"/>
  <c r="AK792" i="9"/>
  <c r="AK793" i="9"/>
  <c r="AK794" i="9"/>
  <c r="AK795" i="9"/>
  <c r="AK796" i="9"/>
  <c r="AK797" i="9"/>
  <c r="AK798" i="9"/>
  <c r="AK799" i="9"/>
  <c r="AK800" i="9"/>
  <c r="AK801" i="9"/>
  <c r="AK802" i="9"/>
  <c r="AK803" i="9"/>
  <c r="AK804" i="9"/>
  <c r="AK805" i="9"/>
  <c r="AK806" i="9"/>
  <c r="AK807" i="9"/>
  <c r="AK808" i="9"/>
  <c r="AK809" i="9"/>
  <c r="AK810" i="9"/>
  <c r="AK811" i="9"/>
  <c r="AK812" i="9"/>
  <c r="AK813" i="9"/>
  <c r="AK814" i="9"/>
  <c r="AK815" i="9"/>
  <c r="AK816" i="9"/>
  <c r="AK817" i="9"/>
  <c r="AK818" i="9"/>
  <c r="AK819" i="9"/>
  <c r="AK820" i="9"/>
  <c r="AK821" i="9"/>
  <c r="AK822" i="9"/>
  <c r="AK823" i="9"/>
  <c r="AK824" i="9"/>
  <c r="AK825" i="9"/>
  <c r="AK826" i="9"/>
  <c r="AK827" i="9"/>
  <c r="AK828" i="9"/>
  <c r="AK829" i="9"/>
  <c r="AK830" i="9"/>
  <c r="AK831" i="9"/>
  <c r="AK832" i="9"/>
  <c r="AK833" i="9"/>
  <c r="AK834" i="9"/>
  <c r="AK835" i="9"/>
  <c r="AK836" i="9"/>
  <c r="AK837" i="9"/>
  <c r="AK838" i="9"/>
  <c r="AK839" i="9"/>
  <c r="AK840" i="9"/>
  <c r="AK841" i="9"/>
  <c r="AK842" i="9"/>
  <c r="AK843" i="9"/>
  <c r="AK844" i="9"/>
  <c r="AK845" i="9"/>
  <c r="AK846" i="9"/>
  <c r="AK847" i="9"/>
  <c r="AK848" i="9"/>
  <c r="AK849" i="9"/>
  <c r="AK850" i="9"/>
  <c r="AK851" i="9"/>
  <c r="AK852" i="9"/>
  <c r="AK853" i="9"/>
  <c r="AK854" i="9"/>
  <c r="AK855" i="9"/>
  <c r="AK856" i="9"/>
  <c r="AK857" i="9"/>
  <c r="AK858" i="9"/>
  <c r="AK859" i="9"/>
  <c r="AK860" i="9"/>
  <c r="AK861" i="9"/>
  <c r="AK862" i="9"/>
  <c r="AK863" i="9"/>
  <c r="AK864" i="9"/>
  <c r="AK865" i="9"/>
  <c r="AK866" i="9"/>
  <c r="AK867" i="9"/>
  <c r="AK868" i="9"/>
  <c r="AK869" i="9"/>
  <c r="AK870" i="9"/>
  <c r="AK871" i="9"/>
  <c r="AK872" i="9"/>
  <c r="AK873" i="9"/>
  <c r="AK874" i="9"/>
  <c r="AK875" i="9"/>
  <c r="AK876" i="9"/>
  <c r="AK877" i="9"/>
  <c r="AK878" i="9"/>
  <c r="AK879" i="9"/>
  <c r="AK880" i="9"/>
  <c r="AK881" i="9"/>
  <c r="AK882" i="9"/>
  <c r="AK883" i="9"/>
  <c r="AK884" i="9"/>
  <c r="AK885" i="9"/>
  <c r="AK886" i="9"/>
  <c r="AK887" i="9"/>
  <c r="AK888" i="9"/>
  <c r="AK889" i="9"/>
  <c r="AK890" i="9"/>
  <c r="AK891" i="9"/>
  <c r="AK892" i="9"/>
  <c r="AK893" i="9"/>
  <c r="AK894" i="9"/>
  <c r="AK895" i="9"/>
  <c r="AK896" i="9"/>
  <c r="AK897" i="9"/>
  <c r="AK898" i="9"/>
  <c r="AK899" i="9"/>
  <c r="AK900" i="9"/>
  <c r="AK901" i="9"/>
  <c r="AK902" i="9"/>
  <c r="AK903" i="9"/>
  <c r="AK904" i="9"/>
  <c r="AK905" i="9"/>
  <c r="AK906" i="9"/>
  <c r="AK907" i="9"/>
  <c r="AK908" i="9"/>
  <c r="AK909" i="9"/>
  <c r="AK910" i="9"/>
  <c r="AK911" i="9"/>
  <c r="AK912" i="9"/>
  <c r="AK913" i="9"/>
  <c r="AK914" i="9"/>
  <c r="AK915" i="9"/>
  <c r="AK916" i="9"/>
  <c r="AK917" i="9"/>
  <c r="AK918" i="9"/>
  <c r="AK919" i="9"/>
  <c r="AK920" i="9"/>
  <c r="AK921" i="9"/>
  <c r="AK922" i="9"/>
  <c r="AK923" i="9"/>
  <c r="AK924" i="9"/>
  <c r="AK925" i="9"/>
  <c r="AK926" i="9"/>
  <c r="AK927" i="9"/>
  <c r="AK928" i="9"/>
  <c r="AK929" i="9"/>
  <c r="AK930" i="9"/>
  <c r="AK931" i="9"/>
  <c r="AK932" i="9"/>
  <c r="AK933" i="9"/>
  <c r="AK934" i="9"/>
  <c r="AK935" i="9"/>
  <c r="AK936" i="9"/>
  <c r="AK937" i="9"/>
  <c r="AK938" i="9"/>
  <c r="AK939" i="9"/>
  <c r="AK940" i="9"/>
  <c r="AK941" i="9"/>
  <c r="AK942" i="9"/>
  <c r="AK943" i="9"/>
  <c r="AK944" i="9"/>
  <c r="AK945" i="9"/>
  <c r="AK946" i="9"/>
  <c r="AK947" i="9"/>
  <c r="AK948" i="9"/>
  <c r="AK949" i="9"/>
  <c r="AK950" i="9"/>
  <c r="AK951" i="9"/>
  <c r="AK952" i="9"/>
  <c r="AK953" i="9"/>
  <c r="AK954" i="9"/>
  <c r="AK955" i="9"/>
  <c r="AK956" i="9"/>
  <c r="AK957" i="9"/>
  <c r="AK958" i="9"/>
  <c r="AK959" i="9"/>
  <c r="AK960" i="9"/>
  <c r="AK961" i="9"/>
  <c r="AK962" i="9"/>
  <c r="AK963" i="9"/>
  <c r="AK964" i="9"/>
  <c r="AK965" i="9"/>
  <c r="AK966" i="9"/>
  <c r="AK967" i="9"/>
  <c r="AK968" i="9"/>
  <c r="AK969" i="9"/>
  <c r="AK970" i="9"/>
  <c r="AK971" i="9"/>
  <c r="AK972" i="9"/>
  <c r="AK973" i="9"/>
  <c r="AK974" i="9"/>
  <c r="AK975" i="9"/>
  <c r="AK976" i="9"/>
  <c r="AK977" i="9"/>
  <c r="AK978" i="9"/>
  <c r="AK979" i="9"/>
  <c r="AK980" i="9"/>
  <c r="AK981" i="9"/>
  <c r="AK982" i="9"/>
  <c r="AK983" i="9"/>
  <c r="AK984" i="9"/>
  <c r="AK985" i="9"/>
  <c r="AK986" i="9"/>
  <c r="AK987" i="9"/>
  <c r="AK988" i="9"/>
  <c r="AK989" i="9"/>
  <c r="AK990" i="9"/>
  <c r="AK991" i="9"/>
  <c r="AK992" i="9"/>
  <c r="AK993" i="9"/>
  <c r="AK994" i="9"/>
  <c r="AK995" i="9"/>
  <c r="AK996" i="9"/>
  <c r="AK997" i="9"/>
  <c r="AK998" i="9"/>
  <c r="AK999" i="9"/>
  <c r="AK1000" i="9"/>
  <c r="AK1001" i="9"/>
  <c r="AK1002" i="9"/>
  <c r="AK1003" i="9"/>
  <c r="AK1004" i="9"/>
  <c r="AK1005" i="9"/>
  <c r="AK1006" i="9"/>
  <c r="AK1007" i="9"/>
  <c r="AK1008" i="9"/>
  <c r="AK1009" i="9"/>
  <c r="AK1010" i="9"/>
  <c r="AK1011" i="9"/>
  <c r="AK1012" i="9"/>
  <c r="AK1013" i="9"/>
  <c r="AK1014" i="9"/>
  <c r="AK1015" i="9"/>
  <c r="AK1016" i="9"/>
  <c r="AK1017" i="9"/>
  <c r="AK1018" i="9"/>
  <c r="AK1019" i="9"/>
  <c r="AK1020" i="9"/>
  <c r="AK1021" i="9"/>
  <c r="AK1022" i="9"/>
  <c r="AK1023" i="9"/>
  <c r="AK1024" i="9"/>
  <c r="AK1025" i="9"/>
  <c r="AK1026" i="9"/>
  <c r="AK1027" i="9"/>
  <c r="AK1028" i="9"/>
  <c r="AK1029" i="9"/>
  <c r="AK1030" i="9"/>
  <c r="AK1031" i="9"/>
  <c r="AK1032" i="9"/>
  <c r="AK1033" i="9"/>
  <c r="AK1034" i="9"/>
  <c r="AK1035" i="9"/>
  <c r="AK1036" i="9"/>
  <c r="AK1037" i="9"/>
  <c r="AK1038" i="9"/>
  <c r="AK1039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50" i="9"/>
  <c r="T168" i="9"/>
  <c r="T170" i="9"/>
  <c r="T172" i="9"/>
  <c r="T185" i="9"/>
  <c r="T204" i="9"/>
  <c r="T212" i="9"/>
  <c r="T214" i="9"/>
  <c r="T240" i="9"/>
  <c r="T242" i="9"/>
  <c r="T244" i="9"/>
  <c r="T263" i="9"/>
  <c r="T265" i="9"/>
  <c r="T278" i="9"/>
  <c r="T280" i="9"/>
  <c r="T282" i="9"/>
  <c r="T296" i="9"/>
  <c r="T298" i="9"/>
  <c r="T302" i="9"/>
  <c r="T304" i="9"/>
  <c r="T318" i="9"/>
  <c r="T333" i="9"/>
  <c r="T336" i="9"/>
  <c r="T348" i="9"/>
  <c r="T368" i="9"/>
  <c r="T370" i="9"/>
  <c r="T392" i="9"/>
  <c r="T394" i="9"/>
  <c r="T396" i="9"/>
  <c r="T408" i="9"/>
  <c r="T416" i="9"/>
  <c r="T418" i="9"/>
  <c r="T424" i="9"/>
  <c r="T426" i="9"/>
  <c r="T428" i="9"/>
  <c r="T430" i="9"/>
  <c r="T453" i="9"/>
  <c r="T454" i="9"/>
  <c r="T456" i="9"/>
  <c r="T462" i="9"/>
  <c r="T497" i="9"/>
  <c r="T499" i="9"/>
  <c r="T501" i="9"/>
  <c r="T508" i="9"/>
  <c r="T522" i="9"/>
  <c r="T537" i="9"/>
  <c r="T539" i="9"/>
  <c r="T541" i="9"/>
  <c r="T554" i="9"/>
  <c r="T556" i="9"/>
  <c r="T570" i="9"/>
  <c r="T571" i="9"/>
  <c r="T590" i="9"/>
  <c r="T592" i="9"/>
  <c r="T606" i="9"/>
  <c r="T611" i="9"/>
  <c r="T612" i="9"/>
  <c r="T613" i="9"/>
  <c r="T615" i="9"/>
  <c r="T627" i="9"/>
  <c r="T651" i="9"/>
  <c r="T653" i="9"/>
  <c r="T655" i="9"/>
  <c r="T666" i="9"/>
  <c r="T684" i="9"/>
  <c r="T686" i="9"/>
  <c r="T688" i="9"/>
  <c r="T719" i="9"/>
  <c r="T721" i="9"/>
  <c r="T725" i="9"/>
  <c r="T755" i="9"/>
  <c r="T757" i="9"/>
  <c r="T759" i="9"/>
  <c r="T779" i="9"/>
  <c r="T781" i="9"/>
  <c r="T794" i="9"/>
  <c r="T796" i="9"/>
  <c r="T798" i="9"/>
  <c r="T812" i="9"/>
  <c r="T814" i="9"/>
  <c r="T819" i="9"/>
  <c r="T820" i="9"/>
  <c r="T833" i="9"/>
  <c r="T848" i="9"/>
  <c r="T850" i="9"/>
  <c r="T864" i="9"/>
  <c r="T867" i="9"/>
  <c r="T885" i="9"/>
  <c r="T902" i="9"/>
  <c r="T904" i="9"/>
  <c r="T909" i="9"/>
  <c r="T911" i="9"/>
  <c r="T913" i="9"/>
  <c r="T920" i="9"/>
  <c r="T923" i="9"/>
  <c r="T924" i="9"/>
  <c r="T932" i="9"/>
  <c r="T933" i="9"/>
  <c r="T934" i="9"/>
  <c r="T939" i="9"/>
  <c r="T940" i="9"/>
  <c r="T941" i="9"/>
  <c r="T942" i="9"/>
  <c r="T943" i="9"/>
  <c r="T944" i="9"/>
  <c r="T945" i="9"/>
  <c r="T952" i="9"/>
  <c r="T971" i="9"/>
  <c r="T972" i="9"/>
  <c r="T973" i="9"/>
  <c r="T977" i="9"/>
  <c r="T978" i="9"/>
  <c r="T979" i="9"/>
  <c r="T1005" i="9"/>
  <c r="T1006" i="9"/>
  <c r="T1013" i="9"/>
  <c r="T1014" i="9"/>
  <c r="T1015" i="9"/>
  <c r="T1016" i="9"/>
  <c r="T1017" i="9"/>
  <c r="T1018" i="9"/>
  <c r="T1019" i="9"/>
  <c r="T1020" i="9"/>
  <c r="T1022" i="9"/>
  <c r="T1024" i="9"/>
  <c r="T1037" i="9"/>
  <c r="T1038" i="9"/>
  <c r="T1039" i="9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3" i="12"/>
  <c r="O35" i="12"/>
  <c r="O13" i="12"/>
  <c r="O16" i="12"/>
  <c r="O11" i="12"/>
  <c r="O36" i="12"/>
  <c r="O33" i="12"/>
  <c r="O26" i="12"/>
  <c r="O19" i="12"/>
  <c r="O17" i="12"/>
  <c r="O14" i="12"/>
  <c r="O12" i="12"/>
  <c r="O15" i="12"/>
  <c r="O40" i="12"/>
  <c r="O32" i="12"/>
  <c r="O24" i="12"/>
  <c r="O22" i="12"/>
  <c r="O10" i="12"/>
  <c r="O30" i="12"/>
  <c r="O28" i="12"/>
  <c r="O31" i="12"/>
  <c r="O41" i="12"/>
  <c r="O25" i="12"/>
  <c r="O29" i="12"/>
  <c r="O27" i="12"/>
  <c r="O9" i="12"/>
  <c r="O38" i="12"/>
  <c r="O39" i="12"/>
  <c r="O8" i="12"/>
  <c r="O7" i="12"/>
  <c r="O34" i="12"/>
  <c r="O6" i="12"/>
  <c r="O43" i="12"/>
  <c r="O37" i="12"/>
  <c r="O20" i="12"/>
  <c r="O4" i="12"/>
  <c r="O3" i="12"/>
  <c r="O23" i="12"/>
  <c r="O21" i="12"/>
  <c r="O45" i="12"/>
  <c r="O5" i="12"/>
  <c r="O42" i="12"/>
  <c r="O44" i="12"/>
  <c r="O18" i="12"/>
  <c r="X1027" i="9"/>
  <c r="X1026" i="9"/>
  <c r="X1024" i="9"/>
  <c r="X1022" i="9"/>
  <c r="X1021" i="9"/>
  <c r="X1019" i="9"/>
  <c r="X1018" i="9"/>
  <c r="X1017" i="9"/>
  <c r="X1016" i="9"/>
  <c r="X1006" i="9"/>
  <c r="X1005" i="9"/>
  <c r="X1003" i="9"/>
  <c r="X1000" i="9"/>
  <c r="X998" i="9"/>
  <c r="X997" i="9"/>
  <c r="X988" i="9"/>
  <c r="X986" i="9"/>
  <c r="X985" i="9"/>
  <c r="X983" i="9"/>
  <c r="X982" i="9"/>
  <c r="X980" i="9"/>
  <c r="X979" i="9"/>
  <c r="X977" i="9"/>
  <c r="X976" i="9"/>
  <c r="X974" i="9"/>
  <c r="X973" i="9"/>
  <c r="X971" i="9"/>
  <c r="X970" i="9"/>
  <c r="X968" i="9"/>
  <c r="X967" i="9"/>
  <c r="X964" i="9"/>
  <c r="X963" i="9"/>
  <c r="X961" i="9"/>
  <c r="X958" i="9"/>
  <c r="X956" i="9"/>
  <c r="X955" i="9"/>
  <c r="X953" i="9"/>
  <c r="X952" i="9"/>
  <c r="X950" i="9"/>
  <c r="X949" i="9"/>
  <c r="X947" i="9"/>
  <c r="X943" i="9"/>
  <c r="X942" i="9"/>
  <c r="X940" i="9"/>
  <c r="X937" i="9"/>
  <c r="X935" i="9"/>
  <c r="X934" i="9"/>
  <c r="X933" i="9"/>
  <c r="X931" i="9"/>
  <c r="X930" i="9"/>
  <c r="X928" i="9"/>
  <c r="X927" i="9"/>
  <c r="X925" i="9"/>
  <c r="X923" i="9"/>
  <c r="X922" i="9"/>
  <c r="X919" i="9"/>
  <c r="X918" i="9"/>
  <c r="X916" i="9"/>
  <c r="X915" i="9"/>
  <c r="X898" i="9"/>
  <c r="X895" i="9"/>
  <c r="X893" i="9"/>
  <c r="X892" i="9"/>
  <c r="X889" i="9"/>
  <c r="X888" i="9"/>
  <c r="X877" i="9"/>
  <c r="X876" i="9"/>
  <c r="X874" i="9"/>
  <c r="X871" i="9"/>
  <c r="X869" i="9"/>
  <c r="X868" i="9"/>
  <c r="X866" i="9"/>
  <c r="X859" i="9"/>
  <c r="X857" i="9"/>
  <c r="X856" i="9"/>
  <c r="X854" i="9"/>
  <c r="X853" i="9"/>
  <c r="X851" i="9"/>
  <c r="X850" i="9"/>
  <c r="X848" i="9"/>
  <c r="X847" i="9"/>
  <c r="X845" i="9"/>
  <c r="X844" i="9"/>
  <c r="X842" i="9"/>
  <c r="X841" i="9"/>
  <c r="X839" i="9"/>
  <c r="X838" i="9"/>
  <c r="X836" i="9"/>
  <c r="X835" i="9"/>
  <c r="X834" i="9"/>
  <c r="X832" i="9"/>
  <c r="X829" i="9"/>
  <c r="X827" i="9"/>
  <c r="X826" i="9"/>
  <c r="X824" i="9"/>
  <c r="X823" i="9"/>
  <c r="X821" i="9"/>
  <c r="X820" i="9"/>
  <c r="X814" i="9"/>
  <c r="X813" i="9"/>
  <c r="X811" i="9"/>
  <c r="X808" i="9"/>
  <c r="X806" i="9"/>
  <c r="X805" i="9"/>
  <c r="X802" i="9"/>
  <c r="X801" i="9"/>
  <c r="X799" i="9"/>
  <c r="X798" i="9"/>
  <c r="X797" i="9"/>
  <c r="X796" i="9"/>
  <c r="X794" i="9"/>
  <c r="X793" i="9"/>
  <c r="X790" i="9"/>
  <c r="X789" i="9"/>
  <c r="X787" i="9"/>
  <c r="X786" i="9"/>
  <c r="X769" i="9"/>
  <c r="X766" i="9"/>
  <c r="X764" i="9"/>
  <c r="X763" i="9"/>
  <c r="X761" i="9"/>
  <c r="X760" i="9"/>
  <c r="X759" i="9"/>
  <c r="X758" i="9"/>
  <c r="X748" i="9"/>
  <c r="X747" i="9"/>
  <c r="X745" i="9"/>
  <c r="X742" i="9"/>
  <c r="X740" i="9"/>
  <c r="X739" i="9"/>
  <c r="X730" i="9"/>
  <c r="X728" i="9"/>
  <c r="X727" i="9"/>
  <c r="X725" i="9"/>
  <c r="X724" i="9"/>
  <c r="X722" i="9"/>
  <c r="X721" i="9"/>
  <c r="X719" i="9"/>
  <c r="X718" i="9"/>
  <c r="X716" i="9"/>
  <c r="X715" i="9"/>
  <c r="X713" i="9"/>
  <c r="X712" i="9"/>
  <c r="X710" i="9"/>
  <c r="X709" i="9"/>
  <c r="X706" i="9"/>
  <c r="X705" i="9"/>
  <c r="X703" i="9"/>
  <c r="X700" i="9"/>
  <c r="X698" i="9"/>
  <c r="X697" i="9"/>
  <c r="X695" i="9"/>
  <c r="X694" i="9"/>
  <c r="X692" i="9"/>
  <c r="X691" i="9"/>
  <c r="X689" i="9"/>
  <c r="X685" i="9"/>
  <c r="X684" i="9"/>
  <c r="X683" i="9"/>
  <c r="X682" i="9"/>
  <c r="X679" i="9"/>
  <c r="X677" i="9"/>
  <c r="X676" i="9"/>
  <c r="X673" i="9"/>
  <c r="X672" i="9"/>
  <c r="X670" i="9"/>
  <c r="X669" i="9"/>
  <c r="X667" i="9"/>
  <c r="X665" i="9"/>
  <c r="X664" i="9"/>
  <c r="X661" i="9"/>
  <c r="X660" i="9"/>
  <c r="X658" i="9"/>
  <c r="X657" i="9"/>
  <c r="X640" i="9"/>
  <c r="X637" i="9"/>
  <c r="X635" i="9"/>
  <c r="X634" i="9"/>
  <c r="X631" i="9"/>
  <c r="X630" i="9"/>
  <c r="X619" i="9"/>
  <c r="X618" i="9"/>
  <c r="X616" i="9"/>
  <c r="X615" i="9"/>
  <c r="X613" i="9"/>
  <c r="X611" i="9"/>
  <c r="X610" i="9"/>
  <c r="X608" i="9"/>
  <c r="X601" i="9"/>
  <c r="X599" i="9"/>
  <c r="X598" i="9"/>
  <c r="X596" i="9"/>
  <c r="X595" i="9"/>
  <c r="X593" i="9"/>
  <c r="X592" i="9"/>
  <c r="X590" i="9"/>
  <c r="X589" i="9"/>
  <c r="X587" i="9"/>
  <c r="X586" i="9"/>
  <c r="X584" i="9"/>
  <c r="X583" i="9"/>
  <c r="X581" i="9"/>
  <c r="X580" i="9"/>
  <c r="X577" i="9"/>
  <c r="X576" i="9"/>
  <c r="X574" i="9"/>
  <c r="X571" i="9"/>
  <c r="X569" i="9"/>
  <c r="X568" i="9"/>
  <c r="X566" i="9"/>
  <c r="X565" i="9"/>
  <c r="X563" i="9"/>
  <c r="X562" i="9"/>
  <c r="X556" i="9"/>
  <c r="X555" i="9"/>
  <c r="X553" i="9"/>
  <c r="X550" i="9"/>
  <c r="X548" i="9"/>
  <c r="X547" i="9"/>
  <c r="X544" i="9"/>
  <c r="X543" i="9"/>
  <c r="X541" i="9"/>
  <c r="X540" i="9"/>
  <c r="X539" i="9"/>
  <c r="X538" i="9"/>
  <c r="X536" i="9"/>
  <c r="X535" i="9"/>
  <c r="X533" i="9"/>
  <c r="X532" i="9"/>
  <c r="X531" i="9"/>
  <c r="X529" i="9"/>
  <c r="X528" i="9"/>
  <c r="X511" i="9"/>
  <c r="X508" i="9"/>
  <c r="X506" i="9"/>
  <c r="X505" i="9"/>
  <c r="X503" i="9"/>
  <c r="X502" i="9"/>
  <c r="X501" i="9"/>
  <c r="X500" i="9"/>
  <c r="X490" i="9"/>
  <c r="X489" i="9"/>
  <c r="X487" i="9"/>
  <c r="X484" i="9"/>
  <c r="X482" i="9"/>
  <c r="X481" i="9"/>
  <c r="X472" i="9"/>
  <c r="X470" i="9"/>
  <c r="X469" i="9"/>
  <c r="X467" i="9"/>
  <c r="X466" i="9"/>
  <c r="X464" i="9"/>
  <c r="X463" i="9"/>
  <c r="X461" i="9"/>
  <c r="X460" i="9"/>
  <c r="X458" i="9"/>
  <c r="X457" i="9"/>
  <c r="X455" i="9"/>
  <c r="X454" i="9"/>
  <c r="X452" i="9"/>
  <c r="X451" i="9"/>
  <c r="X448" i="9"/>
  <c r="X447" i="9"/>
  <c r="X445" i="9"/>
  <c r="X442" i="9"/>
  <c r="X440" i="9"/>
  <c r="X439" i="9"/>
  <c r="X437" i="9"/>
  <c r="X436" i="9"/>
  <c r="X434" i="9"/>
  <c r="X433" i="9"/>
  <c r="X431" i="9"/>
  <c r="X427" i="9"/>
  <c r="X426" i="9"/>
  <c r="X424" i="9"/>
  <c r="X421" i="9"/>
  <c r="X419" i="9"/>
  <c r="X418" i="9"/>
  <c r="X417" i="9"/>
  <c r="X415" i="9"/>
  <c r="X414" i="9"/>
  <c r="X412" i="9"/>
  <c r="X411" i="9"/>
  <c r="X409" i="9"/>
  <c r="X407" i="9"/>
  <c r="X406" i="9"/>
  <c r="X403" i="9"/>
  <c r="X402" i="9"/>
  <c r="X400" i="9"/>
  <c r="X399" i="9"/>
  <c r="X382" i="9"/>
  <c r="X379" i="9"/>
  <c r="X377" i="9"/>
  <c r="X376" i="9"/>
  <c r="X373" i="9"/>
  <c r="X372" i="9"/>
  <c r="X361" i="9"/>
  <c r="X360" i="9"/>
  <c r="X358" i="9"/>
  <c r="X355" i="9"/>
  <c r="X353" i="9"/>
  <c r="X352" i="9"/>
  <c r="X350" i="9"/>
  <c r="X343" i="9"/>
  <c r="X341" i="9"/>
  <c r="X340" i="9"/>
  <c r="X338" i="9"/>
  <c r="X337" i="9"/>
  <c r="X335" i="9"/>
  <c r="X334" i="9"/>
  <c r="X333" i="9"/>
  <c r="X332" i="9"/>
  <c r="X331" i="9"/>
  <c r="X329" i="9"/>
  <c r="X328" i="9"/>
  <c r="X326" i="9"/>
  <c r="X325" i="9"/>
  <c r="X323" i="9"/>
  <c r="X322" i="9"/>
  <c r="X320" i="9"/>
  <c r="X319" i="9"/>
  <c r="X318" i="9"/>
  <c r="X316" i="9"/>
  <c r="X313" i="9"/>
  <c r="X311" i="9"/>
  <c r="X310" i="9"/>
  <c r="X308" i="9"/>
  <c r="X307" i="9"/>
  <c r="X305" i="9"/>
  <c r="X304" i="9"/>
  <c r="X303" i="9"/>
  <c r="X298" i="9"/>
  <c r="X297" i="9"/>
  <c r="X295" i="9"/>
  <c r="X294" i="9"/>
  <c r="X292" i="9"/>
  <c r="X290" i="9"/>
  <c r="X289" i="9"/>
  <c r="X286" i="9"/>
  <c r="X285" i="9"/>
  <c r="X283" i="9"/>
  <c r="X282" i="9"/>
  <c r="X281" i="9"/>
  <c r="X280" i="9"/>
  <c r="X278" i="9"/>
  <c r="X277" i="9"/>
  <c r="X275" i="9"/>
  <c r="X274" i="9"/>
  <c r="X273" i="9"/>
  <c r="X271" i="9"/>
  <c r="X270" i="9"/>
  <c r="X253" i="9"/>
  <c r="X250" i="9"/>
  <c r="X248" i="9"/>
  <c r="X247" i="9"/>
  <c r="X245" i="9"/>
  <c r="X244" i="9"/>
  <c r="X243" i="9"/>
  <c r="X242" i="9"/>
  <c r="X232" i="9"/>
  <c r="X231" i="9"/>
  <c r="X229" i="9"/>
  <c r="X226" i="9"/>
  <c r="X224" i="9"/>
  <c r="X223" i="9"/>
  <c r="X214" i="9"/>
  <c r="X212" i="9"/>
  <c r="X211" i="9"/>
  <c r="X209" i="9"/>
  <c r="X208" i="9"/>
  <c r="X206" i="9"/>
  <c r="X205" i="9"/>
  <c r="X203" i="9"/>
  <c r="X202" i="9"/>
  <c r="X200" i="9"/>
  <c r="X199" i="9"/>
  <c r="X197" i="9"/>
  <c r="X196" i="9"/>
  <c r="X194" i="9"/>
  <c r="X193" i="9"/>
  <c r="X190" i="9"/>
  <c r="X189" i="9"/>
  <c r="X187" i="9"/>
  <c r="X184" i="9"/>
  <c r="X182" i="9"/>
  <c r="X181" i="9"/>
  <c r="X179" i="9"/>
  <c r="X178" i="9"/>
  <c r="X176" i="9"/>
  <c r="X175" i="9"/>
  <c r="X173" i="9"/>
  <c r="X169" i="9"/>
  <c r="X168" i="9"/>
  <c r="X166" i="9"/>
  <c r="X163" i="9"/>
  <c r="X161" i="9"/>
  <c r="X160" i="9"/>
  <c r="X157" i="9"/>
  <c r="X156" i="9"/>
  <c r="X154" i="9"/>
  <c r="X153" i="9"/>
  <c r="X151" i="9"/>
  <c r="X149" i="9"/>
  <c r="X148" i="9"/>
  <c r="X145" i="9"/>
  <c r="X144" i="9"/>
  <c r="X142" i="9"/>
  <c r="X136" i="9"/>
  <c r="X135" i="9"/>
  <c r="X134" i="9"/>
  <c r="X133" i="9"/>
  <c r="X132" i="9"/>
  <c r="X131" i="9"/>
  <c r="X130" i="9"/>
  <c r="X129" i="9"/>
  <c r="X128" i="9"/>
  <c r="X127" i="9"/>
  <c r="X126" i="9"/>
  <c r="X125" i="9"/>
  <c r="X124" i="9"/>
  <c r="X123" i="9"/>
  <c r="X122" i="9"/>
  <c r="X121" i="9"/>
  <c r="X120" i="9"/>
  <c r="X119" i="9"/>
  <c r="X118" i="9"/>
  <c r="X117" i="9"/>
  <c r="X116" i="9"/>
  <c r="X115" i="9"/>
  <c r="X114" i="9"/>
  <c r="X113" i="9"/>
  <c r="X112" i="9"/>
  <c r="X111" i="9"/>
  <c r="X110" i="9"/>
  <c r="X109" i="9"/>
  <c r="X108" i="9"/>
  <c r="X107" i="9"/>
  <c r="X106" i="9"/>
  <c r="X105" i="9"/>
  <c r="X104" i="9"/>
  <c r="X103" i="9"/>
  <c r="X102" i="9"/>
  <c r="X101" i="9"/>
  <c r="X100" i="9"/>
  <c r="X99" i="9"/>
  <c r="X98" i="9"/>
  <c r="X97" i="9"/>
  <c r="X96" i="9"/>
  <c r="X95" i="9"/>
  <c r="X94" i="9"/>
  <c r="X93" i="9"/>
  <c r="X92" i="9"/>
  <c r="X91" i="9"/>
  <c r="X90" i="9"/>
  <c r="X89" i="9"/>
  <c r="X85" i="9"/>
  <c r="X84" i="9"/>
  <c r="X83" i="9"/>
  <c r="X82" i="9"/>
  <c r="X81" i="9"/>
  <c r="X80" i="9"/>
  <c r="X79" i="9"/>
  <c r="X78" i="9"/>
  <c r="X77" i="9"/>
  <c r="X76" i="9"/>
  <c r="X75" i="9"/>
  <c r="X74" i="9"/>
  <c r="X73" i="9"/>
  <c r="X72" i="9"/>
  <c r="X71" i="9"/>
  <c r="X70" i="9"/>
  <c r="X69" i="9"/>
  <c r="X68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8" i="9"/>
  <c r="X47" i="9"/>
  <c r="X46" i="9"/>
  <c r="X45" i="9"/>
  <c r="X44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11" i="9"/>
  <c r="F97" i="9" a="1"/>
  <c r="F97" i="9" s="1"/>
  <c r="F95" i="9" a="1"/>
  <c r="F95" i="9" s="1"/>
  <c r="F85" i="9" a="1"/>
  <c r="F85" i="9" s="1"/>
  <c r="F83" i="9" a="1"/>
  <c r="F83" i="9" s="1"/>
  <c r="F73" i="9" a="1"/>
  <c r="F73" i="9" s="1"/>
  <c r="F71" i="9" a="1"/>
  <c r="F71" i="9" s="1"/>
  <c r="F61" i="9" a="1"/>
  <c r="F61" i="9" s="1"/>
  <c r="F59" i="9" a="1"/>
  <c r="F59" i="9" s="1"/>
  <c r="F49" i="9" a="1"/>
  <c r="F49" i="9" s="1"/>
  <c r="F47" i="9" a="1"/>
  <c r="F47" i="9" s="1"/>
  <c r="C15" i="12"/>
  <c r="H92" i="9" a="1"/>
  <c r="H92" i="9" s="1"/>
  <c r="G92" i="9" a="1"/>
  <c r="G92" i="9" s="1"/>
  <c r="F92" i="9" a="1"/>
  <c r="F92" i="9" s="1"/>
  <c r="H80" i="9" a="1"/>
  <c r="H80" i="9" s="1"/>
  <c r="G80" i="9" a="1"/>
  <c r="G80" i="9" s="1"/>
  <c r="F80" i="9" a="1"/>
  <c r="F80" i="9" s="1"/>
  <c r="H68" i="9" a="1"/>
  <c r="H68" i="9" s="1"/>
  <c r="G68" i="9" a="1"/>
  <c r="G68" i="9" s="1"/>
  <c r="F68" i="9" a="1"/>
  <c r="F68" i="9" s="1"/>
  <c r="H56" i="9" a="1"/>
  <c r="H56" i="9" s="1"/>
  <c r="G56" i="9" a="1"/>
  <c r="G56" i="9" s="1"/>
  <c r="F56" i="9" a="1"/>
  <c r="F56" i="9" s="1"/>
  <c r="H44" i="9" a="1"/>
  <c r="H44" i="9" s="1"/>
  <c r="G44" i="9" a="1"/>
  <c r="G44" i="9" s="1"/>
  <c r="F44" i="9" a="1"/>
  <c r="F44" i="9" s="1"/>
  <c r="H32" i="9" a="1"/>
  <c r="H32" i="9" s="1"/>
  <c r="G32" i="9" a="1"/>
  <c r="G32" i="9" s="1"/>
  <c r="F32" i="9" a="1"/>
  <c r="F32" i="9" s="1"/>
  <c r="F8" i="9" a="1"/>
  <c r="F8" i="9" s="1"/>
  <c r="H8" i="9" a="1"/>
  <c r="H8" i="9" s="1"/>
  <c r="AD21" i="10"/>
  <c r="AC21" i="10"/>
  <c r="AB21" i="10"/>
  <c r="AA21" i="10"/>
  <c r="Z21" i="10"/>
  <c r="Y21" i="10"/>
  <c r="AD20" i="10"/>
  <c r="AC20" i="10"/>
  <c r="AB20" i="10"/>
  <c r="AA20" i="10"/>
  <c r="Z20" i="10"/>
  <c r="Y20" i="10"/>
  <c r="AD19" i="10"/>
  <c r="AC19" i="10"/>
  <c r="AB19" i="10"/>
  <c r="AA19" i="10"/>
  <c r="Z19" i="10"/>
  <c r="Y19" i="10"/>
  <c r="AD18" i="10"/>
  <c r="AC18" i="10"/>
  <c r="AB18" i="10"/>
  <c r="AA18" i="10"/>
  <c r="Z18" i="10"/>
  <c r="Y18" i="10"/>
  <c r="AD12" i="10"/>
  <c r="AC12" i="10"/>
  <c r="AB12" i="10"/>
  <c r="AA12" i="10"/>
  <c r="Z12" i="10"/>
  <c r="Y12" i="10"/>
  <c r="AD11" i="10"/>
  <c r="AC11" i="10"/>
  <c r="AB11" i="10"/>
  <c r="AA11" i="10"/>
  <c r="Z11" i="10"/>
  <c r="Y11" i="10"/>
  <c r="AD10" i="10"/>
  <c r="AC10" i="10"/>
  <c r="AB10" i="10"/>
  <c r="AA10" i="10"/>
  <c r="Z10" i="10"/>
  <c r="Y10" i="10"/>
  <c r="Y6" i="13" l="1"/>
  <c r="Y8" i="13"/>
  <c r="AN40" i="13"/>
  <c r="AO40" i="13"/>
  <c r="AO71" i="13"/>
  <c r="AN71" i="13"/>
  <c r="AN130" i="13"/>
  <c r="AO130" i="13"/>
  <c r="AO329" i="13"/>
  <c r="AN329" i="13"/>
  <c r="AO382" i="13"/>
  <c r="AN382" i="13"/>
  <c r="AN9" i="13"/>
  <c r="AO9" i="13"/>
  <c r="AO60" i="13"/>
  <c r="AN60" i="13"/>
  <c r="AO166" i="13"/>
  <c r="AN166" i="13"/>
  <c r="AO813" i="13"/>
  <c r="AN813" i="13"/>
  <c r="AO704" i="13"/>
  <c r="AN704" i="13"/>
  <c r="AO29" i="13"/>
  <c r="AN29" i="13"/>
  <c r="AO34" i="13"/>
  <c r="AN34" i="13"/>
  <c r="AN213" i="13"/>
  <c r="AO213" i="13"/>
  <c r="AO18" i="13"/>
  <c r="AN18" i="13"/>
  <c r="AM41" i="13"/>
  <c r="AM43" i="13"/>
  <c r="AO51" i="13"/>
  <c r="AN51" i="13"/>
  <c r="AO118" i="13"/>
  <c r="AN118" i="13"/>
  <c r="AN129" i="13"/>
  <c r="AO129" i="13"/>
  <c r="AN85" i="13"/>
  <c r="AO85" i="13"/>
  <c r="AM110" i="13"/>
  <c r="AO411" i="13"/>
  <c r="AN411" i="13"/>
  <c r="AO50" i="13"/>
  <c r="AN50" i="13"/>
  <c r="AN10" i="13"/>
  <c r="AO10" i="13"/>
  <c r="AN36" i="13"/>
  <c r="AO36" i="13"/>
  <c r="AN42" i="13"/>
  <c r="AO42" i="13"/>
  <c r="AN276" i="13"/>
  <c r="AO276" i="13"/>
  <c r="AO25" i="13"/>
  <c r="AN25" i="13"/>
  <c r="AO49" i="13"/>
  <c r="AN49" i="13"/>
  <c r="AN418" i="13"/>
  <c r="AO418" i="13"/>
  <c r="K7" i="13" a="1"/>
  <c r="K7" i="13" s="1"/>
  <c r="K3" i="13"/>
  <c r="AO72" i="13"/>
  <c r="AN72" i="13"/>
  <c r="AO80" i="13"/>
  <c r="AN80" i="13"/>
  <c r="AO14" i="13"/>
  <c r="AN14" i="13"/>
  <c r="AM28" i="13"/>
  <c r="AM33" i="13"/>
  <c r="AO46" i="13"/>
  <c r="AN46" i="13"/>
  <c r="AM102" i="13"/>
  <c r="AO141" i="13"/>
  <c r="AN141" i="13"/>
  <c r="AN177" i="13"/>
  <c r="AO177" i="13"/>
  <c r="AO188" i="13"/>
  <c r="AN188" i="13"/>
  <c r="AO208" i="13"/>
  <c r="AN208" i="13"/>
  <c r="AO261" i="13"/>
  <c r="AN261" i="13"/>
  <c r="AN356" i="13"/>
  <c r="AO356" i="13"/>
  <c r="AO234" i="13"/>
  <c r="AN234" i="13"/>
  <c r="AO398" i="13"/>
  <c r="AN398" i="13"/>
  <c r="AO529" i="13"/>
  <c r="AN529" i="13"/>
  <c r="AN138" i="13"/>
  <c r="AO138" i="13"/>
  <c r="AO184" i="13"/>
  <c r="AN184" i="13"/>
  <c r="AJ876" i="13"/>
  <c r="AM876" i="13" s="1"/>
  <c r="AJ11" i="13"/>
  <c r="AM11" i="13" s="1"/>
  <c r="AJ20" i="13"/>
  <c r="AM20" i="13" s="1"/>
  <c r="AJ61" i="13"/>
  <c r="AM61" i="13" s="1"/>
  <c r="AJ76" i="13"/>
  <c r="AM76" i="13" s="1"/>
  <c r="AJ91" i="13"/>
  <c r="AM91" i="13" s="1"/>
  <c r="AJ140" i="13"/>
  <c r="AM140" i="13" s="1"/>
  <c r="AJ212" i="13"/>
  <c r="AM212" i="13" s="1"/>
  <c r="AJ275" i="13"/>
  <c r="AM275" i="13" s="1"/>
  <c r="AJ422" i="13"/>
  <c r="AM422" i="13" s="1"/>
  <c r="AJ682" i="13"/>
  <c r="AM682" i="13" s="1"/>
  <c r="AJ30" i="13"/>
  <c r="AM30" i="13" s="1"/>
  <c r="AJ47" i="13"/>
  <c r="AM47" i="13" s="1"/>
  <c r="AJ106" i="13"/>
  <c r="AM106" i="13" s="1"/>
  <c r="AJ134" i="13"/>
  <c r="AM134" i="13" s="1"/>
  <c r="AJ176" i="13"/>
  <c r="AM176" i="13" s="1"/>
  <c r="AJ233" i="13"/>
  <c r="AM233" i="13" s="1"/>
  <c r="AJ367" i="13"/>
  <c r="AM367" i="13" s="1"/>
  <c r="AJ12" i="13"/>
  <c r="AM12" i="13" s="1"/>
  <c r="AJ16" i="13"/>
  <c r="AM16" i="13" s="1"/>
  <c r="AJ21" i="13"/>
  <c r="AM21" i="13" s="1"/>
  <c r="AJ24" i="13"/>
  <c r="AM24" i="13" s="1"/>
  <c r="AJ27" i="13"/>
  <c r="AM27" i="13" s="1"/>
  <c r="AJ38" i="13"/>
  <c r="AM38" i="13" s="1"/>
  <c r="AJ48" i="13"/>
  <c r="AM48" i="13" s="1"/>
  <c r="AJ53" i="13"/>
  <c r="AM53" i="13" s="1"/>
  <c r="AJ63" i="13"/>
  <c r="AM63" i="13" s="1"/>
  <c r="AJ64" i="13"/>
  <c r="AM64" i="13" s="1"/>
  <c r="AJ65" i="13"/>
  <c r="AM65" i="13" s="1"/>
  <c r="AJ68" i="13"/>
  <c r="AM68" i="13" s="1"/>
  <c r="AJ69" i="13"/>
  <c r="AM69" i="13" s="1"/>
  <c r="AJ70" i="13"/>
  <c r="AM70" i="13" s="1"/>
  <c r="AJ78" i="13"/>
  <c r="AM78" i="13" s="1"/>
  <c r="AJ79" i="13"/>
  <c r="AM79" i="13" s="1"/>
  <c r="AN81" i="13"/>
  <c r="AJ83" i="13"/>
  <c r="AM83" i="13" s="1"/>
  <c r="AJ84" i="13"/>
  <c r="AM84" i="13" s="1"/>
  <c r="AJ93" i="13"/>
  <c r="AM93" i="13" s="1"/>
  <c r="AJ94" i="13"/>
  <c r="AM94" i="13" s="1"/>
  <c r="AJ96" i="13"/>
  <c r="AM96" i="13" s="1"/>
  <c r="AO99" i="13"/>
  <c r="AO107" i="13"/>
  <c r="AO115" i="13"/>
  <c r="AJ137" i="13"/>
  <c r="AM137" i="13" s="1"/>
  <c r="AJ159" i="13"/>
  <c r="AM159" i="13" s="1"/>
  <c r="AJ162" i="13"/>
  <c r="AM162" i="13" s="1"/>
  <c r="AJ167" i="13"/>
  <c r="AM167" i="13" s="1"/>
  <c r="AN168" i="13"/>
  <c r="AJ209" i="13"/>
  <c r="AM209" i="13" s="1"/>
  <c r="AJ272" i="13"/>
  <c r="AM272" i="13" s="1"/>
  <c r="AJ460" i="13"/>
  <c r="AM460" i="13" s="1"/>
  <c r="AJ476" i="13"/>
  <c r="AM476" i="13" s="1"/>
  <c r="AJ616" i="13"/>
  <c r="AM616" i="13" s="1"/>
  <c r="AO226" i="13"/>
  <c r="AN226" i="13"/>
  <c r="AO252" i="13"/>
  <c r="AN252" i="13"/>
  <c r="AO492" i="13"/>
  <c r="AN492" i="13"/>
  <c r="AO144" i="13"/>
  <c r="AN144" i="13"/>
  <c r="AO245" i="13"/>
  <c r="AN245" i="13"/>
  <c r="AO340" i="13"/>
  <c r="AN340" i="13"/>
  <c r="AJ990" i="13"/>
  <c r="AM990" i="13" s="1"/>
  <c r="AJ985" i="13"/>
  <c r="AM985" i="13" s="1"/>
  <c r="AJ981" i="13"/>
  <c r="AM981" i="13" s="1"/>
  <c r="AJ977" i="13"/>
  <c r="AM977" i="13" s="1"/>
  <c r="AJ973" i="13"/>
  <c r="AM973" i="13" s="1"/>
  <c r="AJ969" i="13"/>
  <c r="AM969" i="13" s="1"/>
  <c r="AJ965" i="13"/>
  <c r="AM965" i="13" s="1"/>
  <c r="AJ961" i="13"/>
  <c r="AM961" i="13" s="1"/>
  <c r="AJ957" i="13"/>
  <c r="AM957" i="13" s="1"/>
  <c r="AJ953" i="13"/>
  <c r="AM953" i="13" s="1"/>
  <c r="AJ949" i="13"/>
  <c r="AM949" i="13" s="1"/>
  <c r="AJ944" i="13"/>
  <c r="AM944" i="13" s="1"/>
  <c r="AJ1038" i="13"/>
  <c r="AM1038" i="13" s="1"/>
  <c r="AJ988" i="13"/>
  <c r="AM988" i="13" s="1"/>
  <c r="AJ1037" i="13"/>
  <c r="AM1037" i="13" s="1"/>
  <c r="AJ987" i="13"/>
  <c r="AM987" i="13" s="1"/>
  <c r="AJ983" i="13"/>
  <c r="AM983" i="13" s="1"/>
  <c r="AJ979" i="13"/>
  <c r="AM979" i="13" s="1"/>
  <c r="AJ975" i="13"/>
  <c r="AM975" i="13" s="1"/>
  <c r="AJ971" i="13"/>
  <c r="AM971" i="13" s="1"/>
  <c r="AJ967" i="13"/>
  <c r="AM967" i="13" s="1"/>
  <c r="AJ963" i="13"/>
  <c r="AM963" i="13" s="1"/>
  <c r="AJ959" i="13"/>
  <c r="AM959" i="13" s="1"/>
  <c r="AJ955" i="13"/>
  <c r="AM955" i="13" s="1"/>
  <c r="AJ951" i="13"/>
  <c r="AM951" i="13" s="1"/>
  <c r="AJ1036" i="13"/>
  <c r="AM1036" i="13" s="1"/>
  <c r="AJ1032" i="13"/>
  <c r="AM1032" i="13" s="1"/>
  <c r="AJ1028" i="13"/>
  <c r="AM1028" i="13" s="1"/>
  <c r="AJ1024" i="13"/>
  <c r="AM1024" i="13" s="1"/>
  <c r="AJ1020" i="13"/>
  <c r="AM1020" i="13" s="1"/>
  <c r="AJ1016" i="13"/>
  <c r="AM1016" i="13" s="1"/>
  <c r="AJ1012" i="13"/>
  <c r="AM1012" i="13" s="1"/>
  <c r="AJ1008" i="13"/>
  <c r="AM1008" i="13" s="1"/>
  <c r="AJ1004" i="13"/>
  <c r="AM1004" i="13" s="1"/>
  <c r="AJ991" i="13"/>
  <c r="AM991" i="13" s="1"/>
  <c r="AJ1033" i="13"/>
  <c r="AM1033" i="13" s="1"/>
  <c r="AJ1025" i="13"/>
  <c r="AM1025" i="13" s="1"/>
  <c r="AJ1017" i="13"/>
  <c r="AM1017" i="13" s="1"/>
  <c r="AJ1009" i="13"/>
  <c r="AM1009" i="13" s="1"/>
  <c r="AJ995" i="13"/>
  <c r="AM995" i="13" s="1"/>
  <c r="AJ994" i="13"/>
  <c r="AM994" i="13" s="1"/>
  <c r="AJ993" i="13"/>
  <c r="AM993" i="13" s="1"/>
  <c r="AJ992" i="13"/>
  <c r="AM992" i="13" s="1"/>
  <c r="AJ978" i="13"/>
  <c r="AM978" i="13" s="1"/>
  <c r="AJ962" i="13"/>
  <c r="AM962" i="13" s="1"/>
  <c r="AJ947" i="13"/>
  <c r="AM947" i="13" s="1"/>
  <c r="AJ938" i="13"/>
  <c r="AM938" i="13" s="1"/>
  <c r="AJ908" i="13"/>
  <c r="AM908" i="13" s="1"/>
  <c r="AJ904" i="13"/>
  <c r="AM904" i="13" s="1"/>
  <c r="AJ900" i="13"/>
  <c r="AM900" i="13" s="1"/>
  <c r="AJ1039" i="13"/>
  <c r="AM1039" i="13" s="1"/>
  <c r="AJ1034" i="13"/>
  <c r="AM1034" i="13" s="1"/>
  <c r="AJ1026" i="13"/>
  <c r="AM1026" i="13" s="1"/>
  <c r="AJ1018" i="13"/>
  <c r="AM1018" i="13" s="1"/>
  <c r="AJ1010" i="13"/>
  <c r="AM1010" i="13" s="1"/>
  <c r="AJ999" i="13"/>
  <c r="AM999" i="13" s="1"/>
  <c r="AJ998" i="13"/>
  <c r="AM998" i="13" s="1"/>
  <c r="AJ997" i="13"/>
  <c r="AM997" i="13" s="1"/>
  <c r="AJ996" i="13"/>
  <c r="AM996" i="13" s="1"/>
  <c r="AJ976" i="13"/>
  <c r="AM976" i="13" s="1"/>
  <c r="AJ960" i="13"/>
  <c r="AM960" i="13" s="1"/>
  <c r="AJ946" i="13"/>
  <c r="AM946" i="13" s="1"/>
  <c r="AJ945" i="13"/>
  <c r="AM945" i="13" s="1"/>
  <c r="AJ937" i="13"/>
  <c r="AM937" i="13" s="1"/>
  <c r="AJ931" i="13"/>
  <c r="AM931" i="13" s="1"/>
  <c r="AJ925" i="13"/>
  <c r="AM925" i="13" s="1"/>
  <c r="AJ921" i="13"/>
  <c r="AM921" i="13" s="1"/>
  <c r="AJ917" i="13"/>
  <c r="AM917" i="13" s="1"/>
  <c r="AJ913" i="13"/>
  <c r="AM913" i="13" s="1"/>
  <c r="AJ1013" i="13"/>
  <c r="AM1013" i="13" s="1"/>
  <c r="AJ1002" i="13"/>
  <c r="AM1002" i="13" s="1"/>
  <c r="AJ982" i="13"/>
  <c r="AM982" i="13" s="1"/>
  <c r="AJ974" i="13"/>
  <c r="AM974" i="13" s="1"/>
  <c r="AJ933" i="13"/>
  <c r="AM933" i="13" s="1"/>
  <c r="AJ932" i="13"/>
  <c r="AM932" i="13" s="1"/>
  <c r="AJ910" i="13"/>
  <c r="AM910" i="13" s="1"/>
  <c r="AJ909" i="13"/>
  <c r="AM909" i="13" s="1"/>
  <c r="AJ898" i="13"/>
  <c r="AM898" i="13" s="1"/>
  <c r="AJ894" i="13"/>
  <c r="AM894" i="13" s="1"/>
  <c r="AJ890" i="13"/>
  <c r="AM890" i="13" s="1"/>
  <c r="AJ886" i="13"/>
  <c r="AM886" i="13" s="1"/>
  <c r="AJ882" i="13"/>
  <c r="AM882" i="13" s="1"/>
  <c r="AJ1021" i="13"/>
  <c r="AM1021" i="13" s="1"/>
  <c r="AJ1003" i="13"/>
  <c r="AM1003" i="13" s="1"/>
  <c r="AJ968" i="13"/>
  <c r="AM968" i="13" s="1"/>
  <c r="AJ940" i="13"/>
  <c r="AM940" i="13" s="1"/>
  <c r="AJ939" i="13"/>
  <c r="AM939" i="13" s="1"/>
  <c r="AJ934" i="13"/>
  <c r="AM934" i="13" s="1"/>
  <c r="AJ928" i="13"/>
  <c r="AM928" i="13" s="1"/>
  <c r="AJ927" i="13"/>
  <c r="AM927" i="13" s="1"/>
  <c r="AJ926" i="13"/>
  <c r="AM926" i="13" s="1"/>
  <c r="AJ912" i="13"/>
  <c r="AM912" i="13" s="1"/>
  <c r="AJ911" i="13"/>
  <c r="AM911" i="13" s="1"/>
  <c r="AJ861" i="13"/>
  <c r="AM861" i="13" s="1"/>
  <c r="AJ856" i="13"/>
  <c r="AM856" i="13" s="1"/>
  <c r="AJ1029" i="13"/>
  <c r="AM1029" i="13" s="1"/>
  <c r="AJ1011" i="13"/>
  <c r="AM1011" i="13" s="1"/>
  <c r="AJ1006" i="13"/>
  <c r="AM1006" i="13" s="1"/>
  <c r="AJ954" i="13"/>
  <c r="AM954" i="13" s="1"/>
  <c r="AJ941" i="13"/>
  <c r="AM941" i="13" s="1"/>
  <c r="AJ1030" i="13"/>
  <c r="AM1030" i="13" s="1"/>
  <c r="AJ1005" i="13"/>
  <c r="AM1005" i="13" s="1"/>
  <c r="AJ984" i="13"/>
  <c r="AM984" i="13" s="1"/>
  <c r="AJ924" i="13"/>
  <c r="AM924" i="13" s="1"/>
  <c r="AJ918" i="13"/>
  <c r="AM918" i="13" s="1"/>
  <c r="AJ874" i="13"/>
  <c r="AM874" i="13" s="1"/>
  <c r="AJ868" i="13"/>
  <c r="AM868" i="13" s="1"/>
  <c r="AJ860" i="13"/>
  <c r="AM860" i="13" s="1"/>
  <c r="AJ853" i="13"/>
  <c r="AM853" i="13" s="1"/>
  <c r="AJ849" i="13"/>
  <c r="AM849" i="13" s="1"/>
  <c r="AJ845" i="13"/>
  <c r="AM845" i="13" s="1"/>
  <c r="AJ841" i="13"/>
  <c r="AM841" i="13" s="1"/>
  <c r="AJ837" i="13"/>
  <c r="AM837" i="13" s="1"/>
  <c r="AJ833" i="13"/>
  <c r="AM833" i="13" s="1"/>
  <c r="AJ829" i="13"/>
  <c r="AM829" i="13" s="1"/>
  <c r="AJ825" i="13"/>
  <c r="AM825" i="13" s="1"/>
  <c r="AJ821" i="13"/>
  <c r="AM821" i="13" s="1"/>
  <c r="AJ817" i="13"/>
  <c r="AM817" i="13" s="1"/>
  <c r="AJ783" i="13"/>
  <c r="AM783" i="13" s="1"/>
  <c r="AJ901" i="13"/>
  <c r="AM901" i="13" s="1"/>
  <c r="AJ897" i="13"/>
  <c r="AM897" i="13" s="1"/>
  <c r="AJ896" i="13"/>
  <c r="AM896" i="13" s="1"/>
  <c r="AJ895" i="13"/>
  <c r="AM895" i="13" s="1"/>
  <c r="AJ881" i="13"/>
  <c r="AM881" i="13" s="1"/>
  <c r="AJ880" i="13"/>
  <c r="AM880" i="13" s="1"/>
  <c r="AJ867" i="13"/>
  <c r="AM867" i="13" s="1"/>
  <c r="AJ859" i="13"/>
  <c r="AM859" i="13" s="1"/>
  <c r="AJ816" i="13"/>
  <c r="AM816" i="13" s="1"/>
  <c r="AJ811" i="13"/>
  <c r="AM811" i="13" s="1"/>
  <c r="AJ807" i="13"/>
  <c r="AM807" i="13" s="1"/>
  <c r="AJ803" i="13"/>
  <c r="AM803" i="13" s="1"/>
  <c r="AJ799" i="13"/>
  <c r="AM799" i="13" s="1"/>
  <c r="AJ795" i="13"/>
  <c r="AM795" i="13" s="1"/>
  <c r="AJ791" i="13"/>
  <c r="AM791" i="13" s="1"/>
  <c r="AJ787" i="13"/>
  <c r="AM787" i="13" s="1"/>
  <c r="AJ1022" i="13"/>
  <c r="AM1022" i="13" s="1"/>
  <c r="AJ980" i="13"/>
  <c r="AM980" i="13" s="1"/>
  <c r="AJ972" i="13"/>
  <c r="AM972" i="13" s="1"/>
  <c r="AJ919" i="13"/>
  <c r="AM919" i="13" s="1"/>
  <c r="AJ879" i="13"/>
  <c r="AM879" i="13" s="1"/>
  <c r="AJ873" i="13"/>
  <c r="AM873" i="13" s="1"/>
  <c r="AJ866" i="13"/>
  <c r="AM866" i="13" s="1"/>
  <c r="AJ858" i="13"/>
  <c r="AM858" i="13" s="1"/>
  <c r="AJ852" i="13"/>
  <c r="AM852" i="13" s="1"/>
  <c r="AJ848" i="13"/>
  <c r="AM848" i="13" s="1"/>
  <c r="AJ844" i="13"/>
  <c r="AM844" i="13" s="1"/>
  <c r="AJ840" i="13"/>
  <c r="AM840" i="13" s="1"/>
  <c r="AJ836" i="13"/>
  <c r="AM836" i="13" s="1"/>
  <c r="AJ832" i="13"/>
  <c r="AM832" i="13" s="1"/>
  <c r="AJ828" i="13"/>
  <c r="AM828" i="13" s="1"/>
  <c r="AJ824" i="13"/>
  <c r="AM824" i="13" s="1"/>
  <c r="AJ820" i="13"/>
  <c r="AM820" i="13" s="1"/>
  <c r="AJ815" i="13"/>
  <c r="AM815" i="13" s="1"/>
  <c r="AJ781" i="13"/>
  <c r="AM781" i="13" s="1"/>
  <c r="AJ777" i="13"/>
  <c r="AM777" i="13" s="1"/>
  <c r="AJ773" i="13"/>
  <c r="AM773" i="13" s="1"/>
  <c r="AJ769" i="13"/>
  <c r="AM769" i="13" s="1"/>
  <c r="AJ765" i="13"/>
  <c r="AM765" i="13" s="1"/>
  <c r="AJ761" i="13"/>
  <c r="AM761" i="13" s="1"/>
  <c r="AJ757" i="13"/>
  <c r="AM757" i="13" s="1"/>
  <c r="AJ753" i="13"/>
  <c r="AM753" i="13" s="1"/>
  <c r="AJ749" i="13"/>
  <c r="AM749" i="13" s="1"/>
  <c r="AJ745" i="13"/>
  <c r="AM745" i="13" s="1"/>
  <c r="AJ741" i="13"/>
  <c r="AM741" i="13" s="1"/>
  <c r="AJ737" i="13"/>
  <c r="AM737" i="13" s="1"/>
  <c r="AJ733" i="13"/>
  <c r="AM733" i="13" s="1"/>
  <c r="AJ1035" i="13"/>
  <c r="AM1035" i="13" s="1"/>
  <c r="AJ929" i="13"/>
  <c r="AM929" i="13" s="1"/>
  <c r="AJ915" i="13"/>
  <c r="AM915" i="13" s="1"/>
  <c r="AJ907" i="13"/>
  <c r="AM907" i="13" s="1"/>
  <c r="AJ887" i="13"/>
  <c r="AM887" i="13" s="1"/>
  <c r="AJ878" i="13"/>
  <c r="AM878" i="13" s="1"/>
  <c r="AJ869" i="13"/>
  <c r="AM869" i="13" s="1"/>
  <c r="AJ850" i="13"/>
  <c r="AM850" i="13" s="1"/>
  <c r="AJ847" i="13"/>
  <c r="AM847" i="13" s="1"/>
  <c r="AJ818" i="13"/>
  <c r="AM818" i="13" s="1"/>
  <c r="AJ796" i="13"/>
  <c r="AM796" i="13" s="1"/>
  <c r="AJ793" i="13"/>
  <c r="AM793" i="13" s="1"/>
  <c r="AJ790" i="13"/>
  <c r="AM790" i="13" s="1"/>
  <c r="AJ780" i="13"/>
  <c r="AM780" i="13" s="1"/>
  <c r="AJ767" i="13"/>
  <c r="AM767" i="13" s="1"/>
  <c r="AJ754" i="13"/>
  <c r="AM754" i="13" s="1"/>
  <c r="AJ748" i="13"/>
  <c r="AM748" i="13" s="1"/>
  <c r="AJ735" i="13"/>
  <c r="AM735" i="13" s="1"/>
  <c r="AJ727" i="13"/>
  <c r="AM727" i="13" s="1"/>
  <c r="AJ723" i="13"/>
  <c r="AM723" i="13" s="1"/>
  <c r="AJ719" i="13"/>
  <c r="AM719" i="13" s="1"/>
  <c r="AJ715" i="13"/>
  <c r="AM715" i="13" s="1"/>
  <c r="AJ711" i="13"/>
  <c r="AM711" i="13" s="1"/>
  <c r="AJ707" i="13"/>
  <c r="AM707" i="13" s="1"/>
  <c r="AJ703" i="13"/>
  <c r="AM703" i="13" s="1"/>
  <c r="AJ699" i="13"/>
  <c r="AM699" i="13" s="1"/>
  <c r="AJ695" i="13"/>
  <c r="AM695" i="13" s="1"/>
  <c r="AJ691" i="13"/>
  <c r="AM691" i="13" s="1"/>
  <c r="AJ686" i="13"/>
  <c r="AM686" i="13" s="1"/>
  <c r="AJ652" i="13"/>
  <c r="AM652" i="13" s="1"/>
  <c r="AJ1015" i="13"/>
  <c r="AM1015" i="13" s="1"/>
  <c r="AJ1000" i="13"/>
  <c r="AM1000" i="13" s="1"/>
  <c r="AJ966" i="13"/>
  <c r="AM966" i="13" s="1"/>
  <c r="AJ956" i="13"/>
  <c r="AM956" i="13" s="1"/>
  <c r="AJ948" i="13"/>
  <c r="AM948" i="13" s="1"/>
  <c r="AJ942" i="13"/>
  <c r="AM942" i="13" s="1"/>
  <c r="AJ923" i="13"/>
  <c r="AM923" i="13" s="1"/>
  <c r="AJ920" i="13"/>
  <c r="AM920" i="13" s="1"/>
  <c r="AJ916" i="13"/>
  <c r="AM916" i="13" s="1"/>
  <c r="AJ891" i="13"/>
  <c r="AM891" i="13" s="1"/>
  <c r="AJ870" i="13"/>
  <c r="AM870" i="13" s="1"/>
  <c r="AJ854" i="13"/>
  <c r="AM854" i="13" s="1"/>
  <c r="AJ851" i="13"/>
  <c r="AM851" i="13" s="1"/>
  <c r="AJ822" i="13"/>
  <c r="AM822" i="13" s="1"/>
  <c r="AJ819" i="13"/>
  <c r="AM819" i="13" s="1"/>
  <c r="AJ800" i="13"/>
  <c r="AM800" i="13" s="1"/>
  <c r="AJ797" i="13"/>
  <c r="AM797" i="13" s="1"/>
  <c r="AJ794" i="13"/>
  <c r="AM794" i="13" s="1"/>
  <c r="AJ779" i="13"/>
  <c r="AM779" i="13" s="1"/>
  <c r="AJ766" i="13"/>
  <c r="AM766" i="13" s="1"/>
  <c r="AJ760" i="13"/>
  <c r="AM760" i="13" s="1"/>
  <c r="AJ747" i="13"/>
  <c r="AM747" i="13" s="1"/>
  <c r="AJ734" i="13"/>
  <c r="AM734" i="13" s="1"/>
  <c r="AJ685" i="13"/>
  <c r="AM685" i="13" s="1"/>
  <c r="AJ681" i="13"/>
  <c r="AM681" i="13" s="1"/>
  <c r="AJ677" i="13"/>
  <c r="AM677" i="13" s="1"/>
  <c r="AJ673" i="13"/>
  <c r="AM673" i="13" s="1"/>
  <c r="AJ669" i="13"/>
  <c r="AM669" i="13" s="1"/>
  <c r="AJ665" i="13"/>
  <c r="AM665" i="13" s="1"/>
  <c r="AJ661" i="13"/>
  <c r="AM661" i="13" s="1"/>
  <c r="AJ930" i="13"/>
  <c r="AM930" i="13" s="1"/>
  <c r="AJ892" i="13"/>
  <c r="AM892" i="13" s="1"/>
  <c r="AJ883" i="13"/>
  <c r="AM883" i="13" s="1"/>
  <c r="AJ862" i="13"/>
  <c r="AM862" i="13" s="1"/>
  <c r="AJ855" i="13"/>
  <c r="AM855" i="13" s="1"/>
  <c r="AJ826" i="13"/>
  <c r="AM826" i="13" s="1"/>
  <c r="AJ823" i="13"/>
  <c r="AM823" i="13" s="1"/>
  <c r="AJ804" i="13"/>
  <c r="AM804" i="13" s="1"/>
  <c r="AJ801" i="13"/>
  <c r="AM801" i="13" s="1"/>
  <c r="AJ798" i="13"/>
  <c r="AM798" i="13" s="1"/>
  <c r="AJ778" i="13"/>
  <c r="AM778" i="13" s="1"/>
  <c r="AJ772" i="13"/>
  <c r="AM772" i="13" s="1"/>
  <c r="AJ759" i="13"/>
  <c r="AM759" i="13" s="1"/>
  <c r="AJ746" i="13"/>
  <c r="AM746" i="13" s="1"/>
  <c r="AJ740" i="13"/>
  <c r="AM740" i="13" s="1"/>
  <c r="AJ726" i="13"/>
  <c r="AM726" i="13" s="1"/>
  <c r="AJ722" i="13"/>
  <c r="AM722" i="13" s="1"/>
  <c r="AJ718" i="13"/>
  <c r="AM718" i="13" s="1"/>
  <c r="AJ714" i="13"/>
  <c r="AM714" i="13" s="1"/>
  <c r="AJ710" i="13"/>
  <c r="AM710" i="13" s="1"/>
  <c r="AJ706" i="13"/>
  <c r="AM706" i="13" s="1"/>
  <c r="AJ702" i="13"/>
  <c r="AM702" i="13" s="1"/>
  <c r="AJ698" i="13"/>
  <c r="AM698" i="13" s="1"/>
  <c r="AJ694" i="13"/>
  <c r="AM694" i="13" s="1"/>
  <c r="AJ690" i="13"/>
  <c r="AM690" i="13" s="1"/>
  <c r="AJ651" i="13"/>
  <c r="AM651" i="13" s="1"/>
  <c r="AJ647" i="13"/>
  <c r="AM647" i="13" s="1"/>
  <c r="AJ643" i="13"/>
  <c r="AM643" i="13" s="1"/>
  <c r="AJ639" i="13"/>
  <c r="AM639" i="13" s="1"/>
  <c r="AJ635" i="13"/>
  <c r="AM635" i="13" s="1"/>
  <c r="AJ631" i="13"/>
  <c r="AM631" i="13" s="1"/>
  <c r="AJ627" i="13"/>
  <c r="AM627" i="13" s="1"/>
  <c r="AJ623" i="13"/>
  <c r="AM623" i="13" s="1"/>
  <c r="AJ619" i="13"/>
  <c r="AM619" i="13" s="1"/>
  <c r="AJ615" i="13"/>
  <c r="AM615" i="13" s="1"/>
  <c r="AJ1014" i="13"/>
  <c r="AM1014" i="13" s="1"/>
  <c r="AJ950" i="13"/>
  <c r="AM950" i="13" s="1"/>
  <c r="AJ914" i="13"/>
  <c r="AM914" i="13" s="1"/>
  <c r="AJ906" i="13"/>
  <c r="AM906" i="13" s="1"/>
  <c r="AJ884" i="13"/>
  <c r="AM884" i="13" s="1"/>
  <c r="AJ839" i="13"/>
  <c r="AM839" i="13" s="1"/>
  <c r="AJ830" i="13"/>
  <c r="AM830" i="13" s="1"/>
  <c r="AJ776" i="13"/>
  <c r="AM776" i="13" s="1"/>
  <c r="AJ755" i="13"/>
  <c r="AM755" i="13" s="1"/>
  <c r="AJ751" i="13"/>
  <c r="AM751" i="13" s="1"/>
  <c r="AJ716" i="13"/>
  <c r="AM716" i="13" s="1"/>
  <c r="AJ713" i="13"/>
  <c r="AM713" i="13" s="1"/>
  <c r="AJ670" i="13"/>
  <c r="AM670" i="13" s="1"/>
  <c r="AJ667" i="13"/>
  <c r="AM667" i="13" s="1"/>
  <c r="AJ664" i="13"/>
  <c r="AM664" i="13" s="1"/>
  <c r="AJ657" i="13"/>
  <c r="AM657" i="13" s="1"/>
  <c r="AJ654" i="13"/>
  <c r="AM654" i="13" s="1"/>
  <c r="AJ644" i="13"/>
  <c r="AM644" i="13" s="1"/>
  <c r="AJ638" i="13"/>
  <c r="AM638" i="13" s="1"/>
  <c r="AJ625" i="13"/>
  <c r="AM625" i="13" s="1"/>
  <c r="AJ613" i="13"/>
  <c r="AM613" i="13" s="1"/>
  <c r="AJ609" i="13"/>
  <c r="AM609" i="13" s="1"/>
  <c r="AJ605" i="13"/>
  <c r="AM605" i="13" s="1"/>
  <c r="AJ554" i="13"/>
  <c r="AM554" i="13" s="1"/>
  <c r="AJ550" i="13"/>
  <c r="AM550" i="13" s="1"/>
  <c r="AJ546" i="13"/>
  <c r="AM546" i="13" s="1"/>
  <c r="AJ542" i="13"/>
  <c r="AM542" i="13" s="1"/>
  <c r="AJ538" i="13"/>
  <c r="AM538" i="13" s="1"/>
  <c r="AJ534" i="13"/>
  <c r="AM534" i="13" s="1"/>
  <c r="AJ530" i="13"/>
  <c r="AM530" i="13" s="1"/>
  <c r="AJ526" i="13"/>
  <c r="AM526" i="13" s="1"/>
  <c r="AJ471" i="13"/>
  <c r="AM471" i="13" s="1"/>
  <c r="AJ467" i="13"/>
  <c r="AM467" i="13" s="1"/>
  <c r="AJ463" i="13"/>
  <c r="AM463" i="13" s="1"/>
  <c r="AJ459" i="13"/>
  <c r="AM459" i="13" s="1"/>
  <c r="AJ455" i="13"/>
  <c r="AM455" i="13" s="1"/>
  <c r="AJ451" i="13"/>
  <c r="AM451" i="13" s="1"/>
  <c r="AJ447" i="13"/>
  <c r="AM447" i="13" s="1"/>
  <c r="AJ443" i="13"/>
  <c r="AM443" i="13" s="1"/>
  <c r="AJ439" i="13"/>
  <c r="AM439" i="13" s="1"/>
  <c r="AJ435" i="13"/>
  <c r="AM435" i="13" s="1"/>
  <c r="AJ431" i="13"/>
  <c r="AM431" i="13" s="1"/>
  <c r="AJ392" i="13"/>
  <c r="AM392" i="13" s="1"/>
  <c r="AJ943" i="13"/>
  <c r="AM943" i="13" s="1"/>
  <c r="AJ843" i="13"/>
  <c r="AM843" i="13" s="1"/>
  <c r="AJ834" i="13"/>
  <c r="AM834" i="13" s="1"/>
  <c r="AJ814" i="13"/>
  <c r="AM814" i="13" s="1"/>
  <c r="AJ808" i="13"/>
  <c r="AM808" i="13" s="1"/>
  <c r="AJ802" i="13"/>
  <c r="AM802" i="13" s="1"/>
  <c r="AJ788" i="13"/>
  <c r="AM788" i="13" s="1"/>
  <c r="AJ764" i="13"/>
  <c r="AM764" i="13" s="1"/>
  <c r="AJ756" i="13"/>
  <c r="AM756" i="13" s="1"/>
  <c r="AJ752" i="13"/>
  <c r="AM752" i="13" s="1"/>
  <c r="AJ744" i="13"/>
  <c r="AM744" i="13" s="1"/>
  <c r="AJ731" i="13"/>
  <c r="AM731" i="13" s="1"/>
  <c r="AJ720" i="13"/>
  <c r="AM720" i="13" s="1"/>
  <c r="AJ717" i="13"/>
  <c r="AM717" i="13" s="1"/>
  <c r="AJ688" i="13"/>
  <c r="AM688" i="13" s="1"/>
  <c r="AJ674" i="13"/>
  <c r="AM674" i="13" s="1"/>
  <c r="AJ671" i="13"/>
  <c r="AM671" i="13" s="1"/>
  <c r="AJ668" i="13"/>
  <c r="AM668" i="13" s="1"/>
  <c r="AJ656" i="13"/>
  <c r="AM656" i="13" s="1"/>
  <c r="AJ655" i="13"/>
  <c r="AM655" i="13" s="1"/>
  <c r="AJ650" i="13"/>
  <c r="AM650" i="13" s="1"/>
  <c r="AJ637" i="13"/>
  <c r="AM637" i="13" s="1"/>
  <c r="AJ624" i="13"/>
  <c r="AM624" i="13" s="1"/>
  <c r="AJ618" i="13"/>
  <c r="AM618" i="13" s="1"/>
  <c r="AJ599" i="13"/>
  <c r="AM599" i="13" s="1"/>
  <c r="AJ595" i="13"/>
  <c r="AM595" i="13" s="1"/>
  <c r="AJ591" i="13"/>
  <c r="AM591" i="13" s="1"/>
  <c r="AJ587" i="13"/>
  <c r="AM587" i="13" s="1"/>
  <c r="AJ583" i="13"/>
  <c r="AM583" i="13" s="1"/>
  <c r="AJ579" i="13"/>
  <c r="AM579" i="13" s="1"/>
  <c r="AJ575" i="13"/>
  <c r="AM575" i="13" s="1"/>
  <c r="AJ571" i="13"/>
  <c r="AM571" i="13" s="1"/>
  <c r="AJ567" i="13"/>
  <c r="AM567" i="13" s="1"/>
  <c r="AJ563" i="13"/>
  <c r="AM563" i="13" s="1"/>
  <c r="AJ1023" i="13"/>
  <c r="AM1023" i="13" s="1"/>
  <c r="AJ964" i="13"/>
  <c r="AM964" i="13" s="1"/>
  <c r="AJ885" i="13"/>
  <c r="AM885" i="13" s="1"/>
  <c r="AJ877" i="13"/>
  <c r="AM877" i="13" s="1"/>
  <c r="AJ865" i="13"/>
  <c r="AM865" i="13" s="1"/>
  <c r="AJ831" i="13"/>
  <c r="AM831" i="13" s="1"/>
  <c r="AJ768" i="13"/>
  <c r="AM768" i="13" s="1"/>
  <c r="AJ732" i="13"/>
  <c r="AM732" i="13" s="1"/>
  <c r="AJ724" i="13"/>
  <c r="AM724" i="13" s="1"/>
  <c r="AJ721" i="13"/>
  <c r="AM721" i="13" s="1"/>
  <c r="AJ692" i="13"/>
  <c r="AM692" i="13" s="1"/>
  <c r="AJ689" i="13"/>
  <c r="AM689" i="13" s="1"/>
  <c r="AJ678" i="13"/>
  <c r="AM678" i="13" s="1"/>
  <c r="AJ675" i="13"/>
  <c r="AM675" i="13" s="1"/>
  <c r="AJ672" i="13"/>
  <c r="AM672" i="13" s="1"/>
  <c r="AJ649" i="13"/>
  <c r="AM649" i="13" s="1"/>
  <c r="AJ636" i="13"/>
  <c r="AM636" i="13" s="1"/>
  <c r="AJ630" i="13"/>
  <c r="AM630" i="13" s="1"/>
  <c r="AJ617" i="13"/>
  <c r="AM617" i="13" s="1"/>
  <c r="AJ612" i="13"/>
  <c r="AM612" i="13" s="1"/>
  <c r="AJ608" i="13"/>
  <c r="AM608" i="13" s="1"/>
  <c r="AJ604" i="13"/>
  <c r="AM604" i="13" s="1"/>
  <c r="AJ558" i="13"/>
  <c r="AM558" i="13" s="1"/>
  <c r="AJ553" i="13"/>
  <c r="AM553" i="13" s="1"/>
  <c r="AJ1019" i="13"/>
  <c r="AM1019" i="13" s="1"/>
  <c r="AJ903" i="13"/>
  <c r="AM903" i="13" s="1"/>
  <c r="AJ888" i="13"/>
  <c r="AM888" i="13" s="1"/>
  <c r="AJ875" i="13"/>
  <c r="AM875" i="13" s="1"/>
  <c r="AJ872" i="13"/>
  <c r="AM872" i="13" s="1"/>
  <c r="AJ842" i="13"/>
  <c r="AM842" i="13" s="1"/>
  <c r="AJ805" i="13"/>
  <c r="AM805" i="13" s="1"/>
  <c r="AJ784" i="13"/>
  <c r="AM784" i="13" s="1"/>
  <c r="AJ725" i="13"/>
  <c r="AM725" i="13" s="1"/>
  <c r="AJ709" i="13"/>
  <c r="AM709" i="13" s="1"/>
  <c r="AJ700" i="13"/>
  <c r="AM700" i="13" s="1"/>
  <c r="AJ659" i="13"/>
  <c r="AM659" i="13" s="1"/>
  <c r="AJ633" i="13"/>
  <c r="AM633" i="13" s="1"/>
  <c r="AJ629" i="13"/>
  <c r="AM629" i="13" s="1"/>
  <c r="AJ602" i="13"/>
  <c r="AM602" i="13" s="1"/>
  <c r="AJ580" i="13"/>
  <c r="AM580" i="13" s="1"/>
  <c r="AJ577" i="13"/>
  <c r="AM577" i="13" s="1"/>
  <c r="AJ574" i="13"/>
  <c r="AM574" i="13" s="1"/>
  <c r="AJ544" i="13"/>
  <c r="AM544" i="13" s="1"/>
  <c r="AJ531" i="13"/>
  <c r="AM531" i="13" s="1"/>
  <c r="AJ524" i="13"/>
  <c r="AM524" i="13" s="1"/>
  <c r="AJ523" i="13"/>
  <c r="AM523" i="13" s="1"/>
  <c r="AJ510" i="13"/>
  <c r="AM510" i="13" s="1"/>
  <c r="AJ504" i="13"/>
  <c r="AM504" i="13" s="1"/>
  <c r="AJ497" i="13"/>
  <c r="AM497" i="13" s="1"/>
  <c r="AJ491" i="13"/>
  <c r="AM491" i="13" s="1"/>
  <c r="AJ478" i="13"/>
  <c r="AM478" i="13" s="1"/>
  <c r="AJ469" i="13"/>
  <c r="AM469" i="13" s="1"/>
  <c r="AJ456" i="13"/>
  <c r="AM456" i="13" s="1"/>
  <c r="AJ450" i="13"/>
  <c r="AM450" i="13" s="1"/>
  <c r="AJ437" i="13"/>
  <c r="AM437" i="13" s="1"/>
  <c r="AJ415" i="13"/>
  <c r="AM415" i="13" s="1"/>
  <c r="AJ409" i="13"/>
  <c r="AM409" i="13" s="1"/>
  <c r="AJ402" i="13"/>
  <c r="AM402" i="13" s="1"/>
  <c r="AJ396" i="13"/>
  <c r="AM396" i="13" s="1"/>
  <c r="AJ395" i="13"/>
  <c r="AM395" i="13" s="1"/>
  <c r="AJ394" i="13"/>
  <c r="AM394" i="13" s="1"/>
  <c r="AJ389" i="13"/>
  <c r="AM389" i="13" s="1"/>
  <c r="AJ385" i="13"/>
  <c r="AM385" i="13" s="1"/>
  <c r="AJ381" i="13"/>
  <c r="AM381" i="13" s="1"/>
  <c r="AJ377" i="13"/>
  <c r="AM377" i="13" s="1"/>
  <c r="AJ373" i="13"/>
  <c r="AM373" i="13" s="1"/>
  <c r="AJ369" i="13"/>
  <c r="AM369" i="13" s="1"/>
  <c r="AJ365" i="13"/>
  <c r="AM365" i="13" s="1"/>
  <c r="AJ361" i="13"/>
  <c r="AM361" i="13" s="1"/>
  <c r="AJ357" i="13"/>
  <c r="AM357" i="13" s="1"/>
  <c r="AJ353" i="13"/>
  <c r="AM353" i="13" s="1"/>
  <c r="AJ349" i="13"/>
  <c r="AM349" i="13" s="1"/>
  <c r="AJ344" i="13"/>
  <c r="AM344" i="13" s="1"/>
  <c r="AJ298" i="13"/>
  <c r="AM298" i="13" s="1"/>
  <c r="AJ294" i="13"/>
  <c r="AM294" i="13" s="1"/>
  <c r="AJ290" i="13"/>
  <c r="AM290" i="13" s="1"/>
  <c r="AJ286" i="13"/>
  <c r="AM286" i="13" s="1"/>
  <c r="AJ282" i="13"/>
  <c r="AM282" i="13" s="1"/>
  <c r="AJ278" i="13"/>
  <c r="AM278" i="13" s="1"/>
  <c r="AJ274" i="13"/>
  <c r="AM274" i="13" s="1"/>
  <c r="AJ270" i="13"/>
  <c r="AM270" i="13" s="1"/>
  <c r="AJ952" i="13"/>
  <c r="AM952" i="13" s="1"/>
  <c r="AJ936" i="13"/>
  <c r="AM936" i="13" s="1"/>
  <c r="AJ864" i="13"/>
  <c r="AM864" i="13" s="1"/>
  <c r="AJ827" i="13"/>
  <c r="AM827" i="13" s="1"/>
  <c r="AJ774" i="13"/>
  <c r="AM774" i="13" s="1"/>
  <c r="AJ743" i="13"/>
  <c r="AM743" i="13" s="1"/>
  <c r="AJ738" i="13"/>
  <c r="AM738" i="13" s="1"/>
  <c r="AJ697" i="13"/>
  <c r="AM697" i="13" s="1"/>
  <c r="AJ684" i="13"/>
  <c r="AM684" i="13" s="1"/>
  <c r="AJ680" i="13"/>
  <c r="AM680" i="13" s="1"/>
  <c r="AJ666" i="13"/>
  <c r="AM666" i="13" s="1"/>
  <c r="AJ660" i="13"/>
  <c r="AM660" i="13" s="1"/>
  <c r="AJ653" i="13"/>
  <c r="AM653" i="13" s="1"/>
  <c r="AJ645" i="13"/>
  <c r="AM645" i="13" s="1"/>
  <c r="AJ641" i="13"/>
  <c r="AM641" i="13" s="1"/>
  <c r="AJ621" i="13"/>
  <c r="AM621" i="13" s="1"/>
  <c r="AJ606" i="13"/>
  <c r="AM606" i="13" s="1"/>
  <c r="AJ603" i="13"/>
  <c r="AM603" i="13" s="1"/>
  <c r="AJ584" i="13"/>
  <c r="AM584" i="13" s="1"/>
  <c r="AJ581" i="13"/>
  <c r="AM581" i="13" s="1"/>
  <c r="AJ578" i="13"/>
  <c r="AM578" i="13" s="1"/>
  <c r="AJ543" i="13"/>
  <c r="AM543" i="13" s="1"/>
  <c r="AJ537" i="13"/>
  <c r="AM537" i="13" s="1"/>
  <c r="AJ522" i="13"/>
  <c r="AM522" i="13" s="1"/>
  <c r="AJ516" i="13"/>
  <c r="AM516" i="13" s="1"/>
  <c r="AJ509" i="13"/>
  <c r="AM509" i="13" s="1"/>
  <c r="AJ503" i="13"/>
  <c r="AM503" i="13" s="1"/>
  <c r="AJ490" i="13"/>
  <c r="AM490" i="13" s="1"/>
  <c r="AJ484" i="13"/>
  <c r="AM484" i="13" s="1"/>
  <c r="AJ477" i="13"/>
  <c r="AM477" i="13" s="1"/>
  <c r="AJ468" i="13"/>
  <c r="AM468" i="13" s="1"/>
  <c r="AJ462" i="13"/>
  <c r="AM462" i="13" s="1"/>
  <c r="AJ449" i="13"/>
  <c r="AM449" i="13" s="1"/>
  <c r="AJ436" i="13"/>
  <c r="AM436" i="13" s="1"/>
  <c r="AJ430" i="13"/>
  <c r="AM430" i="13" s="1"/>
  <c r="AJ429" i="13"/>
  <c r="AM429" i="13" s="1"/>
  <c r="AJ428" i="13"/>
  <c r="AM428" i="13" s="1"/>
  <c r="AJ427" i="13"/>
  <c r="AM427" i="13" s="1"/>
  <c r="AJ421" i="13"/>
  <c r="AM421" i="13" s="1"/>
  <c r="AJ414" i="13"/>
  <c r="AM414" i="13" s="1"/>
  <c r="AJ408" i="13"/>
  <c r="AM408" i="13" s="1"/>
  <c r="AJ393" i="13"/>
  <c r="AM393" i="13" s="1"/>
  <c r="AJ343" i="13"/>
  <c r="AM343" i="13" s="1"/>
  <c r="AJ339" i="13"/>
  <c r="AM339" i="13" s="1"/>
  <c r="AJ335" i="13"/>
  <c r="AM335" i="13" s="1"/>
  <c r="AJ331" i="13"/>
  <c r="AM331" i="13" s="1"/>
  <c r="AJ327" i="13"/>
  <c r="AM327" i="13" s="1"/>
  <c r="AJ323" i="13"/>
  <c r="AM323" i="13" s="1"/>
  <c r="AJ319" i="13"/>
  <c r="AM319" i="13" s="1"/>
  <c r="AJ315" i="13"/>
  <c r="AM315" i="13" s="1"/>
  <c r="AJ311" i="13"/>
  <c r="AM311" i="13" s="1"/>
  <c r="AJ307" i="13"/>
  <c r="AM307" i="13" s="1"/>
  <c r="AJ303" i="13"/>
  <c r="AM303" i="13" s="1"/>
  <c r="AJ264" i="13"/>
  <c r="AM264" i="13" s="1"/>
  <c r="AJ260" i="13"/>
  <c r="AM260" i="13" s="1"/>
  <c r="AJ256" i="13"/>
  <c r="AM256" i="13" s="1"/>
  <c r="AJ1007" i="13"/>
  <c r="AM1007" i="13" s="1"/>
  <c r="AJ846" i="13"/>
  <c r="AM846" i="13" s="1"/>
  <c r="AJ835" i="13"/>
  <c r="AM835" i="13" s="1"/>
  <c r="AJ812" i="13"/>
  <c r="AM812" i="13" s="1"/>
  <c r="AJ809" i="13"/>
  <c r="AM809" i="13" s="1"/>
  <c r="AJ782" i="13"/>
  <c r="AM782" i="13" s="1"/>
  <c r="AJ771" i="13"/>
  <c r="AM771" i="13" s="1"/>
  <c r="AJ762" i="13"/>
  <c r="AM762" i="13" s="1"/>
  <c r="AJ750" i="13"/>
  <c r="AM750" i="13" s="1"/>
  <c r="AJ730" i="13"/>
  <c r="AM730" i="13" s="1"/>
  <c r="AJ646" i="13"/>
  <c r="AM646" i="13" s="1"/>
  <c r="AJ642" i="13"/>
  <c r="AM642" i="13" s="1"/>
  <c r="AJ634" i="13"/>
  <c r="AM634" i="13" s="1"/>
  <c r="AJ610" i="13"/>
  <c r="AM610" i="13" s="1"/>
  <c r="AJ607" i="13"/>
  <c r="AM607" i="13" s="1"/>
  <c r="AJ588" i="13"/>
  <c r="AM588" i="13" s="1"/>
  <c r="AJ585" i="13"/>
  <c r="AM585" i="13" s="1"/>
  <c r="AJ582" i="13"/>
  <c r="AM582" i="13" s="1"/>
  <c r="AJ549" i="13"/>
  <c r="AM549" i="13" s="1"/>
  <c r="AJ536" i="13"/>
  <c r="AM536" i="13" s="1"/>
  <c r="AJ521" i="13"/>
  <c r="AM521" i="13" s="1"/>
  <c r="AJ515" i="13"/>
  <c r="AM515" i="13" s="1"/>
  <c r="AJ502" i="13"/>
  <c r="AM502" i="13" s="1"/>
  <c r="AJ496" i="13"/>
  <c r="AM496" i="13" s="1"/>
  <c r="AJ489" i="13"/>
  <c r="AM489" i="13" s="1"/>
  <c r="AJ483" i="13"/>
  <c r="AM483" i="13" s="1"/>
  <c r="AJ461" i="13"/>
  <c r="AM461" i="13" s="1"/>
  <c r="AJ448" i="13"/>
  <c r="AM448" i="13" s="1"/>
  <c r="AJ442" i="13"/>
  <c r="AM442" i="13" s="1"/>
  <c r="AJ426" i="13"/>
  <c r="AM426" i="13" s="1"/>
  <c r="AJ1031" i="13"/>
  <c r="AM1031" i="13" s="1"/>
  <c r="AJ989" i="13"/>
  <c r="AM989" i="13" s="1"/>
  <c r="AJ922" i="13"/>
  <c r="AM922" i="13" s="1"/>
  <c r="AJ889" i="13"/>
  <c r="AM889" i="13" s="1"/>
  <c r="AJ838" i="13"/>
  <c r="AM838" i="13" s="1"/>
  <c r="AJ806" i="13"/>
  <c r="AM806" i="13" s="1"/>
  <c r="AJ758" i="13"/>
  <c r="AM758" i="13" s="1"/>
  <c r="AJ736" i="13"/>
  <c r="AM736" i="13" s="1"/>
  <c r="AJ712" i="13"/>
  <c r="AM712" i="13" s="1"/>
  <c r="AJ708" i="13"/>
  <c r="AM708" i="13" s="1"/>
  <c r="AJ705" i="13"/>
  <c r="AM705" i="13" s="1"/>
  <c r="AJ679" i="13"/>
  <c r="AM679" i="13" s="1"/>
  <c r="AJ628" i="13"/>
  <c r="AM628" i="13" s="1"/>
  <c r="AJ555" i="13"/>
  <c r="AM555" i="13" s="1"/>
  <c r="AJ551" i="13"/>
  <c r="AM551" i="13" s="1"/>
  <c r="AJ547" i="13"/>
  <c r="AM547" i="13" s="1"/>
  <c r="AJ539" i="13"/>
  <c r="AM539" i="13" s="1"/>
  <c r="AJ507" i="13"/>
  <c r="AM507" i="13" s="1"/>
  <c r="AJ499" i="13"/>
  <c r="AM499" i="13" s="1"/>
  <c r="AJ1001" i="13"/>
  <c r="AM1001" i="13" s="1"/>
  <c r="AJ792" i="13"/>
  <c r="AM792" i="13" s="1"/>
  <c r="AJ763" i="13"/>
  <c r="AM763" i="13" s="1"/>
  <c r="AJ687" i="13"/>
  <c r="AM687" i="13" s="1"/>
  <c r="AJ640" i="13"/>
  <c r="AM640" i="13" s="1"/>
  <c r="AJ596" i="13"/>
  <c r="AM596" i="13" s="1"/>
  <c r="AJ593" i="13"/>
  <c r="AM593" i="13" s="1"/>
  <c r="AJ573" i="13"/>
  <c r="AM573" i="13" s="1"/>
  <c r="AJ559" i="13"/>
  <c r="AM559" i="13" s="1"/>
  <c r="AJ552" i="13"/>
  <c r="AM552" i="13" s="1"/>
  <c r="AJ548" i="13"/>
  <c r="AM548" i="13" s="1"/>
  <c r="AJ527" i="13"/>
  <c r="AM527" i="13" s="1"/>
  <c r="AJ520" i="13"/>
  <c r="AM520" i="13" s="1"/>
  <c r="AJ511" i="13"/>
  <c r="AM511" i="13" s="1"/>
  <c r="AJ508" i="13"/>
  <c r="AM508" i="13" s="1"/>
  <c r="AJ475" i="13"/>
  <c r="AM475" i="13" s="1"/>
  <c r="AJ438" i="13"/>
  <c r="AM438" i="13" s="1"/>
  <c r="AJ905" i="13"/>
  <c r="AM905" i="13" s="1"/>
  <c r="AJ871" i="13"/>
  <c r="AM871" i="13" s="1"/>
  <c r="AJ739" i="13"/>
  <c r="AM739" i="13" s="1"/>
  <c r="AJ683" i="13"/>
  <c r="AM683" i="13" s="1"/>
  <c r="AJ662" i="13"/>
  <c r="AM662" i="13" s="1"/>
  <c r="AJ658" i="13"/>
  <c r="AM658" i="13" s="1"/>
  <c r="AJ626" i="13"/>
  <c r="AM626" i="13" s="1"/>
  <c r="AJ622" i="13"/>
  <c r="AM622" i="13" s="1"/>
  <c r="AJ589" i="13"/>
  <c r="AM589" i="13" s="1"/>
  <c r="AJ569" i="13"/>
  <c r="AM569" i="13" s="1"/>
  <c r="AJ566" i="13"/>
  <c r="AM566" i="13" s="1"/>
  <c r="AJ560" i="13"/>
  <c r="AM560" i="13" s="1"/>
  <c r="AJ556" i="13"/>
  <c r="AM556" i="13" s="1"/>
  <c r="AJ540" i="13"/>
  <c r="AM540" i="13" s="1"/>
  <c r="AJ512" i="13"/>
  <c r="AM512" i="13" s="1"/>
  <c r="AJ500" i="13"/>
  <c r="AM500" i="13" s="1"/>
  <c r="AJ488" i="13"/>
  <c r="AM488" i="13" s="1"/>
  <c r="AJ1027" i="13"/>
  <c r="AM1027" i="13" s="1"/>
  <c r="AJ970" i="13"/>
  <c r="AM970" i="13" s="1"/>
  <c r="AJ857" i="13"/>
  <c r="AM857" i="13" s="1"/>
  <c r="AJ785" i="13"/>
  <c r="AM785" i="13" s="1"/>
  <c r="AJ742" i="13"/>
  <c r="AM742" i="13" s="1"/>
  <c r="AJ728" i="13"/>
  <c r="AM728" i="13" s="1"/>
  <c r="AJ693" i="13"/>
  <c r="AM693" i="13" s="1"/>
  <c r="AJ632" i="13"/>
  <c r="AM632" i="13" s="1"/>
  <c r="AJ611" i="13"/>
  <c r="AM611" i="13" s="1"/>
  <c r="AJ532" i="13"/>
  <c r="AM532" i="13" s="1"/>
  <c r="AJ528" i="13"/>
  <c r="AM528" i="13" s="1"/>
  <c r="AJ513" i="13"/>
  <c r="AM513" i="13" s="1"/>
  <c r="AJ501" i="13"/>
  <c r="AM501" i="13" s="1"/>
  <c r="AJ770" i="13"/>
  <c r="AM770" i="13" s="1"/>
  <c r="AJ601" i="13"/>
  <c r="AM601" i="13" s="1"/>
  <c r="AJ598" i="13"/>
  <c r="AM598" i="13" s="1"/>
  <c r="AJ519" i="13"/>
  <c r="AM519" i="13" s="1"/>
  <c r="AJ505" i="13"/>
  <c r="AM505" i="13" s="1"/>
  <c r="AJ498" i="13"/>
  <c r="AM498" i="13" s="1"/>
  <c r="AJ481" i="13"/>
  <c r="AM481" i="13" s="1"/>
  <c r="AJ457" i="13"/>
  <c r="AM457" i="13" s="1"/>
  <c r="AJ434" i="13"/>
  <c r="AM434" i="13" s="1"/>
  <c r="AJ425" i="13"/>
  <c r="AM425" i="13" s="1"/>
  <c r="AJ420" i="13"/>
  <c r="AM420" i="13" s="1"/>
  <c r="AJ419" i="13"/>
  <c r="AM419" i="13" s="1"/>
  <c r="AJ413" i="13"/>
  <c r="AM413" i="13" s="1"/>
  <c r="AJ380" i="13"/>
  <c r="AM380" i="13" s="1"/>
  <c r="AJ379" i="13"/>
  <c r="AM379" i="13" s="1"/>
  <c r="AJ378" i="13"/>
  <c r="AM378" i="13" s="1"/>
  <c r="AJ364" i="13"/>
  <c r="AM364" i="13" s="1"/>
  <c r="AJ363" i="13"/>
  <c r="AM363" i="13" s="1"/>
  <c r="AJ362" i="13"/>
  <c r="AM362" i="13" s="1"/>
  <c r="AJ348" i="13"/>
  <c r="AM348" i="13" s="1"/>
  <c r="AJ347" i="13"/>
  <c r="AM347" i="13" s="1"/>
  <c r="AJ346" i="13"/>
  <c r="AM346" i="13" s="1"/>
  <c r="AJ285" i="13"/>
  <c r="AM285" i="13" s="1"/>
  <c r="AJ284" i="13"/>
  <c r="AM284" i="13" s="1"/>
  <c r="AJ283" i="13"/>
  <c r="AM283" i="13" s="1"/>
  <c r="AJ269" i="13"/>
  <c r="AM269" i="13" s="1"/>
  <c r="AJ268" i="13"/>
  <c r="AM268" i="13" s="1"/>
  <c r="AJ251" i="13"/>
  <c r="AM251" i="13" s="1"/>
  <c r="AJ238" i="13"/>
  <c r="AM238" i="13" s="1"/>
  <c r="AJ216" i="13"/>
  <c r="AM216" i="13" s="1"/>
  <c r="AJ211" i="13"/>
  <c r="AM211" i="13" s="1"/>
  <c r="AJ207" i="13"/>
  <c r="AM207" i="13" s="1"/>
  <c r="AJ203" i="13"/>
  <c r="AM203" i="13" s="1"/>
  <c r="AJ199" i="13"/>
  <c r="AM199" i="13" s="1"/>
  <c r="AJ195" i="13"/>
  <c r="AM195" i="13" s="1"/>
  <c r="AJ191" i="13"/>
  <c r="AM191" i="13" s="1"/>
  <c r="AJ187" i="13"/>
  <c r="AM187" i="13" s="1"/>
  <c r="AJ183" i="13"/>
  <c r="AM183" i="13" s="1"/>
  <c r="AJ179" i="13"/>
  <c r="AM179" i="13" s="1"/>
  <c r="AJ175" i="13"/>
  <c r="AM175" i="13" s="1"/>
  <c r="AJ170" i="13"/>
  <c r="AM170" i="13" s="1"/>
  <c r="AJ136" i="13"/>
  <c r="AM136" i="13" s="1"/>
  <c r="AJ132" i="13"/>
  <c r="AM132" i="13" s="1"/>
  <c r="AJ128" i="13"/>
  <c r="AM128" i="13" s="1"/>
  <c r="AJ124" i="13"/>
  <c r="AM124" i="13" s="1"/>
  <c r="AJ120" i="13"/>
  <c r="AM120" i="13" s="1"/>
  <c r="AJ786" i="13"/>
  <c r="AM786" i="13" s="1"/>
  <c r="AJ775" i="13"/>
  <c r="AM775" i="13" s="1"/>
  <c r="AJ663" i="13"/>
  <c r="AM663" i="13" s="1"/>
  <c r="AJ572" i="13"/>
  <c r="AM572" i="13" s="1"/>
  <c r="AJ541" i="13"/>
  <c r="AM541" i="13" s="1"/>
  <c r="AJ525" i="13"/>
  <c r="AM525" i="13" s="1"/>
  <c r="AJ494" i="13"/>
  <c r="AM494" i="13" s="1"/>
  <c r="AJ487" i="13"/>
  <c r="AM487" i="13" s="1"/>
  <c r="AJ466" i="13"/>
  <c r="AM466" i="13" s="1"/>
  <c r="AJ458" i="13"/>
  <c r="AM458" i="13" s="1"/>
  <c r="AJ444" i="13"/>
  <c r="AM444" i="13" s="1"/>
  <c r="AJ338" i="13"/>
  <c r="AM338" i="13" s="1"/>
  <c r="AJ337" i="13"/>
  <c r="AM337" i="13" s="1"/>
  <c r="AJ336" i="13"/>
  <c r="AM336" i="13" s="1"/>
  <c r="AJ322" i="13"/>
  <c r="AM322" i="13" s="1"/>
  <c r="AJ321" i="13"/>
  <c r="AM321" i="13" s="1"/>
  <c r="AJ320" i="13"/>
  <c r="AM320" i="13" s="1"/>
  <c r="AJ306" i="13"/>
  <c r="AM306" i="13" s="1"/>
  <c r="AJ305" i="13"/>
  <c r="AM305" i="13" s="1"/>
  <c r="AJ304" i="13"/>
  <c r="AM304" i="13" s="1"/>
  <c r="AJ299" i="13"/>
  <c r="AM299" i="13" s="1"/>
  <c r="AJ259" i="13"/>
  <c r="AM259" i="13" s="1"/>
  <c r="AJ258" i="13"/>
  <c r="AM258" i="13" s="1"/>
  <c r="AJ257" i="13"/>
  <c r="AM257" i="13" s="1"/>
  <c r="AJ250" i="13"/>
  <c r="AM250" i="13" s="1"/>
  <c r="AJ244" i="13"/>
  <c r="AM244" i="13" s="1"/>
  <c r="AJ237" i="13"/>
  <c r="AM237" i="13" s="1"/>
  <c r="AJ232" i="13"/>
  <c r="AM232" i="13" s="1"/>
  <c r="AJ228" i="13"/>
  <c r="AM228" i="13" s="1"/>
  <c r="AJ224" i="13"/>
  <c r="AM224" i="13" s="1"/>
  <c r="AJ220" i="13"/>
  <c r="AM220" i="13" s="1"/>
  <c r="AJ215" i="13"/>
  <c r="AM215" i="13" s="1"/>
  <c r="AJ169" i="13"/>
  <c r="AM169" i="13" s="1"/>
  <c r="AJ165" i="13"/>
  <c r="AM165" i="13" s="1"/>
  <c r="AJ161" i="13"/>
  <c r="AM161" i="13" s="1"/>
  <c r="AJ157" i="13"/>
  <c r="AM157" i="13" s="1"/>
  <c r="AJ153" i="13"/>
  <c r="AM153" i="13" s="1"/>
  <c r="AJ149" i="13"/>
  <c r="AM149" i="13" s="1"/>
  <c r="AJ789" i="13"/>
  <c r="AM789" i="13" s="1"/>
  <c r="AJ676" i="13"/>
  <c r="AM676" i="13" s="1"/>
  <c r="AJ576" i="13"/>
  <c r="AM576" i="13" s="1"/>
  <c r="AJ570" i="13"/>
  <c r="AM570" i="13" s="1"/>
  <c r="AJ565" i="13"/>
  <c r="AM565" i="13" s="1"/>
  <c r="AJ562" i="13"/>
  <c r="AM562" i="13" s="1"/>
  <c r="AJ557" i="13"/>
  <c r="AM557" i="13" s="1"/>
  <c r="AJ517" i="13"/>
  <c r="AM517" i="13" s="1"/>
  <c r="AJ514" i="13"/>
  <c r="AM514" i="13" s="1"/>
  <c r="AJ482" i="13"/>
  <c r="AM482" i="13" s="1"/>
  <c r="AJ474" i="13"/>
  <c r="AM474" i="13" s="1"/>
  <c r="AJ470" i="13"/>
  <c r="AM470" i="13" s="1"/>
  <c r="AJ452" i="13"/>
  <c r="AM452" i="13" s="1"/>
  <c r="AJ391" i="13"/>
  <c r="AM391" i="13" s="1"/>
  <c r="AJ390" i="13"/>
  <c r="AM390" i="13" s="1"/>
  <c r="AJ376" i="13"/>
  <c r="AM376" i="13" s="1"/>
  <c r="AJ375" i="13"/>
  <c r="AM375" i="13" s="1"/>
  <c r="AJ374" i="13"/>
  <c r="AM374" i="13" s="1"/>
  <c r="AJ360" i="13"/>
  <c r="AM360" i="13" s="1"/>
  <c r="AJ359" i="13"/>
  <c r="AM359" i="13" s="1"/>
  <c r="AJ358" i="13"/>
  <c r="AM358" i="13" s="1"/>
  <c r="AJ300" i="13"/>
  <c r="AM300" i="13" s="1"/>
  <c r="AJ297" i="13"/>
  <c r="AM297" i="13" s="1"/>
  <c r="AJ296" i="13"/>
  <c r="AM296" i="13" s="1"/>
  <c r="AJ295" i="13"/>
  <c r="AM295" i="13" s="1"/>
  <c r="AJ281" i="13"/>
  <c r="AM281" i="13" s="1"/>
  <c r="AJ280" i="13"/>
  <c r="AM280" i="13" s="1"/>
  <c r="AJ279" i="13"/>
  <c r="AM279" i="13" s="1"/>
  <c r="AJ249" i="13"/>
  <c r="AM249" i="13" s="1"/>
  <c r="AJ243" i="13"/>
  <c r="AM243" i="13" s="1"/>
  <c r="AJ214" i="13"/>
  <c r="AM214" i="13" s="1"/>
  <c r="AJ210" i="13"/>
  <c r="AM210" i="13" s="1"/>
  <c r="AJ206" i="13"/>
  <c r="AM206" i="13" s="1"/>
  <c r="AJ202" i="13"/>
  <c r="AM202" i="13" s="1"/>
  <c r="AJ198" i="13"/>
  <c r="AM198" i="13" s="1"/>
  <c r="AJ194" i="13"/>
  <c r="AM194" i="13" s="1"/>
  <c r="AJ190" i="13"/>
  <c r="AM190" i="13" s="1"/>
  <c r="AJ186" i="13"/>
  <c r="AM186" i="13" s="1"/>
  <c r="AJ182" i="13"/>
  <c r="AM182" i="13" s="1"/>
  <c r="AJ178" i="13"/>
  <c r="AM178" i="13" s="1"/>
  <c r="AJ174" i="13"/>
  <c r="AM174" i="13" s="1"/>
  <c r="AJ135" i="13"/>
  <c r="AM135" i="13" s="1"/>
  <c r="AJ131" i="13"/>
  <c r="AM131" i="13" s="1"/>
  <c r="AJ127" i="13"/>
  <c r="AM127" i="13" s="1"/>
  <c r="AJ123" i="13"/>
  <c r="AM123" i="13" s="1"/>
  <c r="AJ119" i="13"/>
  <c r="AM119" i="13" s="1"/>
  <c r="AJ958" i="13"/>
  <c r="AM958" i="13" s="1"/>
  <c r="AJ594" i="13"/>
  <c r="AM594" i="13" s="1"/>
  <c r="AJ535" i="13"/>
  <c r="AM535" i="13" s="1"/>
  <c r="AJ506" i="13"/>
  <c r="AM506" i="13" s="1"/>
  <c r="AJ495" i="13"/>
  <c r="AM495" i="13" s="1"/>
  <c r="AJ445" i="13"/>
  <c r="AM445" i="13" s="1"/>
  <c r="AJ334" i="13"/>
  <c r="AM334" i="13" s="1"/>
  <c r="AJ333" i="13"/>
  <c r="AM333" i="13" s="1"/>
  <c r="AJ332" i="13"/>
  <c r="AM332" i="13" s="1"/>
  <c r="AJ318" i="13"/>
  <c r="AM318" i="13" s="1"/>
  <c r="AJ317" i="13"/>
  <c r="AM317" i="13" s="1"/>
  <c r="AJ316" i="13"/>
  <c r="AM316" i="13" s="1"/>
  <c r="AJ302" i="13"/>
  <c r="AM302" i="13" s="1"/>
  <c r="AJ301" i="13"/>
  <c r="AM301" i="13" s="1"/>
  <c r="AJ255" i="13"/>
  <c r="AM255" i="13" s="1"/>
  <c r="AJ893" i="13"/>
  <c r="AM893" i="13" s="1"/>
  <c r="AJ614" i="13"/>
  <c r="AM614" i="13" s="1"/>
  <c r="AJ472" i="13"/>
  <c r="AM472" i="13" s="1"/>
  <c r="AJ404" i="13"/>
  <c r="AM404" i="13" s="1"/>
  <c r="AJ371" i="13"/>
  <c r="AM371" i="13" s="1"/>
  <c r="AJ330" i="13"/>
  <c r="AM330" i="13" s="1"/>
  <c r="AJ273" i="13"/>
  <c r="AM273" i="13" s="1"/>
  <c r="AJ267" i="13"/>
  <c r="AM267" i="13" s="1"/>
  <c r="AJ265" i="13"/>
  <c r="AM265" i="13" s="1"/>
  <c r="AJ247" i="13"/>
  <c r="AM247" i="13" s="1"/>
  <c r="AJ235" i="13"/>
  <c r="AM235" i="13" s="1"/>
  <c r="AJ192" i="13"/>
  <c r="AM192" i="13" s="1"/>
  <c r="AJ189" i="13"/>
  <c r="AM189" i="13" s="1"/>
  <c r="AJ117" i="13"/>
  <c r="AM117" i="13" s="1"/>
  <c r="AJ109" i="13"/>
  <c r="AM109" i="13" s="1"/>
  <c r="AJ105" i="13"/>
  <c r="AM105" i="13" s="1"/>
  <c r="AJ101" i="13"/>
  <c r="AM101" i="13" s="1"/>
  <c r="AJ97" i="13"/>
  <c r="AM97" i="13" s="1"/>
  <c r="AJ90" i="13"/>
  <c r="AM90" i="13" s="1"/>
  <c r="AJ39" i="13"/>
  <c r="AM39" i="13" s="1"/>
  <c r="AJ899" i="13"/>
  <c r="AM899" i="13" s="1"/>
  <c r="AJ586" i="13"/>
  <c r="AM586" i="13" s="1"/>
  <c r="AJ479" i="13"/>
  <c r="AM479" i="13" s="1"/>
  <c r="AJ423" i="13"/>
  <c r="AM423" i="13" s="1"/>
  <c r="AJ407" i="13"/>
  <c r="AM407" i="13" s="1"/>
  <c r="AJ368" i="13"/>
  <c r="AM368" i="13" s="1"/>
  <c r="AJ342" i="13"/>
  <c r="AM342" i="13" s="1"/>
  <c r="AJ324" i="13"/>
  <c r="AM324" i="13" s="1"/>
  <c r="AJ313" i="13"/>
  <c r="AM313" i="13" s="1"/>
  <c r="AJ310" i="13"/>
  <c r="AM310" i="13" s="1"/>
  <c r="AJ291" i="13"/>
  <c r="AM291" i="13" s="1"/>
  <c r="AJ288" i="13"/>
  <c r="AM288" i="13" s="1"/>
  <c r="AJ277" i="13"/>
  <c r="AM277" i="13" s="1"/>
  <c r="AJ262" i="13"/>
  <c r="AM262" i="13" s="1"/>
  <c r="AJ254" i="13"/>
  <c r="AM254" i="13" s="1"/>
  <c r="AJ239" i="13"/>
  <c r="AM239" i="13" s="1"/>
  <c r="AJ236" i="13"/>
  <c r="AM236" i="13" s="1"/>
  <c r="AJ217" i="13"/>
  <c r="AM217" i="13" s="1"/>
  <c r="AJ196" i="13"/>
  <c r="AM196" i="13" s="1"/>
  <c r="AJ193" i="13"/>
  <c r="AM193" i="13" s="1"/>
  <c r="AJ171" i="13"/>
  <c r="AM171" i="13" s="1"/>
  <c r="AJ150" i="13"/>
  <c r="AM150" i="13" s="1"/>
  <c r="AJ126" i="13"/>
  <c r="AM126" i="13" s="1"/>
  <c r="AJ125" i="13"/>
  <c r="AM125" i="13" s="1"/>
  <c r="AJ82" i="13"/>
  <c r="AM82" i="13" s="1"/>
  <c r="AJ77" i="13"/>
  <c r="AM77" i="13" s="1"/>
  <c r="AJ73" i="13"/>
  <c r="AM73" i="13" s="1"/>
  <c r="AJ66" i="13"/>
  <c r="AM66" i="13" s="1"/>
  <c r="AJ62" i="13"/>
  <c r="AM62" i="13" s="1"/>
  <c r="AJ59" i="13"/>
  <c r="AM59" i="13" s="1"/>
  <c r="AJ56" i="13"/>
  <c r="AM56" i="13" s="1"/>
  <c r="AJ55" i="13"/>
  <c r="AM55" i="13" s="1"/>
  <c r="AJ902" i="13"/>
  <c r="AM902" i="13" s="1"/>
  <c r="AJ620" i="13"/>
  <c r="AM620" i="13" s="1"/>
  <c r="AJ561" i="13"/>
  <c r="AM561" i="13" s="1"/>
  <c r="AJ545" i="13"/>
  <c r="AM545" i="13" s="1"/>
  <c r="AJ533" i="13"/>
  <c r="AM533" i="13" s="1"/>
  <c r="AJ518" i="13"/>
  <c r="AM518" i="13" s="1"/>
  <c r="AJ493" i="13"/>
  <c r="AM493" i="13" s="1"/>
  <c r="AJ485" i="13"/>
  <c r="AM485" i="13" s="1"/>
  <c r="AJ446" i="13"/>
  <c r="AM446" i="13" s="1"/>
  <c r="AJ416" i="13"/>
  <c r="AM416" i="13" s="1"/>
  <c r="AJ412" i="13"/>
  <c r="AM412" i="13" s="1"/>
  <c r="AJ399" i="13"/>
  <c r="AM399" i="13" s="1"/>
  <c r="AJ386" i="13"/>
  <c r="AM386" i="13" s="1"/>
  <c r="AJ383" i="13"/>
  <c r="AM383" i="13" s="1"/>
  <c r="AJ372" i="13"/>
  <c r="AM372" i="13" s="1"/>
  <c r="AJ354" i="13"/>
  <c r="AM354" i="13" s="1"/>
  <c r="AJ351" i="13"/>
  <c r="AM351" i="13" s="1"/>
  <c r="AJ328" i="13"/>
  <c r="AM328" i="13" s="1"/>
  <c r="AJ271" i="13"/>
  <c r="AM271" i="13" s="1"/>
  <c r="AJ248" i="13"/>
  <c r="AM248" i="13" s="1"/>
  <c r="AJ240" i="13"/>
  <c r="AM240" i="13" s="1"/>
  <c r="AJ221" i="13"/>
  <c r="AM221" i="13" s="1"/>
  <c r="AJ218" i="13"/>
  <c r="AM218" i="13" s="1"/>
  <c r="AJ200" i="13"/>
  <c r="AM200" i="13" s="1"/>
  <c r="AJ197" i="13"/>
  <c r="AM197" i="13" s="1"/>
  <c r="AJ154" i="13"/>
  <c r="AM154" i="13" s="1"/>
  <c r="AJ151" i="13"/>
  <c r="AM151" i="13" s="1"/>
  <c r="AJ148" i="13"/>
  <c r="AM148" i="13" s="1"/>
  <c r="AJ147" i="13"/>
  <c r="AM147" i="13" s="1"/>
  <c r="AJ146" i="13"/>
  <c r="AM146" i="13" s="1"/>
  <c r="AJ116" i="13"/>
  <c r="AM116" i="13" s="1"/>
  <c r="AJ112" i="13"/>
  <c r="AM112" i="13" s="1"/>
  <c r="AJ108" i="13"/>
  <c r="AM108" i="13" s="1"/>
  <c r="AJ104" i="13"/>
  <c r="AM104" i="13" s="1"/>
  <c r="AJ100" i="13"/>
  <c r="AM100" i="13" s="1"/>
  <c r="AJ592" i="13"/>
  <c r="AM592" i="13" s="1"/>
  <c r="AJ568" i="13"/>
  <c r="AM568" i="13" s="1"/>
  <c r="AJ464" i="13"/>
  <c r="AM464" i="13" s="1"/>
  <c r="AJ432" i="13"/>
  <c r="AM432" i="13" s="1"/>
  <c r="AJ405" i="13"/>
  <c r="AM405" i="13" s="1"/>
  <c r="AJ366" i="13"/>
  <c r="AM366" i="13" s="1"/>
  <c r="AJ345" i="13"/>
  <c r="AM345" i="13" s="1"/>
  <c r="AJ325" i="13"/>
  <c r="AM325" i="13" s="1"/>
  <c r="AJ292" i="13"/>
  <c r="AM292" i="13" s="1"/>
  <c r="AJ263" i="13"/>
  <c r="AM263" i="13" s="1"/>
  <c r="AJ241" i="13"/>
  <c r="AM241" i="13" s="1"/>
  <c r="AJ225" i="13"/>
  <c r="AM225" i="13" s="1"/>
  <c r="AJ222" i="13"/>
  <c r="AM222" i="13" s="1"/>
  <c r="AJ219" i="13"/>
  <c r="AM219" i="13" s="1"/>
  <c r="AJ204" i="13"/>
  <c r="AM204" i="13" s="1"/>
  <c r="AJ201" i="13"/>
  <c r="AM201" i="13" s="1"/>
  <c r="AJ172" i="13"/>
  <c r="AM172" i="13" s="1"/>
  <c r="AJ158" i="13"/>
  <c r="AM158" i="13" s="1"/>
  <c r="AJ155" i="13"/>
  <c r="AM155" i="13" s="1"/>
  <c r="AJ152" i="13"/>
  <c r="AM152" i="13" s="1"/>
  <c r="AJ145" i="13"/>
  <c r="AM145" i="13" s="1"/>
  <c r="AJ122" i="13"/>
  <c r="AM122" i="13" s="1"/>
  <c r="AJ121" i="13"/>
  <c r="AM121" i="13" s="1"/>
  <c r="AJ810" i="13"/>
  <c r="AM810" i="13" s="1"/>
  <c r="AJ696" i="13"/>
  <c r="AM696" i="13" s="1"/>
  <c r="AJ590" i="13"/>
  <c r="AM590" i="13" s="1"/>
  <c r="AJ564" i="13"/>
  <c r="AM564" i="13" s="1"/>
  <c r="AJ480" i="13"/>
  <c r="AM480" i="13" s="1"/>
  <c r="AJ473" i="13"/>
  <c r="AM473" i="13" s="1"/>
  <c r="AJ453" i="13"/>
  <c r="AM453" i="13" s="1"/>
  <c r="AJ440" i="13"/>
  <c r="AM440" i="13" s="1"/>
  <c r="AJ424" i="13"/>
  <c r="AM424" i="13" s="1"/>
  <c r="AJ417" i="13"/>
  <c r="AM417" i="13" s="1"/>
  <c r="AJ410" i="13"/>
  <c r="AM410" i="13" s="1"/>
  <c r="AJ397" i="13"/>
  <c r="AM397" i="13" s="1"/>
  <c r="AJ387" i="13"/>
  <c r="AM387" i="13" s="1"/>
  <c r="AJ355" i="13"/>
  <c r="AM355" i="13" s="1"/>
  <c r="AJ314" i="13"/>
  <c r="AM314" i="13" s="1"/>
  <c r="AJ289" i="13"/>
  <c r="AM289" i="13" s="1"/>
  <c r="AJ266" i="13"/>
  <c r="AM266" i="13" s="1"/>
  <c r="AJ935" i="13"/>
  <c r="AM935" i="13" s="1"/>
  <c r="AJ863" i="13"/>
  <c r="AM863" i="13" s="1"/>
  <c r="AJ729" i="13"/>
  <c r="AM729" i="13" s="1"/>
  <c r="AJ597" i="13"/>
  <c r="AM597" i="13" s="1"/>
  <c r="AJ486" i="13"/>
  <c r="AM486" i="13" s="1"/>
  <c r="AJ403" i="13"/>
  <c r="AM403" i="13" s="1"/>
  <c r="AJ400" i="13"/>
  <c r="AM400" i="13" s="1"/>
  <c r="AJ384" i="13"/>
  <c r="AM384" i="13" s="1"/>
  <c r="AJ352" i="13"/>
  <c r="AM352" i="13" s="1"/>
  <c r="AJ75" i="13"/>
  <c r="AM75" i="13" s="1"/>
  <c r="AJ173" i="13"/>
  <c r="AM173" i="13" s="1"/>
  <c r="AJ231" i="13"/>
  <c r="AM231" i="13" s="1"/>
  <c r="AJ406" i="13"/>
  <c r="AM406" i="13" s="1"/>
  <c r="AJ465" i="13"/>
  <c r="AM465" i="13" s="1"/>
  <c r="AJ37" i="13"/>
  <c r="AM37" i="13" s="1"/>
  <c r="AJ52" i="13"/>
  <c r="AM52" i="13" s="1"/>
  <c r="AJ87" i="13"/>
  <c r="AM87" i="13" s="1"/>
  <c r="AJ114" i="13"/>
  <c r="AM114" i="13" s="1"/>
  <c r="AJ143" i="13"/>
  <c r="AM143" i="13" s="1"/>
  <c r="AJ181" i="13"/>
  <c r="AM181" i="13" s="1"/>
  <c r="AJ309" i="13"/>
  <c r="AM309" i="13" s="1"/>
  <c r="AJ388" i="13"/>
  <c r="AM388" i="13" s="1"/>
  <c r="AJ600" i="13"/>
  <c r="AM600" i="13" s="1"/>
  <c r="AJ31" i="13"/>
  <c r="AM31" i="13" s="1"/>
  <c r="AJ32" i="13"/>
  <c r="AM32" i="13" s="1"/>
  <c r="AJ44" i="13"/>
  <c r="AM44" i="13" s="1"/>
  <c r="AJ54" i="13"/>
  <c r="AM54" i="13" s="1"/>
  <c r="AJ57" i="13"/>
  <c r="AM57" i="13" s="1"/>
  <c r="AJ58" i="13"/>
  <c r="AM58" i="13" s="1"/>
  <c r="AJ86" i="13"/>
  <c r="AM86" i="13" s="1"/>
  <c r="AJ92" i="13"/>
  <c r="AM92" i="13" s="1"/>
  <c r="AJ103" i="13"/>
  <c r="AM103" i="13" s="1"/>
  <c r="AJ111" i="13"/>
  <c r="AM111" i="13" s="1"/>
  <c r="AJ139" i="13"/>
  <c r="AM139" i="13" s="1"/>
  <c r="AJ142" i="13"/>
  <c r="AM142" i="13" s="1"/>
  <c r="AJ227" i="13"/>
  <c r="AM227" i="13" s="1"/>
  <c r="AJ230" i="13"/>
  <c r="AM230" i="13" s="1"/>
  <c r="AJ253" i="13"/>
  <c r="AM253" i="13" s="1"/>
  <c r="AJ350" i="13"/>
  <c r="AM350" i="13" s="1"/>
  <c r="AJ401" i="13"/>
  <c r="AM401" i="13" s="1"/>
  <c r="AJ701" i="13"/>
  <c r="AM701" i="13" s="1"/>
  <c r="AO229" i="13"/>
  <c r="AN229" i="13"/>
  <c r="AO287" i="13"/>
  <c r="AN287" i="13"/>
  <c r="AO648" i="13"/>
  <c r="AN648" i="13"/>
  <c r="AO160" i="13"/>
  <c r="AN160" i="13"/>
  <c r="AO163" i="13"/>
  <c r="AN163" i="13"/>
  <c r="AO242" i="13"/>
  <c r="AN242" i="13"/>
  <c r="AO312" i="13"/>
  <c r="AN312" i="13"/>
  <c r="AO326" i="13"/>
  <c r="AN326" i="13"/>
  <c r="AO370" i="13"/>
  <c r="AN370" i="13"/>
  <c r="AO454" i="13"/>
  <c r="AN454" i="13"/>
  <c r="AJ986" i="13"/>
  <c r="AM986" i="13" s="1"/>
  <c r="AJ15" i="13"/>
  <c r="AM15" i="13" s="1"/>
  <c r="AJ19" i="13"/>
  <c r="AM19" i="13" s="1"/>
  <c r="AJ74" i="13"/>
  <c r="AM74" i="13" s="1"/>
  <c r="AJ88" i="13"/>
  <c r="AM88" i="13" s="1"/>
  <c r="AJ156" i="13"/>
  <c r="AM156" i="13" s="1"/>
  <c r="AJ293" i="13"/>
  <c r="AM293" i="13" s="1"/>
  <c r="AJ433" i="13"/>
  <c r="AM433" i="13" s="1"/>
  <c r="AH8" i="13"/>
  <c r="AJ98" i="13"/>
  <c r="AM98" i="13" s="1"/>
  <c r="AJ13" i="13"/>
  <c r="AM13" i="13" s="1"/>
  <c r="AJ17" i="13"/>
  <c r="AM17" i="13" s="1"/>
  <c r="AJ22" i="13"/>
  <c r="AM22" i="13" s="1"/>
  <c r="AJ45" i="13"/>
  <c r="AM45" i="13" s="1"/>
  <c r="AJ67" i="13"/>
  <c r="AM67" i="13" s="1"/>
  <c r="AJ95" i="13"/>
  <c r="AM95" i="13" s="1"/>
  <c r="AJ133" i="13"/>
  <c r="AM133" i="13" s="1"/>
  <c r="AJ164" i="13"/>
  <c r="AM164" i="13" s="1"/>
  <c r="AJ180" i="13"/>
  <c r="AM180" i="13" s="1"/>
  <c r="AJ185" i="13"/>
  <c r="AM185" i="13" s="1"/>
  <c r="AJ205" i="13"/>
  <c r="AM205" i="13" s="1"/>
  <c r="AJ223" i="13"/>
  <c r="AM223" i="13" s="1"/>
  <c r="AJ246" i="13"/>
  <c r="AM246" i="13" s="1"/>
  <c r="AJ308" i="13"/>
  <c r="AM308" i="13" s="1"/>
  <c r="AJ341" i="13"/>
  <c r="AM341" i="13" s="1"/>
  <c r="AJ441" i="13"/>
  <c r="AM441" i="13" s="1"/>
  <c r="AL12" i="10"/>
  <c r="AL11" i="10"/>
  <c r="X959" i="9"/>
  <c r="T869" i="9"/>
  <c r="X542" i="9"/>
  <c r="X1025" i="9"/>
  <c r="X398" i="9"/>
  <c r="T517" i="9"/>
  <c r="T320" i="9"/>
  <c r="T510" i="9"/>
  <c r="X656" i="9"/>
  <c r="X284" i="9"/>
  <c r="X443" i="9"/>
  <c r="X545" i="9"/>
  <c r="X872" i="9"/>
  <c r="T657" i="9"/>
  <c r="T548" i="9"/>
  <c r="T358" i="9"/>
  <c r="X873" i="9"/>
  <c r="T988" i="9"/>
  <c r="T400" i="9"/>
  <c r="T356" i="9"/>
  <c r="X800" i="9"/>
  <c r="X803" i="9"/>
  <c r="T1027" i="9"/>
  <c r="T987" i="9"/>
  <c r="T961" i="9"/>
  <c r="T838" i="9"/>
  <c r="T769" i="9"/>
  <c r="T703" i="9"/>
  <c r="T398" i="9"/>
  <c r="T253" i="9"/>
  <c r="X185" i="9"/>
  <c r="X251" i="9"/>
  <c r="X287" i="9"/>
  <c r="X356" i="9"/>
  <c r="X701" i="9"/>
  <c r="X767" i="9"/>
  <c r="X914" i="9"/>
  <c r="T1026" i="9"/>
  <c r="T960" i="9"/>
  <c r="T915" i="9"/>
  <c r="T837" i="9"/>
  <c r="T802" i="9"/>
  <c r="T767" i="9"/>
  <c r="T701" i="9"/>
  <c r="T286" i="9"/>
  <c r="T251" i="9"/>
  <c r="X837" i="9"/>
  <c r="T914" i="9"/>
  <c r="T870" i="9"/>
  <c r="T800" i="9"/>
  <c r="T467" i="9"/>
  <c r="T284" i="9"/>
  <c r="T246" i="9"/>
  <c r="T187" i="9"/>
  <c r="X146" i="9"/>
  <c r="X188" i="9"/>
  <c r="X401" i="9"/>
  <c r="X551" i="9"/>
  <c r="X707" i="9"/>
  <c r="X809" i="9"/>
  <c r="T962" i="9"/>
  <c r="X368" i="9"/>
  <c r="X605" i="9"/>
  <c r="X650" i="9"/>
  <c r="X884" i="9"/>
  <c r="X554" i="9"/>
  <c r="X812" i="9"/>
  <c r="X965" i="9"/>
  <c r="T919" i="9"/>
  <c r="T515" i="9"/>
  <c r="X497" i="9"/>
  <c r="X1013" i="9"/>
  <c r="X191" i="9"/>
  <c r="X404" i="9"/>
  <c r="X917" i="9"/>
  <c r="T1033" i="9"/>
  <c r="T917" i="9"/>
  <c r="T294" i="9"/>
  <c r="T143" i="9"/>
  <c r="X293" i="9"/>
  <c r="X359" i="9"/>
  <c r="X446" i="9"/>
  <c r="X662" i="9"/>
  <c r="T1032" i="9"/>
  <c r="T877" i="9"/>
  <c r="X347" i="9"/>
  <c r="X392" i="9"/>
  <c r="X626" i="9"/>
  <c r="X863" i="9"/>
  <c r="X908" i="9"/>
  <c r="X143" i="9"/>
  <c r="X617" i="9"/>
  <c r="X704" i="9"/>
  <c r="T875" i="9"/>
  <c r="T619" i="9"/>
  <c r="T448" i="9"/>
  <c r="X920" i="9"/>
  <c r="T964" i="9"/>
  <c r="T661" i="9"/>
  <c r="T617" i="9"/>
  <c r="T446" i="9"/>
  <c r="X239" i="9"/>
  <c r="X755" i="9"/>
  <c r="X449" i="9"/>
  <c r="X875" i="9"/>
  <c r="X962" i="9"/>
  <c r="T659" i="9"/>
  <c r="X263" i="9"/>
  <c r="X260" i="9"/>
  <c r="X623" i="9"/>
  <c r="X620" i="9"/>
  <c r="X779" i="9"/>
  <c r="X776" i="9"/>
  <c r="X236" i="9"/>
  <c r="X515" i="9"/>
  <c r="X512" i="9"/>
  <c r="X752" i="9"/>
  <c r="X1028" i="9"/>
  <c r="X1031" i="9"/>
  <c r="X257" i="9"/>
  <c r="X254" i="9"/>
  <c r="X362" i="9"/>
  <c r="X365" i="9"/>
  <c r="X518" i="9"/>
  <c r="X521" i="9"/>
  <c r="X881" i="9"/>
  <c r="X878" i="9"/>
  <c r="X1037" i="9"/>
  <c r="X1034" i="9"/>
  <c r="X773" i="9"/>
  <c r="X770" i="9"/>
  <c r="X389" i="9"/>
  <c r="X491" i="9"/>
  <c r="X1007" i="9"/>
  <c r="X734" i="9"/>
  <c r="X167" i="9"/>
  <c r="X405" i="9"/>
  <c r="X578" i="9"/>
  <c r="X680" i="9"/>
  <c r="X749" i="9"/>
  <c r="X921" i="9"/>
  <c r="T1021" i="9"/>
  <c r="T922" i="9"/>
  <c r="T835" i="9"/>
  <c r="T726" i="9"/>
  <c r="T330" i="9"/>
  <c r="T166" i="9"/>
  <c r="X408" i="9"/>
  <c r="X924" i="9"/>
  <c r="T1004" i="9"/>
  <c r="T682" i="9"/>
  <c r="T532" i="9"/>
  <c r="T452" i="9"/>
  <c r="T422" i="9"/>
  <c r="X573" i="9"/>
  <c r="X644" i="9"/>
  <c r="X791" i="9"/>
  <c r="T680" i="9"/>
  <c r="T646" i="9"/>
  <c r="T530" i="9"/>
  <c r="T176" i="9"/>
  <c r="X383" i="9"/>
  <c r="X422" i="9"/>
  <c r="X647" i="9"/>
  <c r="X938" i="9"/>
  <c r="T644" i="9"/>
  <c r="T489" i="9"/>
  <c r="T232" i="9"/>
  <c r="X164" i="9"/>
  <c r="X233" i="9"/>
  <c r="X386" i="9"/>
  <c r="X902" i="9"/>
  <c r="X1023" i="9"/>
  <c r="T787" i="9"/>
  <c r="T387" i="9"/>
  <c r="X425" i="9"/>
  <c r="X905" i="9"/>
  <c r="X941" i="9"/>
  <c r="T692" i="9"/>
  <c r="T405" i="9"/>
  <c r="T331" i="9"/>
  <c r="X302" i="9"/>
  <c r="T314" i="9"/>
  <c r="X899" i="9"/>
  <c r="X926" i="9"/>
  <c r="T1001" i="9"/>
  <c r="X629" i="9"/>
  <c r="T670" i="9"/>
  <c r="X887" i="9"/>
  <c r="T382" i="9"/>
  <c r="X1012" i="9"/>
  <c r="X218" i="9"/>
  <c r="X737" i="9"/>
  <c r="T929" i="9"/>
  <c r="X221" i="9"/>
  <c r="T928" i="9"/>
  <c r="T889" i="9"/>
  <c r="T668" i="9"/>
  <c r="T477" i="9"/>
  <c r="T220" i="9"/>
  <c r="X671" i="9"/>
  <c r="X371" i="9"/>
  <c r="X410" i="9"/>
  <c r="T926" i="9"/>
  <c r="T887" i="9"/>
  <c r="T735" i="9"/>
  <c r="T412" i="9"/>
  <c r="T218" i="9"/>
  <c r="X632" i="9"/>
  <c r="X890" i="9"/>
  <c r="X992" i="9"/>
  <c r="T994" i="9"/>
  <c r="T558" i="9"/>
  <c r="T410" i="9"/>
  <c r="X995" i="9"/>
  <c r="T993" i="9"/>
  <c r="T631" i="9"/>
  <c r="X374" i="9"/>
  <c r="X668" i="9"/>
  <c r="T816" i="9"/>
  <c r="T629" i="9"/>
  <c r="X152" i="9"/>
  <c r="X476" i="9"/>
  <c r="X527" i="9"/>
  <c r="T526" i="9"/>
  <c r="T154" i="9"/>
  <c r="T524" i="9"/>
  <c r="T152" i="9"/>
  <c r="T227" i="9"/>
  <c r="T229" i="9"/>
  <c r="X746" i="9"/>
  <c r="T1002" i="9"/>
  <c r="T930" i="9"/>
  <c r="T572" i="9"/>
  <c r="T316" i="9"/>
  <c r="T145" i="9"/>
  <c r="T268" i="9"/>
  <c r="T266" i="9"/>
  <c r="T301" i="9"/>
  <c r="T299" i="9"/>
  <c r="T371" i="9"/>
  <c r="T373" i="9"/>
  <c r="T476" i="9"/>
  <c r="T478" i="9"/>
  <c r="T559" i="9"/>
  <c r="T557" i="9"/>
  <c r="T736" i="9"/>
  <c r="T734" i="9"/>
  <c r="T784" i="9"/>
  <c r="T782" i="9"/>
  <c r="T817" i="9"/>
  <c r="T815" i="9"/>
  <c r="T413" i="9"/>
  <c r="T415" i="9"/>
  <c r="T527" i="9"/>
  <c r="T529" i="9"/>
  <c r="T640" i="9"/>
  <c r="T638" i="9"/>
  <c r="T785" i="9"/>
  <c r="T487" i="9"/>
  <c r="T380" i="9"/>
  <c r="T272" i="9"/>
  <c r="T274" i="9"/>
  <c r="T319" i="9"/>
  <c r="T317" i="9"/>
  <c r="T386" i="9"/>
  <c r="T388" i="9"/>
  <c r="T488" i="9"/>
  <c r="T490" i="9"/>
  <c r="T577" i="9"/>
  <c r="T575" i="9"/>
  <c r="T746" i="9"/>
  <c r="T748" i="9"/>
  <c r="T788" i="9"/>
  <c r="T790" i="9"/>
  <c r="T673" i="9"/>
  <c r="T671" i="9"/>
  <c r="X269" i="9"/>
  <c r="X674" i="9"/>
  <c r="X785" i="9"/>
  <c r="X1001" i="9"/>
  <c r="T831" i="9"/>
  <c r="T485" i="9"/>
  <c r="T230" i="9"/>
  <c r="T164" i="9"/>
  <c r="T167" i="9"/>
  <c r="T169" i="9"/>
  <c r="T241" i="9"/>
  <c r="T239" i="9"/>
  <c r="T332" i="9"/>
  <c r="T334" i="9"/>
  <c r="T425" i="9"/>
  <c r="T427" i="9"/>
  <c r="T538" i="9"/>
  <c r="T536" i="9"/>
  <c r="T650" i="9"/>
  <c r="T652" i="9"/>
  <c r="T683" i="9"/>
  <c r="T685" i="9"/>
  <c r="T908" i="9"/>
  <c r="T910" i="9"/>
  <c r="X413" i="9"/>
  <c r="X485" i="9"/>
  <c r="X530" i="9"/>
  <c r="X830" i="9"/>
  <c r="X929" i="9"/>
  <c r="T228" i="9"/>
  <c r="T156" i="9"/>
  <c r="T281" i="9"/>
  <c r="T283" i="9"/>
  <c r="T347" i="9"/>
  <c r="T349" i="9"/>
  <c r="T395" i="9"/>
  <c r="T397" i="9"/>
  <c r="T500" i="9"/>
  <c r="T502" i="9"/>
  <c r="T605" i="9"/>
  <c r="T607" i="9"/>
  <c r="T758" i="9"/>
  <c r="T760" i="9"/>
  <c r="T797" i="9"/>
  <c r="T799" i="9"/>
  <c r="T863" i="9"/>
  <c r="T865" i="9"/>
  <c r="T896" i="9"/>
  <c r="T898" i="9"/>
  <c r="X572" i="9"/>
  <c r="X227" i="9"/>
  <c r="X272" i="9"/>
  <c r="X314" i="9"/>
  <c r="X575" i="9"/>
  <c r="X638" i="9"/>
  <c r="X1004" i="9"/>
  <c r="T745" i="9"/>
  <c r="T672" i="9"/>
  <c r="T414" i="9"/>
  <c r="T273" i="9"/>
  <c r="T140" i="9"/>
  <c r="T142" i="9"/>
  <c r="T445" i="9"/>
  <c r="T443" i="9"/>
  <c r="T509" i="9"/>
  <c r="T511" i="9"/>
  <c r="T542" i="9"/>
  <c r="T544" i="9"/>
  <c r="T614" i="9"/>
  <c r="T616" i="9"/>
  <c r="T656" i="9"/>
  <c r="T658" i="9"/>
  <c r="T874" i="9"/>
  <c r="T872" i="9"/>
  <c r="T155" i="9"/>
  <c r="T157" i="9"/>
  <c r="X743" i="9"/>
  <c r="X788" i="9"/>
  <c r="T743" i="9"/>
  <c r="T528" i="9"/>
  <c r="T271" i="9"/>
  <c r="T188" i="9"/>
  <c r="T190" i="9"/>
  <c r="T257" i="9"/>
  <c r="T259" i="9"/>
  <c r="T293" i="9"/>
  <c r="T295" i="9"/>
  <c r="T361" i="9"/>
  <c r="T359" i="9"/>
  <c r="T403" i="9"/>
  <c r="T401" i="9"/>
  <c r="T551" i="9"/>
  <c r="T553" i="9"/>
  <c r="T706" i="9"/>
  <c r="T704" i="9"/>
  <c r="T773" i="9"/>
  <c r="T775" i="9"/>
  <c r="T809" i="9"/>
  <c r="T811" i="9"/>
  <c r="T830" i="9"/>
  <c r="T832" i="9"/>
  <c r="X488" i="9"/>
  <c r="X155" i="9"/>
  <c r="X230" i="9"/>
  <c r="X317" i="9"/>
  <c r="X380" i="9"/>
  <c r="X416" i="9"/>
  <c r="X641" i="9"/>
  <c r="X896" i="9"/>
  <c r="X932" i="9"/>
  <c r="T574" i="9"/>
  <c r="T269" i="9"/>
  <c r="T151" i="9"/>
  <c r="T149" i="9"/>
  <c r="T203" i="9"/>
  <c r="T205" i="9"/>
  <c r="T407" i="9"/>
  <c r="T409" i="9"/>
  <c r="T461" i="9"/>
  <c r="T463" i="9"/>
  <c r="T521" i="9"/>
  <c r="T523" i="9"/>
  <c r="T626" i="9"/>
  <c r="T628" i="9"/>
  <c r="T665" i="9"/>
  <c r="T667" i="9"/>
  <c r="T884" i="9"/>
  <c r="T886" i="9"/>
  <c r="X140" i="9"/>
  <c r="Y8" i="9" s="1" a="1"/>
  <c r="Y8" i="9" s="1"/>
  <c r="X141" i="9"/>
  <c r="T137" i="9"/>
  <c r="T138" i="9"/>
  <c r="T139" i="9"/>
  <c r="T717" i="9"/>
  <c r="X720" i="9"/>
  <c r="T716" i="9"/>
  <c r="X321" i="9"/>
  <c r="X717" i="9"/>
  <c r="X252" i="9"/>
  <c r="X561" i="9"/>
  <c r="T858" i="9"/>
  <c r="T715" i="9"/>
  <c r="T714" i="9"/>
  <c r="X354" i="9"/>
  <c r="T562" i="9"/>
  <c r="T560" i="9"/>
  <c r="T322" i="9"/>
  <c r="X948" i="9"/>
  <c r="X951" i="9"/>
  <c r="T947" i="9"/>
  <c r="T948" i="9"/>
  <c r="T949" i="9"/>
  <c r="T981" i="9"/>
  <c r="T980" i="9"/>
  <c r="X775" i="9"/>
  <c r="X772" i="9"/>
  <c r="T161" i="9"/>
  <c r="T163" i="9"/>
  <c r="X165" i="9"/>
  <c r="X804" i="9"/>
  <c r="T803" i="9"/>
  <c r="T965" i="9"/>
  <c r="X966" i="9"/>
  <c r="X1033" i="9"/>
  <c r="X1030" i="9"/>
  <c r="X256" i="9"/>
  <c r="X259" i="9"/>
  <c r="T818" i="9"/>
  <c r="X810" i="9"/>
  <c r="T950" i="9"/>
  <c r="X246" i="9"/>
  <c r="X357" i="9"/>
  <c r="T662" i="9"/>
  <c r="T589" i="9"/>
  <c r="T355" i="9"/>
  <c r="T245" i="9"/>
  <c r="X954" i="9"/>
  <c r="T846" i="9"/>
  <c r="T808" i="9"/>
  <c r="T588" i="9"/>
  <c r="T354" i="9"/>
  <c r="X351" i="9"/>
  <c r="X591" i="9"/>
  <c r="T845" i="9"/>
  <c r="T806" i="9"/>
  <c r="T470" i="9"/>
  <c r="T352" i="9"/>
  <c r="X828" i="9"/>
  <c r="T730" i="9"/>
  <c r="X249" i="9"/>
  <c r="X849" i="9"/>
  <c r="T955" i="9"/>
  <c r="T469" i="9"/>
  <c r="T438" i="9"/>
  <c r="T350" i="9"/>
  <c r="T250" i="9"/>
  <c r="T198" i="9"/>
  <c r="T954" i="9"/>
  <c r="T437" i="9"/>
  <c r="T248" i="9"/>
  <c r="T197" i="9"/>
  <c r="X367" i="9"/>
  <c r="X364" i="9"/>
  <c r="X756" i="9"/>
  <c r="T752" i="9"/>
  <c r="T753" i="9"/>
  <c r="T754" i="9"/>
  <c r="X904" i="9"/>
  <c r="X901" i="9"/>
  <c r="X625" i="9"/>
  <c r="X622" i="9"/>
  <c r="T878" i="9"/>
  <c r="T880" i="9"/>
  <c r="T879" i="9"/>
  <c r="X879" i="9"/>
  <c r="X265" i="9"/>
  <c r="X262" i="9"/>
  <c r="T990" i="9"/>
  <c r="X993" i="9"/>
  <c r="T989" i="9"/>
  <c r="T991" i="9"/>
  <c r="X520" i="9"/>
  <c r="X523" i="9"/>
  <c r="X385" i="9"/>
  <c r="X388" i="9"/>
  <c r="X496" i="9"/>
  <c r="X778" i="9"/>
  <c r="X781" i="9"/>
  <c r="T1034" i="9"/>
  <c r="X1035" i="9"/>
  <c r="T1035" i="9"/>
  <c r="T1036" i="9"/>
  <c r="X1038" i="9"/>
  <c r="X883" i="9"/>
  <c r="X880" i="9"/>
  <c r="X646" i="9"/>
  <c r="X643" i="9"/>
  <c r="X754" i="9"/>
  <c r="X1039" i="9"/>
  <c r="X1036" i="9"/>
  <c r="X238" i="9"/>
  <c r="X1009" i="9"/>
  <c r="X514" i="9"/>
  <c r="X391" i="9"/>
  <c r="X649" i="9"/>
  <c r="X493" i="9"/>
  <c r="X907" i="9"/>
  <c r="T905" i="9"/>
  <c r="T906" i="9"/>
  <c r="X909" i="9"/>
  <c r="T907" i="9"/>
  <c r="X906" i="9"/>
  <c r="T384" i="9"/>
  <c r="X387" i="9"/>
  <c r="T385" i="9"/>
  <c r="X384" i="9"/>
  <c r="T383" i="9"/>
  <c r="T621" i="9"/>
  <c r="T622" i="9"/>
  <c r="X624" i="9"/>
  <c r="T620" i="9"/>
  <c r="X621" i="9"/>
  <c r="T770" i="9"/>
  <c r="X771" i="9"/>
  <c r="T771" i="9"/>
  <c r="T772" i="9"/>
  <c r="X774" i="9"/>
  <c r="T235" i="9"/>
  <c r="T234" i="9"/>
  <c r="X237" i="9"/>
  <c r="T233" i="9"/>
  <c r="X234" i="9"/>
  <c r="X393" i="9"/>
  <c r="T390" i="9"/>
  <c r="T391" i="9"/>
  <c r="T389" i="9"/>
  <c r="X390" i="9"/>
  <c r="X627" i="9"/>
  <c r="T623" i="9"/>
  <c r="T624" i="9"/>
  <c r="T625" i="9"/>
  <c r="T777" i="9"/>
  <c r="X780" i="9"/>
  <c r="T778" i="9"/>
  <c r="X777" i="9"/>
  <c r="T776" i="9"/>
  <c r="T602" i="9"/>
  <c r="T603" i="9"/>
  <c r="T604" i="9"/>
  <c r="X606" i="9"/>
  <c r="T236" i="9"/>
  <c r="X240" i="9"/>
  <c r="T237" i="9"/>
  <c r="T238" i="9"/>
  <c r="T475" i="9"/>
  <c r="T473" i="9"/>
  <c r="T474" i="9"/>
  <c r="X477" i="9"/>
  <c r="T643" i="9"/>
  <c r="X645" i="9"/>
  <c r="X642" i="9"/>
  <c r="T642" i="9"/>
  <c r="T641" i="9"/>
  <c r="T862" i="9"/>
  <c r="T860" i="9"/>
  <c r="X864" i="9"/>
  <c r="T861" i="9"/>
  <c r="T1007" i="9"/>
  <c r="T1008" i="9"/>
  <c r="X1011" i="9"/>
  <c r="T1009" i="9"/>
  <c r="X1008" i="9"/>
  <c r="X369" i="9"/>
  <c r="T365" i="9"/>
  <c r="T366" i="9"/>
  <c r="T367" i="9"/>
  <c r="X258" i="9"/>
  <c r="T254" i="9"/>
  <c r="T255" i="9"/>
  <c r="X255" i="9"/>
  <c r="T256" i="9"/>
  <c r="T491" i="9"/>
  <c r="T492" i="9"/>
  <c r="X492" i="9"/>
  <c r="T493" i="9"/>
  <c r="X495" i="9"/>
  <c r="X651" i="9"/>
  <c r="T647" i="9"/>
  <c r="T649" i="9"/>
  <c r="T648" i="9"/>
  <c r="X648" i="9"/>
  <c r="T1012" i="9"/>
  <c r="X1014" i="9"/>
  <c r="T1011" i="9"/>
  <c r="T1010" i="9"/>
  <c r="T261" i="9"/>
  <c r="T260" i="9"/>
  <c r="T262" i="9"/>
  <c r="X264" i="9"/>
  <c r="X261" i="9"/>
  <c r="X498" i="9"/>
  <c r="T494" i="9"/>
  <c r="T495" i="9"/>
  <c r="T496" i="9"/>
  <c r="T733" i="9"/>
  <c r="T732" i="9"/>
  <c r="T731" i="9"/>
  <c r="X735" i="9"/>
  <c r="T1029" i="9"/>
  <c r="X1032" i="9"/>
  <c r="T1030" i="9"/>
  <c r="T1028" i="9"/>
  <c r="X1029" i="9"/>
  <c r="T344" i="9"/>
  <c r="T345" i="9"/>
  <c r="T346" i="9"/>
  <c r="X348" i="9"/>
  <c r="T512" i="9"/>
  <c r="T513" i="9"/>
  <c r="T514" i="9"/>
  <c r="X516" i="9"/>
  <c r="X513" i="9"/>
  <c r="X753" i="9"/>
  <c r="T749" i="9"/>
  <c r="T750" i="9"/>
  <c r="X750" i="9"/>
  <c r="T751" i="9"/>
  <c r="T881" i="9"/>
  <c r="X885" i="9"/>
  <c r="T882" i="9"/>
  <c r="T883" i="9"/>
  <c r="X882" i="9"/>
  <c r="T362" i="9"/>
  <c r="T363" i="9"/>
  <c r="T364" i="9"/>
  <c r="X366" i="9"/>
  <c r="X363" i="9"/>
  <c r="T520" i="9"/>
  <c r="T518" i="9"/>
  <c r="T519" i="9"/>
  <c r="X519" i="9"/>
  <c r="X522" i="9"/>
  <c r="X903" i="9"/>
  <c r="T899" i="9"/>
  <c r="X900" i="9"/>
  <c r="T900" i="9"/>
  <c r="T901" i="9"/>
  <c r="T215" i="9"/>
  <c r="T216" i="9"/>
  <c r="X219" i="9"/>
  <c r="T217" i="9"/>
  <c r="T999" i="9"/>
  <c r="T998" i="9"/>
  <c r="X1002" i="9"/>
  <c r="T1000" i="9"/>
  <c r="T596" i="9"/>
  <c r="T597" i="9"/>
  <c r="T598" i="9"/>
  <c r="T309" i="9"/>
  <c r="T310" i="9"/>
  <c r="X312" i="9"/>
  <c r="T308" i="9"/>
  <c r="X162" i="9"/>
  <c r="X480" i="9"/>
  <c r="X507" i="9"/>
  <c r="X675" i="9"/>
  <c r="T851" i="9"/>
  <c r="T828" i="9"/>
  <c r="T718" i="9"/>
  <c r="T610" i="9"/>
  <c r="T507" i="9"/>
  <c r="X612" i="9"/>
  <c r="X831" i="9"/>
  <c r="T827" i="9"/>
  <c r="T608" i="9"/>
  <c r="T579" i="9"/>
  <c r="T506" i="9"/>
  <c r="T179" i="9"/>
  <c r="T893" i="9"/>
  <c r="T292" i="9"/>
  <c r="X714" i="9"/>
  <c r="T290" i="9"/>
  <c r="T211" i="9"/>
  <c r="T970" i="9"/>
  <c r="T712" i="9"/>
  <c r="T694" i="9"/>
  <c r="X609" i="9"/>
  <c r="X696" i="9"/>
  <c r="X897" i="9"/>
  <c r="X972" i="9"/>
  <c r="T968" i="9"/>
  <c r="T710" i="9"/>
  <c r="T375" i="9"/>
  <c r="X375" i="9"/>
  <c r="T374" i="9"/>
  <c r="T376" i="9"/>
  <c r="T449" i="9"/>
  <c r="X453" i="9"/>
  <c r="X450" i="9"/>
  <c r="T451" i="9"/>
  <c r="T450" i="9"/>
  <c r="T741" i="9"/>
  <c r="T740" i="9"/>
  <c r="T742" i="9"/>
  <c r="X744" i="9"/>
  <c r="X957" i="9"/>
  <c r="T956" i="9"/>
  <c r="T957" i="9"/>
  <c r="X960" i="9"/>
  <c r="T958" i="9"/>
  <c r="X486" i="9"/>
  <c r="T484" i="9"/>
  <c r="X483" i="9"/>
  <c r="T482" i="9"/>
  <c r="T483" i="9"/>
  <c r="T567" i="9"/>
  <c r="T566" i="9"/>
  <c r="X570" i="9"/>
  <c r="T568" i="9"/>
  <c r="X432" i="9"/>
  <c r="T432" i="9"/>
  <c r="T465" i="9"/>
  <c r="T466" i="9"/>
  <c r="X468" i="9"/>
  <c r="T464" i="9"/>
  <c r="X465" i="9"/>
  <c r="T724" i="9"/>
  <c r="T723" i="9"/>
  <c r="X726" i="9"/>
  <c r="T722" i="9"/>
  <c r="X723" i="9"/>
  <c r="T545" i="9"/>
  <c r="X546" i="9"/>
  <c r="T547" i="9"/>
  <c r="T546" i="9"/>
  <c r="T585" i="9"/>
  <c r="X588" i="9"/>
  <c r="T584" i="9"/>
  <c r="T586" i="9"/>
  <c r="X843" i="9"/>
  <c r="T840" i="9"/>
  <c r="X600" i="9"/>
  <c r="T600" i="9"/>
  <c r="T689" i="9"/>
  <c r="X693" i="9"/>
  <c r="T690" i="9"/>
  <c r="X690" i="9"/>
  <c r="T691" i="9"/>
  <c r="T277" i="9"/>
  <c r="X279" i="9"/>
  <c r="T276" i="9"/>
  <c r="X276" i="9"/>
  <c r="T275" i="9"/>
  <c r="T635" i="9"/>
  <c r="T636" i="9"/>
  <c r="T637" i="9"/>
  <c r="X639" i="9"/>
  <c r="T842" i="9"/>
  <c r="T843" i="9"/>
  <c r="T844" i="9"/>
  <c r="X846" i="9"/>
  <c r="X594" i="9"/>
  <c r="T966" i="9"/>
  <c r="T853" i="9"/>
  <c r="T826" i="9"/>
  <c r="T805" i="9"/>
  <c r="T578" i="9"/>
  <c r="T404" i="9"/>
  <c r="T210" i="9"/>
  <c r="X708" i="9"/>
  <c r="T894" i="9"/>
  <c r="T852" i="9"/>
  <c r="T824" i="9"/>
  <c r="T804" i="9"/>
  <c r="T472" i="9"/>
  <c r="X579" i="9"/>
  <c r="X597" i="9"/>
  <c r="X981" i="9"/>
  <c r="T728" i="9"/>
  <c r="T709" i="9"/>
  <c r="T676" i="9"/>
  <c r="T160" i="9"/>
  <c r="X198" i="9"/>
  <c r="X159" i="9"/>
  <c r="X180" i="9"/>
  <c r="X504" i="9"/>
  <c r="X711" i="9"/>
  <c r="T766" i="9"/>
  <c r="T708" i="9"/>
  <c r="T675" i="9"/>
  <c r="T595" i="9"/>
  <c r="T158" i="9"/>
  <c r="X213" i="9"/>
  <c r="T982" i="9"/>
  <c r="T765" i="9"/>
  <c r="T594" i="9"/>
  <c r="T181" i="9"/>
  <c r="X192" i="9"/>
  <c r="X471" i="9"/>
  <c r="X729" i="9"/>
  <c r="X768" i="9"/>
  <c r="T859" i="9"/>
  <c r="T287" i="9"/>
  <c r="T289" i="9"/>
  <c r="X291" i="9"/>
  <c r="T288" i="9"/>
  <c r="X288" i="9"/>
  <c r="T183" i="9"/>
  <c r="X183" i="9"/>
  <c r="T182" i="9"/>
  <c r="X186" i="9"/>
  <c r="T184" i="9"/>
  <c r="T327" i="9"/>
  <c r="T326" i="9"/>
  <c r="T328" i="9"/>
  <c r="X330" i="9"/>
  <c r="T700" i="9"/>
  <c r="X702" i="9"/>
  <c r="T699" i="9"/>
  <c r="X699" i="9"/>
  <c r="T698" i="9"/>
  <c r="T791" i="9"/>
  <c r="T793" i="9"/>
  <c r="X792" i="9"/>
  <c r="X795" i="9"/>
  <c r="T792" i="9"/>
  <c r="T855" i="9"/>
  <c r="X858" i="9"/>
  <c r="X855" i="9"/>
  <c r="T854" i="9"/>
  <c r="T856" i="9"/>
  <c r="T223" i="9"/>
  <c r="X225" i="9"/>
  <c r="X222" i="9"/>
  <c r="T221" i="9"/>
  <c r="T222" i="9"/>
  <c r="T377" i="9"/>
  <c r="X378" i="9"/>
  <c r="X381" i="9"/>
  <c r="T378" i="9"/>
  <c r="T379" i="9"/>
  <c r="T441" i="9"/>
  <c r="T442" i="9"/>
  <c r="T440" i="9"/>
  <c r="X441" i="9"/>
  <c r="X444" i="9"/>
  <c r="T535" i="9"/>
  <c r="X534" i="9"/>
  <c r="T533" i="9"/>
  <c r="T534" i="9"/>
  <c r="X537" i="9"/>
  <c r="T324" i="9"/>
  <c r="X327" i="9"/>
  <c r="T325" i="9"/>
  <c r="T323" i="9"/>
  <c r="X324" i="9"/>
  <c r="T225" i="9"/>
  <c r="X228" i="9"/>
  <c r="T226" i="9"/>
  <c r="T224" i="9"/>
  <c r="T305" i="9"/>
  <c r="T306" i="9"/>
  <c r="T307" i="9"/>
  <c r="X309" i="9"/>
  <c r="X306" i="9"/>
  <c r="T935" i="9"/>
  <c r="T937" i="9"/>
  <c r="T936" i="9"/>
  <c r="X939" i="9"/>
  <c r="X996" i="9"/>
  <c r="T995" i="9"/>
  <c r="X999" i="9"/>
  <c r="T996" i="9"/>
  <c r="T997" i="9"/>
  <c r="X342" i="9"/>
  <c r="T338" i="9"/>
  <c r="T339" i="9"/>
  <c r="T340" i="9"/>
  <c r="X339" i="9"/>
  <c r="T583" i="9"/>
  <c r="X585" i="9"/>
  <c r="X582" i="9"/>
  <c r="T581" i="9"/>
  <c r="T582" i="9"/>
  <c r="T679" i="9"/>
  <c r="X678" i="9"/>
  <c r="T677" i="9"/>
  <c r="T678" i="9"/>
  <c r="X681" i="9"/>
  <c r="T737" i="9"/>
  <c r="X738" i="9"/>
  <c r="T738" i="9"/>
  <c r="X741" i="9"/>
  <c r="T739" i="9"/>
  <c r="T343" i="9"/>
  <c r="T341" i="9"/>
  <c r="T342" i="9"/>
  <c r="T421" i="9"/>
  <c r="X420" i="9"/>
  <c r="T419" i="9"/>
  <c r="T420" i="9"/>
  <c r="X423" i="9"/>
  <c r="T175" i="9"/>
  <c r="X174" i="9"/>
  <c r="X177" i="9"/>
  <c r="T173" i="9"/>
  <c r="T174" i="9"/>
  <c r="T201" i="9"/>
  <c r="T200" i="9"/>
  <c r="X204" i="9"/>
  <c r="T202" i="9"/>
  <c r="X201" i="9"/>
  <c r="T823" i="9"/>
  <c r="T821" i="9"/>
  <c r="X822" i="9"/>
  <c r="T822" i="9"/>
  <c r="X825" i="9"/>
  <c r="X891" i="9"/>
  <c r="T892" i="9"/>
  <c r="X894" i="9"/>
  <c r="T890" i="9"/>
  <c r="T891" i="9"/>
  <c r="T975" i="9"/>
  <c r="T974" i="9"/>
  <c r="T976" i="9"/>
  <c r="X978" i="9"/>
  <c r="X975" i="9"/>
  <c r="T207" i="9"/>
  <c r="T208" i="9"/>
  <c r="X210" i="9"/>
  <c r="X207" i="9"/>
  <c r="T206" i="9"/>
  <c r="X462" i="9"/>
  <c r="T458" i="9"/>
  <c r="X459" i="9"/>
  <c r="T459" i="9"/>
  <c r="T460" i="9"/>
  <c r="T565" i="9"/>
  <c r="X567" i="9"/>
  <c r="T563" i="9"/>
  <c r="X564" i="9"/>
  <c r="T564" i="9"/>
  <c r="T633" i="9"/>
  <c r="X636" i="9"/>
  <c r="T632" i="9"/>
  <c r="T634" i="9"/>
  <c r="X633" i="9"/>
  <c r="T983" i="9"/>
  <c r="X987" i="9"/>
  <c r="T985" i="9"/>
  <c r="X552" i="9"/>
  <c r="X870" i="9"/>
  <c r="T866" i="9"/>
  <c r="T195" i="9"/>
  <c r="T599" i="9"/>
  <c r="T601" i="9"/>
  <c r="T967" i="9"/>
  <c r="X969" i="9"/>
  <c r="T311" i="9"/>
  <c r="T313" i="9"/>
  <c r="T761" i="9"/>
  <c r="X762" i="9"/>
  <c r="X435" i="9"/>
  <c r="X666" i="9"/>
  <c r="X984" i="9"/>
  <c r="T194" i="9"/>
  <c r="T503" i="9"/>
  <c r="T505" i="9"/>
  <c r="X315" i="9"/>
  <c r="T436" i="9"/>
  <c r="X195" i="9"/>
  <c r="T435" i="9"/>
  <c r="X438" i="9"/>
  <c r="X765" i="9"/>
  <c r="T162" i="9"/>
  <c r="X807" i="9"/>
  <c r="X840" i="9"/>
  <c r="X549" i="9"/>
  <c r="T984" i="9"/>
  <c r="T763" i="9"/>
  <c r="T550" i="9"/>
  <c r="X663" i="9"/>
  <c r="T868" i="9"/>
  <c r="T762" i="9"/>
  <c r="T664" i="9"/>
  <c r="T178" i="9"/>
  <c r="T191" i="9"/>
  <c r="T193" i="9"/>
  <c r="T335" i="9"/>
  <c r="T337" i="9"/>
  <c r="T431" i="9"/>
  <c r="T433" i="9"/>
  <c r="T455" i="9"/>
  <c r="T457" i="9"/>
  <c r="T479" i="9"/>
  <c r="T481" i="9"/>
  <c r="T695" i="9"/>
  <c r="T697" i="9"/>
  <c r="T839" i="9"/>
  <c r="T841" i="9"/>
  <c r="X936" i="9"/>
  <c r="T148" i="9"/>
  <c r="X150" i="9"/>
  <c r="X147" i="9"/>
  <c r="AH8" i="9" a="1"/>
  <c r="AJ788" i="9" s="1"/>
  <c r="AM788" i="9" s="1"/>
  <c r="AN788" i="9" s="1"/>
  <c r="AI8" i="9" a="1"/>
  <c r="AI8" i="9" s="1"/>
  <c r="T146" i="9"/>
  <c r="T147" i="9"/>
  <c r="F25" i="9" a="1"/>
  <c r="F25" i="9" s="1"/>
  <c r="G20" i="9" a="1"/>
  <c r="G20" i="9" s="1"/>
  <c r="F23" i="9" a="1"/>
  <c r="F23" i="9" s="1"/>
  <c r="F35" i="9" a="1"/>
  <c r="F35" i="9" s="1"/>
  <c r="F37" i="9" a="1"/>
  <c r="F37" i="9" s="1"/>
  <c r="F20" i="9" a="1"/>
  <c r="F20" i="9" s="1"/>
  <c r="H20" i="9" a="1"/>
  <c r="H20" i="9" s="1"/>
  <c r="AL10" i="10"/>
  <c r="AN133" i="13" l="1"/>
  <c r="AO133" i="13"/>
  <c r="AO86" i="13"/>
  <c r="AN86" i="13"/>
  <c r="AO314" i="13"/>
  <c r="AN314" i="13"/>
  <c r="AN219" i="13"/>
  <c r="AV17" i="13" s="1"/>
  <c r="AO219" i="13"/>
  <c r="AN351" i="13"/>
  <c r="AO351" i="13"/>
  <c r="AO236" i="13"/>
  <c r="AN236" i="13"/>
  <c r="AN371" i="13"/>
  <c r="AO371" i="13"/>
  <c r="AN202" i="13"/>
  <c r="AO202" i="13"/>
  <c r="AN676" i="13"/>
  <c r="AO676" i="13"/>
  <c r="AO487" i="13"/>
  <c r="AN487" i="13"/>
  <c r="AO346" i="13"/>
  <c r="AN346" i="13"/>
  <c r="AW22" i="13" s="1"/>
  <c r="AO857" i="13"/>
  <c r="AN857" i="13"/>
  <c r="AO640" i="13"/>
  <c r="AN640" i="13"/>
  <c r="AO515" i="13"/>
  <c r="AN515" i="13"/>
  <c r="AO331" i="13"/>
  <c r="AN331" i="13"/>
  <c r="AN645" i="13"/>
  <c r="AO645" i="13"/>
  <c r="AO385" i="13"/>
  <c r="AN385" i="13"/>
  <c r="AO805" i="13"/>
  <c r="AN805" i="13"/>
  <c r="AO567" i="13"/>
  <c r="AN567" i="13"/>
  <c r="AO943" i="13"/>
  <c r="AN943" i="13"/>
  <c r="AN713" i="13"/>
  <c r="AO713" i="13"/>
  <c r="AO740" i="13"/>
  <c r="AN740" i="13"/>
  <c r="AN851" i="13"/>
  <c r="AO851" i="13"/>
  <c r="AO796" i="13"/>
  <c r="AN796" i="13"/>
  <c r="AO848" i="13"/>
  <c r="AN848" i="13"/>
  <c r="AO837" i="13"/>
  <c r="AN837" i="13"/>
  <c r="AO886" i="13"/>
  <c r="AN886" i="13"/>
  <c r="AO904" i="13"/>
  <c r="AN904" i="13"/>
  <c r="AN983" i="13"/>
  <c r="AO983" i="13"/>
  <c r="AO79" i="13"/>
  <c r="AN79" i="13"/>
  <c r="AN11" i="13"/>
  <c r="AO11" i="13"/>
  <c r="AN433" i="13"/>
  <c r="AO433" i="13"/>
  <c r="AO406" i="13"/>
  <c r="AN406" i="13"/>
  <c r="AO145" i="13"/>
  <c r="AN145" i="13"/>
  <c r="AO200" i="13"/>
  <c r="AN200" i="13"/>
  <c r="AN125" i="13"/>
  <c r="AO125" i="13"/>
  <c r="AO192" i="13"/>
  <c r="AN192" i="13"/>
  <c r="AO174" i="13"/>
  <c r="AN174" i="13"/>
  <c r="AO514" i="13"/>
  <c r="AN514" i="13"/>
  <c r="AO322" i="13"/>
  <c r="AN322" i="13"/>
  <c r="AO238" i="13"/>
  <c r="AN238" i="13"/>
  <c r="AN532" i="13"/>
  <c r="AO532" i="13"/>
  <c r="AO527" i="13"/>
  <c r="AN527" i="13"/>
  <c r="AO442" i="13"/>
  <c r="AN442" i="13"/>
  <c r="AO303" i="13"/>
  <c r="AN303" i="13"/>
  <c r="AO578" i="13"/>
  <c r="AN578" i="13"/>
  <c r="AO357" i="13"/>
  <c r="AN357" i="13"/>
  <c r="AN629" i="13"/>
  <c r="AO629" i="13"/>
  <c r="AN831" i="13"/>
  <c r="AO831" i="13"/>
  <c r="AN764" i="13"/>
  <c r="AO764" i="13"/>
  <c r="AO638" i="13"/>
  <c r="AN638" i="13"/>
  <c r="AO702" i="13"/>
  <c r="AN702" i="13"/>
  <c r="AO766" i="13"/>
  <c r="AN766" i="13"/>
  <c r="AN735" i="13"/>
  <c r="AO735" i="13"/>
  <c r="AN852" i="13"/>
  <c r="AO852" i="13"/>
  <c r="AO841" i="13"/>
  <c r="AN841" i="13"/>
  <c r="AN890" i="13"/>
  <c r="AO890" i="13"/>
  <c r="AO908" i="13"/>
  <c r="AN908" i="13"/>
  <c r="AN987" i="13"/>
  <c r="AO987" i="13"/>
  <c r="AO48" i="13"/>
  <c r="AN48" i="13"/>
  <c r="AO227" i="13"/>
  <c r="AN227" i="13"/>
  <c r="AO597" i="13"/>
  <c r="AN597" i="13"/>
  <c r="AO225" i="13"/>
  <c r="AN225" i="13"/>
  <c r="AN372" i="13"/>
  <c r="AO372" i="13"/>
  <c r="AO254" i="13"/>
  <c r="AN254" i="13"/>
  <c r="AN472" i="13"/>
  <c r="AO472" i="13"/>
  <c r="AO210" i="13"/>
  <c r="AN210" i="13"/>
  <c r="AO149" i="13"/>
  <c r="AN149" i="13"/>
  <c r="AO525" i="13"/>
  <c r="AN525" i="13"/>
  <c r="AO348" i="13"/>
  <c r="AN348" i="13"/>
  <c r="AO1027" i="13"/>
  <c r="AN1027" i="13"/>
  <c r="AN763" i="13"/>
  <c r="AO763" i="13"/>
  <c r="AN536" i="13"/>
  <c r="AO536" i="13"/>
  <c r="AO339" i="13"/>
  <c r="AN339" i="13"/>
  <c r="AO660" i="13"/>
  <c r="AN660" i="13"/>
  <c r="AN394" i="13"/>
  <c r="AO394" i="13"/>
  <c r="AN872" i="13"/>
  <c r="AO872" i="13"/>
  <c r="AN575" i="13"/>
  <c r="AO575" i="13"/>
  <c r="AO463" i="13"/>
  <c r="AN463" i="13"/>
  <c r="AO950" i="13"/>
  <c r="AN950" i="13"/>
  <c r="AO855" i="13"/>
  <c r="AN855" i="13"/>
  <c r="AO966" i="13"/>
  <c r="AN966" i="13"/>
  <c r="AO1035" i="13"/>
  <c r="AN1035" i="13"/>
  <c r="AO787" i="13"/>
  <c r="AN787" i="13"/>
  <c r="AO984" i="13"/>
  <c r="AN984" i="13"/>
  <c r="AO1002" i="13"/>
  <c r="AN1002" i="13"/>
  <c r="AO1009" i="13"/>
  <c r="AN1009" i="13"/>
  <c r="AN965" i="13"/>
  <c r="AO965" i="13"/>
  <c r="AO212" i="13"/>
  <c r="AN212" i="13"/>
  <c r="AO45" i="13"/>
  <c r="AN45" i="13"/>
  <c r="AN173" i="13"/>
  <c r="AO173" i="13"/>
  <c r="AO155" i="13"/>
  <c r="AN155" i="13"/>
  <c r="AO221" i="13"/>
  <c r="AN221" i="13"/>
  <c r="AO150" i="13"/>
  <c r="AN150" i="13"/>
  <c r="AO247" i="13"/>
  <c r="AN247" i="13"/>
  <c r="AO182" i="13"/>
  <c r="AN182" i="13"/>
  <c r="AO557" i="13"/>
  <c r="AN557" i="13"/>
  <c r="AO337" i="13"/>
  <c r="AN337" i="13"/>
  <c r="AN268" i="13"/>
  <c r="AO268" i="13"/>
  <c r="AO598" i="13"/>
  <c r="AN598" i="13"/>
  <c r="AO905" i="13"/>
  <c r="AN905" i="13"/>
  <c r="AN628" i="13"/>
  <c r="AO628" i="13"/>
  <c r="AO646" i="13"/>
  <c r="AN646" i="13"/>
  <c r="AN430" i="13"/>
  <c r="AO430" i="13"/>
  <c r="AO864" i="13"/>
  <c r="AN864" i="13"/>
  <c r="AN469" i="13"/>
  <c r="AO469" i="13"/>
  <c r="AN612" i="13"/>
  <c r="AO612" i="13"/>
  <c r="AN637" i="13"/>
  <c r="AO637" i="13"/>
  <c r="AN467" i="13"/>
  <c r="AO467" i="13"/>
  <c r="AO1014" i="13"/>
  <c r="AN1014" i="13"/>
  <c r="AO862" i="13"/>
  <c r="AN862" i="13"/>
  <c r="AO1000" i="13"/>
  <c r="AN1000" i="13"/>
  <c r="AN733" i="13"/>
  <c r="AO733" i="13"/>
  <c r="AO791" i="13"/>
  <c r="AN791" i="13"/>
  <c r="AO1005" i="13"/>
  <c r="AN1005" i="13"/>
  <c r="AO1013" i="13"/>
  <c r="AN1013" i="13"/>
  <c r="AO1017" i="13"/>
  <c r="AN1017" i="13"/>
  <c r="AN969" i="13"/>
  <c r="AO969" i="13"/>
  <c r="AO27" i="13"/>
  <c r="AN27" i="13"/>
  <c r="AO33" i="13"/>
  <c r="AN33" i="13"/>
  <c r="AO22" i="13"/>
  <c r="AN22" i="13"/>
  <c r="AO114" i="13"/>
  <c r="AN114" i="13"/>
  <c r="AO410" i="13"/>
  <c r="AN410" i="13"/>
  <c r="AO568" i="13"/>
  <c r="AN568" i="13"/>
  <c r="AN62" i="13"/>
  <c r="AO62" i="13"/>
  <c r="AN277" i="13"/>
  <c r="AO277" i="13"/>
  <c r="AN893" i="13"/>
  <c r="AO893" i="13"/>
  <c r="AO186" i="13"/>
  <c r="AN186" i="13"/>
  <c r="AN391" i="13"/>
  <c r="AO391" i="13"/>
  <c r="AO232" i="13"/>
  <c r="AN232" i="13"/>
  <c r="AO338" i="13"/>
  <c r="AN338" i="13"/>
  <c r="AO269" i="13"/>
  <c r="AN269" i="13"/>
  <c r="AN363" i="13"/>
  <c r="AO363" i="13"/>
  <c r="AN425" i="13"/>
  <c r="AO425" i="13"/>
  <c r="AO601" i="13"/>
  <c r="AN601" i="13"/>
  <c r="AN693" i="13"/>
  <c r="AO693" i="13"/>
  <c r="AO500" i="13"/>
  <c r="AN500" i="13"/>
  <c r="AN622" i="13"/>
  <c r="AO622" i="13"/>
  <c r="AO438" i="13"/>
  <c r="AN438" i="13"/>
  <c r="AN559" i="13"/>
  <c r="AO559" i="13"/>
  <c r="AN1001" i="13"/>
  <c r="AO1001" i="13"/>
  <c r="AO679" i="13"/>
  <c r="AN679" i="13"/>
  <c r="AO889" i="13"/>
  <c r="AN889" i="13"/>
  <c r="AO483" i="13"/>
  <c r="AN483" i="13"/>
  <c r="AO582" i="13"/>
  <c r="AN582" i="13"/>
  <c r="AO730" i="13"/>
  <c r="AN730" i="13"/>
  <c r="AO846" i="13"/>
  <c r="AN846" i="13"/>
  <c r="AO315" i="13"/>
  <c r="AN315" i="13"/>
  <c r="AN393" i="13"/>
  <c r="AO393" i="13"/>
  <c r="AO436" i="13"/>
  <c r="AN436" i="13"/>
  <c r="AO509" i="13"/>
  <c r="AN509" i="13"/>
  <c r="AO603" i="13"/>
  <c r="AN603" i="13"/>
  <c r="AO680" i="13"/>
  <c r="AN680" i="13"/>
  <c r="AO936" i="13"/>
  <c r="AN936" i="13"/>
  <c r="AO294" i="13"/>
  <c r="AN294" i="13"/>
  <c r="AO369" i="13"/>
  <c r="AN369" i="13"/>
  <c r="AO396" i="13"/>
  <c r="AN396" i="13"/>
  <c r="AO478" i="13"/>
  <c r="AN478" i="13"/>
  <c r="AN544" i="13"/>
  <c r="AO544" i="13"/>
  <c r="AO700" i="13"/>
  <c r="AN700" i="13"/>
  <c r="AN888" i="13"/>
  <c r="AO888" i="13"/>
  <c r="AN617" i="13"/>
  <c r="AO617" i="13"/>
  <c r="AO692" i="13"/>
  <c r="AN692" i="13"/>
  <c r="AZ12" i="13" s="1"/>
  <c r="AO885" i="13"/>
  <c r="AN885" i="13"/>
  <c r="AN583" i="13"/>
  <c r="AO583" i="13"/>
  <c r="AO650" i="13"/>
  <c r="AN650" i="13"/>
  <c r="AO720" i="13"/>
  <c r="AN720" i="13"/>
  <c r="AO808" i="13"/>
  <c r="AN808" i="13"/>
  <c r="AO439" i="13"/>
  <c r="AN439" i="13"/>
  <c r="AO471" i="13"/>
  <c r="AN471" i="13"/>
  <c r="AO554" i="13"/>
  <c r="AN554" i="13"/>
  <c r="AO657" i="13"/>
  <c r="AN657" i="13"/>
  <c r="AO776" i="13"/>
  <c r="AN776" i="13"/>
  <c r="AO615" i="13"/>
  <c r="AN615" i="13"/>
  <c r="AO647" i="13"/>
  <c r="AN647" i="13"/>
  <c r="AO714" i="13"/>
  <c r="AN714" i="13"/>
  <c r="AO778" i="13"/>
  <c r="AN778" i="13"/>
  <c r="AO883" i="13"/>
  <c r="AN883" i="13"/>
  <c r="AN681" i="13"/>
  <c r="AO681" i="13"/>
  <c r="AO797" i="13"/>
  <c r="AN797" i="13"/>
  <c r="AO916" i="13"/>
  <c r="AN916" i="13"/>
  <c r="AO1015" i="13"/>
  <c r="AN1015" i="13"/>
  <c r="AO711" i="13"/>
  <c r="AN711" i="13"/>
  <c r="AN767" i="13"/>
  <c r="AO767" i="13"/>
  <c r="AO869" i="13"/>
  <c r="AN869" i="13"/>
  <c r="AO737" i="13"/>
  <c r="AN737" i="13"/>
  <c r="AO769" i="13"/>
  <c r="AN769" i="13"/>
  <c r="AO832" i="13"/>
  <c r="AN832" i="13"/>
  <c r="AO873" i="13"/>
  <c r="AN873" i="13"/>
  <c r="AO795" i="13"/>
  <c r="AN795" i="13"/>
  <c r="AN880" i="13"/>
  <c r="AO880" i="13"/>
  <c r="AO821" i="13"/>
  <c r="AN821" i="13"/>
  <c r="AO853" i="13"/>
  <c r="AN853" i="13"/>
  <c r="AO1030" i="13"/>
  <c r="AN1030" i="13"/>
  <c r="AO911" i="13"/>
  <c r="AN911" i="13"/>
  <c r="AO968" i="13"/>
  <c r="AN968" i="13"/>
  <c r="AO909" i="13"/>
  <c r="AN909" i="13"/>
  <c r="AN913" i="13"/>
  <c r="AO913" i="13"/>
  <c r="AO960" i="13"/>
  <c r="AN960" i="13"/>
  <c r="AO1026" i="13"/>
  <c r="AN1026" i="13"/>
  <c r="AO962" i="13"/>
  <c r="AN962" i="13"/>
  <c r="AO1025" i="13"/>
  <c r="AN1025" i="13"/>
  <c r="AO1024" i="13"/>
  <c r="AN1024" i="13"/>
  <c r="AN967" i="13"/>
  <c r="AO967" i="13"/>
  <c r="AO1038" i="13"/>
  <c r="AN1038" i="13"/>
  <c r="AN973" i="13"/>
  <c r="AO973" i="13"/>
  <c r="AO162" i="13"/>
  <c r="AN162" i="13"/>
  <c r="AN93" i="13"/>
  <c r="AO93" i="13"/>
  <c r="AO68" i="13"/>
  <c r="AN68" i="13"/>
  <c r="AO24" i="13"/>
  <c r="AN24" i="13"/>
  <c r="AU17" i="13" s="1"/>
  <c r="AO106" i="13"/>
  <c r="AN106" i="13"/>
  <c r="AO91" i="13"/>
  <c r="AN91" i="13"/>
  <c r="AN28" i="13"/>
  <c r="AO28" i="13"/>
  <c r="AW14" i="13"/>
  <c r="AO253" i="13"/>
  <c r="AN253" i="13"/>
  <c r="AO403" i="13"/>
  <c r="AN403" i="13"/>
  <c r="AO108" i="13"/>
  <c r="AN108" i="13"/>
  <c r="AN902" i="13"/>
  <c r="AO902" i="13"/>
  <c r="AO899" i="13"/>
  <c r="AN899" i="13"/>
  <c r="AO506" i="13"/>
  <c r="AN506" i="13"/>
  <c r="AO374" i="13"/>
  <c r="AN374" i="13"/>
  <c r="AN257" i="13"/>
  <c r="AO257" i="13"/>
  <c r="AO183" i="13"/>
  <c r="AN183" i="13"/>
  <c r="AO498" i="13"/>
  <c r="AN498" i="13"/>
  <c r="AO560" i="13"/>
  <c r="AN560" i="13"/>
  <c r="AN547" i="13"/>
  <c r="AO547" i="13"/>
  <c r="AO610" i="13"/>
  <c r="AN610" i="13"/>
  <c r="AO427" i="13"/>
  <c r="AN427" i="13"/>
  <c r="AN743" i="13"/>
  <c r="AO743" i="13"/>
  <c r="AN437" i="13"/>
  <c r="AO437" i="13"/>
  <c r="AO558" i="13"/>
  <c r="AN558" i="13"/>
  <c r="AO599" i="13"/>
  <c r="AN599" i="13"/>
  <c r="AO455" i="13"/>
  <c r="AN455" i="13"/>
  <c r="AN906" i="13"/>
  <c r="AO906" i="13"/>
  <c r="AN823" i="13"/>
  <c r="AO823" i="13"/>
  <c r="AN948" i="13"/>
  <c r="BB15" i="13" s="1"/>
  <c r="AO948" i="13"/>
  <c r="AO915" i="13"/>
  <c r="AN915" i="13"/>
  <c r="AO980" i="13"/>
  <c r="AN980" i="13"/>
  <c r="AO918" i="13"/>
  <c r="AN918" i="13"/>
  <c r="AO974" i="13"/>
  <c r="AN974" i="13"/>
  <c r="AO994" i="13"/>
  <c r="AN994" i="13"/>
  <c r="AN957" i="13"/>
  <c r="AO957" i="13"/>
  <c r="AO53" i="13"/>
  <c r="AN53" i="13"/>
  <c r="AO102" i="13"/>
  <c r="AN102" i="13"/>
  <c r="AO230" i="13"/>
  <c r="AN230" i="13"/>
  <c r="AO486" i="13"/>
  <c r="AN486" i="13"/>
  <c r="AO222" i="13"/>
  <c r="AN222" i="13"/>
  <c r="AO354" i="13"/>
  <c r="AN354" i="13"/>
  <c r="AN239" i="13"/>
  <c r="AO239" i="13"/>
  <c r="AO404" i="13"/>
  <c r="AN404" i="13"/>
  <c r="AO206" i="13"/>
  <c r="AN206" i="13"/>
  <c r="AO789" i="13"/>
  <c r="AN789" i="13"/>
  <c r="AO494" i="13"/>
  <c r="AN494" i="13"/>
  <c r="AN347" i="13"/>
  <c r="AO347" i="13"/>
  <c r="AN970" i="13"/>
  <c r="AO970" i="13"/>
  <c r="AO687" i="13"/>
  <c r="AN687" i="13"/>
  <c r="AN521" i="13"/>
  <c r="AO521" i="13"/>
  <c r="AN335" i="13"/>
  <c r="AO335" i="13"/>
  <c r="AO653" i="13"/>
  <c r="AN653" i="13"/>
  <c r="AO389" i="13"/>
  <c r="AN389" i="13"/>
  <c r="AO842" i="13"/>
  <c r="AN842" i="13"/>
  <c r="AO571" i="13"/>
  <c r="AN571" i="13"/>
  <c r="AN392" i="13"/>
  <c r="AO392" i="13"/>
  <c r="AO716" i="13"/>
  <c r="AN716" i="13"/>
  <c r="AN746" i="13"/>
  <c r="AO746" i="13"/>
  <c r="AN854" i="13"/>
  <c r="AO854" i="13"/>
  <c r="AO818" i="13"/>
  <c r="AN818" i="13"/>
  <c r="BA9" i="13" s="1"/>
  <c r="AO820" i="13"/>
  <c r="AN820" i="13"/>
  <c r="AO901" i="13"/>
  <c r="AN901" i="13"/>
  <c r="AO934" i="13"/>
  <c r="AN934" i="13"/>
  <c r="AO999" i="13"/>
  <c r="AN999" i="13"/>
  <c r="AN955" i="13"/>
  <c r="AO955" i="13"/>
  <c r="AO78" i="13"/>
  <c r="AN78" i="13"/>
  <c r="AO275" i="13"/>
  <c r="AN275" i="13"/>
  <c r="AN293" i="13"/>
  <c r="AO293" i="13"/>
  <c r="AO231" i="13"/>
  <c r="AN231" i="13"/>
  <c r="AN152" i="13"/>
  <c r="AO152" i="13"/>
  <c r="AO218" i="13"/>
  <c r="AN218" i="13"/>
  <c r="AN126" i="13"/>
  <c r="AO126" i="13"/>
  <c r="AO235" i="13"/>
  <c r="AN235" i="13"/>
  <c r="AO178" i="13"/>
  <c r="AN178" i="13"/>
  <c r="AO517" i="13"/>
  <c r="AN517" i="13"/>
  <c r="AN336" i="13"/>
  <c r="AO336" i="13"/>
  <c r="AO251" i="13"/>
  <c r="AN251" i="13"/>
  <c r="AN611" i="13"/>
  <c r="AO611" i="13"/>
  <c r="AN548" i="13"/>
  <c r="AO548" i="13"/>
  <c r="AO448" i="13"/>
  <c r="AN448" i="13"/>
  <c r="AO307" i="13"/>
  <c r="AN307" i="13"/>
  <c r="AO581" i="13"/>
  <c r="AN581" i="13"/>
  <c r="AO361" i="13"/>
  <c r="AN361" i="13"/>
  <c r="AN633" i="13"/>
  <c r="AO633" i="13"/>
  <c r="AN865" i="13"/>
  <c r="AO865" i="13"/>
  <c r="AO788" i="13"/>
  <c r="AN788" i="13"/>
  <c r="AO644" i="13"/>
  <c r="AN644" i="13"/>
  <c r="AO706" i="13"/>
  <c r="AN706" i="13"/>
  <c r="AN779" i="13"/>
  <c r="AO779" i="13"/>
  <c r="AN748" i="13"/>
  <c r="AO748" i="13"/>
  <c r="AO824" i="13"/>
  <c r="AN824" i="13"/>
  <c r="AO783" i="13"/>
  <c r="AN783" i="13"/>
  <c r="AO939" i="13"/>
  <c r="AN939" i="13"/>
  <c r="AO1010" i="13"/>
  <c r="AN1010" i="13"/>
  <c r="AN959" i="13"/>
  <c r="AO959" i="13"/>
  <c r="AO70" i="13"/>
  <c r="AN70" i="13"/>
  <c r="AU24" i="13" s="1"/>
  <c r="AO223" i="13"/>
  <c r="AN223" i="13"/>
  <c r="AO54" i="13"/>
  <c r="AN54" i="13"/>
  <c r="AO397" i="13"/>
  <c r="AN397" i="13"/>
  <c r="AO464" i="13"/>
  <c r="AN464" i="13"/>
  <c r="AO59" i="13"/>
  <c r="AN59" i="13"/>
  <c r="AO368" i="13"/>
  <c r="AN368" i="13"/>
  <c r="AO332" i="13"/>
  <c r="AN332" i="13"/>
  <c r="AO297" i="13"/>
  <c r="AN297" i="13"/>
  <c r="AO228" i="13"/>
  <c r="AN228" i="13"/>
  <c r="AO195" i="13"/>
  <c r="AN195" i="13"/>
  <c r="AN420" i="13"/>
  <c r="AO420" i="13"/>
  <c r="AO589" i="13"/>
  <c r="AN589" i="13"/>
  <c r="AO838" i="13"/>
  <c r="AN838" i="13"/>
  <c r="AN835" i="13"/>
  <c r="AO835" i="13"/>
  <c r="AO584" i="13"/>
  <c r="AN584" i="13"/>
  <c r="AO395" i="13"/>
  <c r="AN395" i="13"/>
  <c r="AO875" i="13"/>
  <c r="AN875" i="13"/>
  <c r="AO579" i="13"/>
  <c r="AN579" i="13"/>
  <c r="AN802" i="13"/>
  <c r="AO802" i="13"/>
  <c r="AO550" i="13"/>
  <c r="AN550" i="13"/>
  <c r="AO643" i="13"/>
  <c r="AN643" i="13"/>
  <c r="AN794" i="13"/>
  <c r="AO794" i="13"/>
  <c r="AO707" i="13"/>
  <c r="AN707" i="13"/>
  <c r="AO765" i="13"/>
  <c r="AN765" i="13"/>
  <c r="AO867" i="13"/>
  <c r="AN867" i="13"/>
  <c r="AO861" i="13"/>
  <c r="AN861" i="13"/>
  <c r="AN946" i="13"/>
  <c r="AO946" i="13"/>
  <c r="AO1020" i="13"/>
  <c r="AN1020" i="13"/>
  <c r="AO167" i="13"/>
  <c r="AN167" i="13"/>
  <c r="AN134" i="13"/>
  <c r="AO134" i="13"/>
  <c r="AN205" i="13"/>
  <c r="AO205" i="13"/>
  <c r="AO44" i="13"/>
  <c r="AN44" i="13"/>
  <c r="AO590" i="13"/>
  <c r="AN590" i="13"/>
  <c r="AO240" i="13"/>
  <c r="AN240" i="13"/>
  <c r="AO572" i="13"/>
  <c r="AN572" i="13"/>
  <c r="AN74" i="13"/>
  <c r="AO74" i="13"/>
  <c r="AN32" i="13"/>
  <c r="AO32" i="13"/>
  <c r="AN935" i="13"/>
  <c r="AO935" i="13"/>
  <c r="AO172" i="13"/>
  <c r="AN172" i="13"/>
  <c r="AO148" i="13"/>
  <c r="AN148" i="13"/>
  <c r="AO545" i="13"/>
  <c r="AN545" i="13"/>
  <c r="AN193" i="13"/>
  <c r="AO193" i="13"/>
  <c r="AO423" i="13"/>
  <c r="AN423" i="13"/>
  <c r="AO105" i="13"/>
  <c r="AN105" i="13"/>
  <c r="AO267" i="13"/>
  <c r="AN267" i="13"/>
  <c r="AN255" i="13"/>
  <c r="AO255" i="13"/>
  <c r="AN334" i="13"/>
  <c r="AO334" i="13"/>
  <c r="AO123" i="13"/>
  <c r="AN123" i="13"/>
  <c r="AN190" i="13"/>
  <c r="AO190" i="13"/>
  <c r="AO249" i="13"/>
  <c r="AN249" i="13"/>
  <c r="AO358" i="13"/>
  <c r="AN358" i="13"/>
  <c r="AO452" i="13"/>
  <c r="AN452" i="13"/>
  <c r="AO565" i="13"/>
  <c r="AN565" i="13"/>
  <c r="AO161" i="13"/>
  <c r="AN161" i="13"/>
  <c r="AO237" i="13"/>
  <c r="AN237" i="13"/>
  <c r="AO305" i="13"/>
  <c r="AN305" i="13"/>
  <c r="AO444" i="13"/>
  <c r="AN444" i="13"/>
  <c r="AO663" i="13"/>
  <c r="AN663" i="13"/>
  <c r="AO170" i="13"/>
  <c r="AN170" i="13"/>
  <c r="AO203" i="13"/>
  <c r="AN203" i="13"/>
  <c r="AO283" i="13"/>
  <c r="AN283" i="13"/>
  <c r="AO364" i="13"/>
  <c r="AN364" i="13"/>
  <c r="AN434" i="13"/>
  <c r="AO434" i="13"/>
  <c r="AN770" i="13"/>
  <c r="AO770" i="13"/>
  <c r="AO728" i="13"/>
  <c r="AN728" i="13"/>
  <c r="AO512" i="13"/>
  <c r="AN512" i="13"/>
  <c r="AO626" i="13"/>
  <c r="AN626" i="13"/>
  <c r="AO475" i="13"/>
  <c r="AN475" i="13"/>
  <c r="AO573" i="13"/>
  <c r="AN573" i="13"/>
  <c r="AO499" i="13"/>
  <c r="AN499" i="13"/>
  <c r="AN705" i="13"/>
  <c r="AO705" i="13"/>
  <c r="AO922" i="13"/>
  <c r="AN922" i="13"/>
  <c r="AO489" i="13"/>
  <c r="AN489" i="13"/>
  <c r="AO585" i="13"/>
  <c r="AN585" i="13"/>
  <c r="AO750" i="13"/>
  <c r="AN750" i="13"/>
  <c r="AO1007" i="13"/>
  <c r="AN1007" i="13"/>
  <c r="AO319" i="13"/>
  <c r="AN319" i="13"/>
  <c r="AO408" i="13"/>
  <c r="AN408" i="13"/>
  <c r="AN449" i="13"/>
  <c r="AO449" i="13"/>
  <c r="AO516" i="13"/>
  <c r="AN516" i="13"/>
  <c r="AO606" i="13"/>
  <c r="AN606" i="13"/>
  <c r="AO684" i="13"/>
  <c r="AN684" i="13"/>
  <c r="AO952" i="13"/>
  <c r="AN952" i="13"/>
  <c r="AO298" i="13"/>
  <c r="AN298" i="13"/>
  <c r="AN373" i="13"/>
  <c r="AO373" i="13"/>
  <c r="AO402" i="13"/>
  <c r="AN402" i="13"/>
  <c r="AO491" i="13"/>
  <c r="AN491" i="13"/>
  <c r="AN574" i="13"/>
  <c r="AO574" i="13"/>
  <c r="AN709" i="13"/>
  <c r="AO709" i="13"/>
  <c r="AN903" i="13"/>
  <c r="AO903" i="13"/>
  <c r="AO630" i="13"/>
  <c r="AN630" i="13"/>
  <c r="AN721" i="13"/>
  <c r="AO721" i="13"/>
  <c r="AO964" i="13"/>
  <c r="AN964" i="13"/>
  <c r="AO587" i="13"/>
  <c r="AN587" i="13"/>
  <c r="AO655" i="13"/>
  <c r="AN655" i="13"/>
  <c r="AN731" i="13"/>
  <c r="AZ10" i="13" s="1"/>
  <c r="AO731" i="13"/>
  <c r="AO814" i="13"/>
  <c r="AN814" i="13"/>
  <c r="AN443" i="13"/>
  <c r="AO443" i="13"/>
  <c r="AO526" i="13"/>
  <c r="AN526" i="13"/>
  <c r="AO605" i="13"/>
  <c r="AN605" i="13"/>
  <c r="AO664" i="13"/>
  <c r="AN664" i="13"/>
  <c r="AO830" i="13"/>
  <c r="AN830" i="13"/>
  <c r="AO619" i="13"/>
  <c r="AN619" i="13"/>
  <c r="AO651" i="13"/>
  <c r="AN651" i="13"/>
  <c r="AO718" i="13"/>
  <c r="AN718" i="13"/>
  <c r="AO798" i="13"/>
  <c r="AN798" i="13"/>
  <c r="AN892" i="13"/>
  <c r="AO892" i="13"/>
  <c r="AO685" i="13"/>
  <c r="AN685" i="13"/>
  <c r="AO800" i="13"/>
  <c r="AN800" i="13"/>
  <c r="AO920" i="13"/>
  <c r="AN920" i="13"/>
  <c r="BB8" i="13" s="1"/>
  <c r="AO652" i="13"/>
  <c r="AN652" i="13"/>
  <c r="AO715" i="13"/>
  <c r="AN715" i="13"/>
  <c r="AO780" i="13"/>
  <c r="AN780" i="13"/>
  <c r="AO878" i="13"/>
  <c r="AN878" i="13"/>
  <c r="AO741" i="13"/>
  <c r="AN741" i="13"/>
  <c r="AO773" i="13"/>
  <c r="AN773" i="13"/>
  <c r="AO836" i="13"/>
  <c r="AN836" i="13"/>
  <c r="AO879" i="13"/>
  <c r="AN879" i="13"/>
  <c r="AO799" i="13"/>
  <c r="AN799" i="13"/>
  <c r="AO881" i="13"/>
  <c r="AN881" i="13"/>
  <c r="AO825" i="13"/>
  <c r="AN825" i="13"/>
  <c r="AO860" i="13"/>
  <c r="AN860" i="13"/>
  <c r="AO941" i="13"/>
  <c r="AN941" i="13"/>
  <c r="AO912" i="13"/>
  <c r="AN912" i="13"/>
  <c r="AO1003" i="13"/>
  <c r="AN1003" i="13"/>
  <c r="AN910" i="13"/>
  <c r="AO910" i="13"/>
  <c r="AO917" i="13"/>
  <c r="AN917" i="13"/>
  <c r="AO976" i="13"/>
  <c r="AN976" i="13"/>
  <c r="AO1034" i="13"/>
  <c r="AN1034" i="13"/>
  <c r="AO978" i="13"/>
  <c r="AN978" i="13"/>
  <c r="AO1033" i="13"/>
  <c r="AN1033" i="13"/>
  <c r="AO1028" i="13"/>
  <c r="AN1028" i="13"/>
  <c r="AN971" i="13"/>
  <c r="AO971" i="13"/>
  <c r="AO944" i="13"/>
  <c r="AN944" i="13"/>
  <c r="AN977" i="13"/>
  <c r="AO977" i="13"/>
  <c r="AO616" i="13"/>
  <c r="AN616" i="13"/>
  <c r="AO159" i="13"/>
  <c r="AN159" i="13"/>
  <c r="AN84" i="13"/>
  <c r="AO84" i="13"/>
  <c r="AO65" i="13"/>
  <c r="AN65" i="13"/>
  <c r="AO21" i="13"/>
  <c r="AN21" i="13"/>
  <c r="AN47" i="13"/>
  <c r="AO47" i="13"/>
  <c r="AO76" i="13"/>
  <c r="AN76" i="13"/>
  <c r="AN986" i="13"/>
  <c r="AO986" i="13"/>
  <c r="AN465" i="13"/>
  <c r="AO465" i="13"/>
  <c r="AN122" i="13"/>
  <c r="AO122" i="13"/>
  <c r="AN197" i="13"/>
  <c r="AO197" i="13"/>
  <c r="AO82" i="13"/>
  <c r="AN82" i="13"/>
  <c r="AN189" i="13"/>
  <c r="AO189" i="13"/>
  <c r="AO135" i="13"/>
  <c r="AN135" i="13"/>
  <c r="AO482" i="13"/>
  <c r="AN482" i="13"/>
  <c r="AO321" i="13"/>
  <c r="AN321" i="13"/>
  <c r="AO216" i="13"/>
  <c r="AN216" i="13"/>
  <c r="AN528" i="13"/>
  <c r="AO528" i="13"/>
  <c r="AN520" i="13"/>
  <c r="AO520" i="13"/>
  <c r="AO426" i="13"/>
  <c r="AN426" i="13"/>
  <c r="AO264" i="13"/>
  <c r="AN264" i="13"/>
  <c r="AO543" i="13"/>
  <c r="AN543" i="13"/>
  <c r="AO353" i="13"/>
  <c r="AN353" i="13"/>
  <c r="AN602" i="13"/>
  <c r="AY10" i="13" s="1"/>
  <c r="AO602" i="13"/>
  <c r="AO768" i="13"/>
  <c r="AN768" i="13"/>
  <c r="AO756" i="13"/>
  <c r="AN756" i="13"/>
  <c r="AN625" i="13"/>
  <c r="AO625" i="13"/>
  <c r="AO698" i="13"/>
  <c r="AN698" i="13"/>
  <c r="AO760" i="13"/>
  <c r="AN760" i="13"/>
  <c r="AN727" i="13"/>
  <c r="AO727" i="13"/>
  <c r="AO753" i="13"/>
  <c r="AN753" i="13"/>
  <c r="AO811" i="13"/>
  <c r="AN811" i="13"/>
  <c r="AO1011" i="13"/>
  <c r="AN1011" i="13"/>
  <c r="AN931" i="13"/>
  <c r="AO931" i="13"/>
  <c r="AO1008" i="13"/>
  <c r="AN1008" i="13"/>
  <c r="AN990" i="13"/>
  <c r="BB16" i="13" s="1"/>
  <c r="AO990" i="13"/>
  <c r="AN367" i="13"/>
  <c r="AO367" i="13"/>
  <c r="AN43" i="13"/>
  <c r="AO43" i="13"/>
  <c r="AO308" i="13"/>
  <c r="AN308" i="13"/>
  <c r="AO58" i="13"/>
  <c r="AN58" i="13"/>
  <c r="AN355" i="13"/>
  <c r="AO355" i="13"/>
  <c r="AO405" i="13"/>
  <c r="AN405" i="13"/>
  <c r="AO485" i="13"/>
  <c r="AN485" i="13"/>
  <c r="AO324" i="13"/>
  <c r="AN324" i="13"/>
  <c r="AO317" i="13"/>
  <c r="AN317" i="13"/>
  <c r="AO295" i="13"/>
  <c r="AN295" i="13"/>
  <c r="AN220" i="13"/>
  <c r="AO220" i="13"/>
  <c r="AO124" i="13"/>
  <c r="AN124" i="13"/>
  <c r="AO413" i="13"/>
  <c r="AN413" i="13"/>
  <c r="AO566" i="13"/>
  <c r="AN566" i="13"/>
  <c r="AO551" i="13"/>
  <c r="AN551" i="13"/>
  <c r="AO634" i="13"/>
  <c r="AN634" i="13"/>
  <c r="AN428" i="13"/>
  <c r="AO428" i="13"/>
  <c r="AO774" i="13"/>
  <c r="AN774" i="13"/>
  <c r="AO450" i="13"/>
  <c r="AN450" i="13"/>
  <c r="AO604" i="13"/>
  <c r="AN604" i="13"/>
  <c r="AO674" i="13"/>
  <c r="AN674" i="13"/>
  <c r="AO459" i="13"/>
  <c r="AN459" i="13"/>
  <c r="AO914" i="13"/>
  <c r="AN914" i="13"/>
  <c r="BB13" i="13" s="1"/>
  <c r="AO826" i="13"/>
  <c r="AN826" i="13"/>
  <c r="AO956" i="13"/>
  <c r="AN956" i="13"/>
  <c r="AO929" i="13"/>
  <c r="AN929" i="13"/>
  <c r="AO1022" i="13"/>
  <c r="AN1022" i="13"/>
  <c r="AN924" i="13"/>
  <c r="AO924" i="13"/>
  <c r="AO982" i="13"/>
  <c r="AN982" i="13"/>
  <c r="AO1012" i="13"/>
  <c r="AN1012" i="13"/>
  <c r="AN209" i="13"/>
  <c r="AO209" i="13"/>
  <c r="AO233" i="13"/>
  <c r="AN233" i="13"/>
  <c r="AO41" i="13"/>
  <c r="AN41" i="13"/>
  <c r="AO246" i="13"/>
  <c r="AN246" i="13"/>
  <c r="AN57" i="13"/>
  <c r="AO57" i="13"/>
  <c r="AN387" i="13"/>
  <c r="AO387" i="13"/>
  <c r="AO432" i="13"/>
  <c r="AN432" i="13"/>
  <c r="AO493" i="13"/>
  <c r="AN493" i="13"/>
  <c r="AO342" i="13"/>
  <c r="AN342" i="13"/>
  <c r="AN318" i="13"/>
  <c r="AO318" i="13"/>
  <c r="AN296" i="13"/>
  <c r="AO296" i="13"/>
  <c r="AN224" i="13"/>
  <c r="AO224" i="13"/>
  <c r="AO128" i="13"/>
  <c r="AN128" i="13"/>
  <c r="AO419" i="13"/>
  <c r="AN419" i="13"/>
  <c r="AO569" i="13"/>
  <c r="AN569" i="13"/>
  <c r="AN555" i="13"/>
  <c r="AO555" i="13"/>
  <c r="AO642" i="13"/>
  <c r="AN642" i="13"/>
  <c r="AN429" i="13"/>
  <c r="AO429" i="13"/>
  <c r="AN827" i="13"/>
  <c r="AO827" i="13"/>
  <c r="AO456" i="13"/>
  <c r="AN456" i="13"/>
  <c r="AO608" i="13"/>
  <c r="AN608" i="13"/>
  <c r="AN624" i="13"/>
  <c r="AO624" i="13"/>
  <c r="AN431" i="13"/>
  <c r="AO431" i="13"/>
  <c r="AN751" i="13"/>
  <c r="AO751" i="13"/>
  <c r="AN759" i="13"/>
  <c r="AO759" i="13"/>
  <c r="AO870" i="13"/>
  <c r="AN870" i="13"/>
  <c r="AO761" i="13"/>
  <c r="AN761" i="13"/>
  <c r="AO859" i="13"/>
  <c r="AN859" i="13"/>
  <c r="AO856" i="13"/>
  <c r="AN856" i="13"/>
  <c r="AO945" i="13"/>
  <c r="AN945" i="13"/>
  <c r="AO1016" i="13"/>
  <c r="AN1016" i="13"/>
  <c r="AN96" i="13"/>
  <c r="AO96" i="13"/>
  <c r="AO176" i="13"/>
  <c r="AN176" i="13"/>
  <c r="AO156" i="13"/>
  <c r="AN156" i="13"/>
  <c r="AO143" i="13"/>
  <c r="AN143" i="13"/>
  <c r="AO564" i="13"/>
  <c r="AN564" i="13"/>
  <c r="AO146" i="13"/>
  <c r="AN146" i="13"/>
  <c r="AV8" i="13" s="1"/>
  <c r="AO518" i="13"/>
  <c r="AN518" i="13"/>
  <c r="AO97" i="13"/>
  <c r="AN97" i="13"/>
  <c r="AO958" i="13"/>
  <c r="AN958" i="13"/>
  <c r="AO390" i="13"/>
  <c r="AN390" i="13"/>
  <c r="AO299" i="13"/>
  <c r="AN299" i="13"/>
  <c r="AO132" i="13"/>
  <c r="AN132" i="13"/>
  <c r="AO632" i="13"/>
  <c r="AN632" i="13"/>
  <c r="AN552" i="13"/>
  <c r="AO552" i="13"/>
  <c r="AN461" i="13"/>
  <c r="AX13" i="13" s="1"/>
  <c r="AO461" i="13"/>
  <c r="AO343" i="13"/>
  <c r="AN343" i="13"/>
  <c r="AO666" i="13"/>
  <c r="AN666" i="13"/>
  <c r="AO290" i="13"/>
  <c r="AN290" i="13"/>
  <c r="AO531" i="13"/>
  <c r="AN531" i="13"/>
  <c r="AO877" i="13"/>
  <c r="AN877" i="13"/>
  <c r="AO435" i="13"/>
  <c r="AN435" i="13"/>
  <c r="AN755" i="13"/>
  <c r="AO755" i="13"/>
  <c r="AO772" i="13"/>
  <c r="AN772" i="13"/>
  <c r="AO677" i="13"/>
  <c r="AN677" i="13"/>
  <c r="AO754" i="13"/>
  <c r="AN754" i="13"/>
  <c r="AN828" i="13"/>
  <c r="AO828" i="13"/>
  <c r="AO817" i="13"/>
  <c r="AN817" i="13"/>
  <c r="AO898" i="13"/>
  <c r="AN898" i="13"/>
  <c r="AN947" i="13"/>
  <c r="AO947" i="13"/>
  <c r="AN988" i="13"/>
  <c r="AO988" i="13"/>
  <c r="AO69" i="13"/>
  <c r="AN69" i="13"/>
  <c r="AN88" i="13"/>
  <c r="AO88" i="13"/>
  <c r="AO75" i="13"/>
  <c r="AN75" i="13"/>
  <c r="AO263" i="13"/>
  <c r="AN263" i="13"/>
  <c r="AO386" i="13"/>
  <c r="AN386" i="13"/>
  <c r="AO171" i="13"/>
  <c r="AN171" i="13"/>
  <c r="AO101" i="13"/>
  <c r="AN101" i="13"/>
  <c r="AO333" i="13"/>
  <c r="AN333" i="13"/>
  <c r="AO243" i="13"/>
  <c r="AN243" i="13"/>
  <c r="AO562" i="13"/>
  <c r="AN562" i="13"/>
  <c r="AO304" i="13"/>
  <c r="AN304" i="13"/>
  <c r="AO199" i="13"/>
  <c r="AN199" i="13"/>
  <c r="AO17" i="13"/>
  <c r="AN17" i="13"/>
  <c r="AN111" i="13"/>
  <c r="AO111" i="13"/>
  <c r="AO352" i="13"/>
  <c r="AN352" i="13"/>
  <c r="AO417" i="13"/>
  <c r="AN417" i="13"/>
  <c r="AO592" i="13"/>
  <c r="AN592" i="13"/>
  <c r="AO399" i="13"/>
  <c r="AN399" i="13"/>
  <c r="AO180" i="13"/>
  <c r="AN180" i="13"/>
  <c r="AN19" i="13"/>
  <c r="AO19" i="13"/>
  <c r="AN103" i="13"/>
  <c r="AO103" i="13"/>
  <c r="AO52" i="13"/>
  <c r="AN52" i="13"/>
  <c r="AU21" i="13" s="1"/>
  <c r="AO266" i="13"/>
  <c r="AN266" i="13"/>
  <c r="AO810" i="13"/>
  <c r="AN810" i="13"/>
  <c r="AN201" i="13"/>
  <c r="AO201" i="13"/>
  <c r="AO325" i="13"/>
  <c r="AN325" i="13"/>
  <c r="AO100" i="13"/>
  <c r="AN100" i="13"/>
  <c r="AO151" i="13"/>
  <c r="AN151" i="13"/>
  <c r="AO271" i="13"/>
  <c r="AN271" i="13"/>
  <c r="AO412" i="13"/>
  <c r="AN412" i="13"/>
  <c r="AO561" i="13"/>
  <c r="AN561" i="13"/>
  <c r="AY15" i="13" s="1"/>
  <c r="AO73" i="13"/>
  <c r="AN73" i="13"/>
  <c r="AO196" i="13"/>
  <c r="AN196" i="13"/>
  <c r="AO291" i="13"/>
  <c r="AN291" i="13"/>
  <c r="AO479" i="13"/>
  <c r="AN479" i="13"/>
  <c r="AO109" i="13"/>
  <c r="AN109" i="13"/>
  <c r="AO273" i="13"/>
  <c r="AN273" i="13"/>
  <c r="AO301" i="13"/>
  <c r="AN301" i="13"/>
  <c r="AN445" i="13"/>
  <c r="AO445" i="13"/>
  <c r="AO127" i="13"/>
  <c r="AN127" i="13"/>
  <c r="AO194" i="13"/>
  <c r="AN194" i="13"/>
  <c r="AO279" i="13"/>
  <c r="AN279" i="13"/>
  <c r="AN359" i="13"/>
  <c r="AO359" i="13"/>
  <c r="AO470" i="13"/>
  <c r="AN470" i="13"/>
  <c r="AO570" i="13"/>
  <c r="AN570" i="13"/>
  <c r="AO165" i="13"/>
  <c r="AN165" i="13"/>
  <c r="AO244" i="13"/>
  <c r="AN244" i="13"/>
  <c r="AO306" i="13"/>
  <c r="AN306" i="13"/>
  <c r="AO458" i="13"/>
  <c r="AN458" i="13"/>
  <c r="AN775" i="13"/>
  <c r="AO775" i="13"/>
  <c r="AN175" i="13"/>
  <c r="AO175" i="13"/>
  <c r="AN207" i="13"/>
  <c r="AV18" i="13" s="1"/>
  <c r="AO207" i="13"/>
  <c r="AN284" i="13"/>
  <c r="AO284" i="13"/>
  <c r="AO378" i="13"/>
  <c r="AN378" i="13"/>
  <c r="AN457" i="13"/>
  <c r="AO457" i="13"/>
  <c r="AN501" i="13"/>
  <c r="AO501" i="13"/>
  <c r="AO742" i="13"/>
  <c r="AN742" i="13"/>
  <c r="AN540" i="13"/>
  <c r="AO540" i="13"/>
  <c r="AO658" i="13"/>
  <c r="AN658" i="13"/>
  <c r="AO508" i="13"/>
  <c r="AN508" i="13"/>
  <c r="AO593" i="13"/>
  <c r="AN593" i="13"/>
  <c r="AO507" i="13"/>
  <c r="AN507" i="13"/>
  <c r="AO708" i="13"/>
  <c r="AN708" i="13"/>
  <c r="AO989" i="13"/>
  <c r="AN989" i="13"/>
  <c r="BB10" i="13" s="1"/>
  <c r="AO496" i="13"/>
  <c r="AN496" i="13"/>
  <c r="AO588" i="13"/>
  <c r="AN588" i="13"/>
  <c r="AO762" i="13"/>
  <c r="AN762" i="13"/>
  <c r="AO256" i="13"/>
  <c r="AN256" i="13"/>
  <c r="AO323" i="13"/>
  <c r="AN323" i="13"/>
  <c r="AO414" i="13"/>
  <c r="AN414" i="13"/>
  <c r="AO462" i="13"/>
  <c r="AN462" i="13"/>
  <c r="AO522" i="13"/>
  <c r="AN522" i="13"/>
  <c r="AN621" i="13"/>
  <c r="AO621" i="13"/>
  <c r="AN697" i="13"/>
  <c r="AO697" i="13"/>
  <c r="AO270" i="13"/>
  <c r="AN270" i="13"/>
  <c r="AO344" i="13"/>
  <c r="AN344" i="13"/>
  <c r="AO377" i="13"/>
  <c r="AN377" i="13"/>
  <c r="AO409" i="13"/>
  <c r="AN409" i="13"/>
  <c r="AO497" i="13"/>
  <c r="AN497" i="13"/>
  <c r="AO577" i="13"/>
  <c r="AN577" i="13"/>
  <c r="AN725" i="13"/>
  <c r="AO725" i="13"/>
  <c r="AO1019" i="13"/>
  <c r="AN1019" i="13"/>
  <c r="AO636" i="13"/>
  <c r="AN636" i="13"/>
  <c r="AO724" i="13"/>
  <c r="AN724" i="13"/>
  <c r="AO1023" i="13"/>
  <c r="AN1023" i="13"/>
  <c r="AN591" i="13"/>
  <c r="AO591" i="13"/>
  <c r="AO656" i="13"/>
  <c r="AN656" i="13"/>
  <c r="AO744" i="13"/>
  <c r="AN744" i="13"/>
  <c r="AO834" i="13"/>
  <c r="AN834" i="13"/>
  <c r="AN447" i="13"/>
  <c r="AO447" i="13"/>
  <c r="AN530" i="13"/>
  <c r="AO530" i="13"/>
  <c r="AO609" i="13"/>
  <c r="AN609" i="13"/>
  <c r="AO667" i="13"/>
  <c r="AN667" i="13"/>
  <c r="AN839" i="13"/>
  <c r="AO839" i="13"/>
  <c r="AO623" i="13"/>
  <c r="AN623" i="13"/>
  <c r="AO690" i="13"/>
  <c r="AN690" i="13"/>
  <c r="AZ15" i="13" s="1"/>
  <c r="AO722" i="13"/>
  <c r="AN722" i="13"/>
  <c r="AO801" i="13"/>
  <c r="AN801" i="13"/>
  <c r="AO930" i="13"/>
  <c r="AN930" i="13"/>
  <c r="AO734" i="13"/>
  <c r="AN734" i="13"/>
  <c r="AN819" i="13"/>
  <c r="AO819" i="13"/>
  <c r="AO923" i="13"/>
  <c r="AN923" i="13"/>
  <c r="AO686" i="13"/>
  <c r="AN686" i="13"/>
  <c r="AO719" i="13"/>
  <c r="AN719" i="13"/>
  <c r="AO790" i="13"/>
  <c r="AN790" i="13"/>
  <c r="AO887" i="13"/>
  <c r="AN887" i="13"/>
  <c r="AN745" i="13"/>
  <c r="AO745" i="13"/>
  <c r="AN777" i="13"/>
  <c r="AO777" i="13"/>
  <c r="AO840" i="13"/>
  <c r="AN840" i="13"/>
  <c r="AO919" i="13"/>
  <c r="AN919" i="13"/>
  <c r="AO803" i="13"/>
  <c r="AN803" i="13"/>
  <c r="AO895" i="13"/>
  <c r="AN895" i="13"/>
  <c r="AO829" i="13"/>
  <c r="AN829" i="13"/>
  <c r="AO868" i="13"/>
  <c r="AN868" i="13"/>
  <c r="AN954" i="13"/>
  <c r="AO954" i="13"/>
  <c r="AO926" i="13"/>
  <c r="AN926" i="13"/>
  <c r="AO1021" i="13"/>
  <c r="AN1021" i="13"/>
  <c r="AO932" i="13"/>
  <c r="AN932" i="13"/>
  <c r="AO921" i="13"/>
  <c r="AN921" i="13"/>
  <c r="AO996" i="13"/>
  <c r="AN996" i="13"/>
  <c r="AO1039" i="13"/>
  <c r="AN1039" i="13"/>
  <c r="AO992" i="13"/>
  <c r="AN992" i="13"/>
  <c r="AO991" i="13"/>
  <c r="AN991" i="13"/>
  <c r="AO1032" i="13"/>
  <c r="AN1032" i="13"/>
  <c r="AN975" i="13"/>
  <c r="AO975" i="13"/>
  <c r="AN949" i="13"/>
  <c r="AO949" i="13"/>
  <c r="AN981" i="13"/>
  <c r="AO981" i="13"/>
  <c r="AO476" i="13"/>
  <c r="AN476" i="13"/>
  <c r="AO137" i="13"/>
  <c r="AN137" i="13"/>
  <c r="AO83" i="13"/>
  <c r="AN83" i="13"/>
  <c r="AO64" i="13"/>
  <c r="AN64" i="13"/>
  <c r="AO16" i="13"/>
  <c r="AN16" i="13"/>
  <c r="AO30" i="13"/>
  <c r="AN30" i="13"/>
  <c r="AU14" i="13" s="1"/>
  <c r="AO61" i="13"/>
  <c r="AN61" i="13"/>
  <c r="AO341" i="13"/>
  <c r="AN341" i="13"/>
  <c r="AJ113" i="13"/>
  <c r="AM113" i="13" s="1"/>
  <c r="AJ8" i="13"/>
  <c r="AM8" i="13" s="1"/>
  <c r="AJ23" i="13"/>
  <c r="AM23" i="13" s="1"/>
  <c r="AJ35" i="13"/>
  <c r="AM35" i="13" s="1"/>
  <c r="AJ89" i="13"/>
  <c r="AM89" i="13" s="1"/>
  <c r="AJ26" i="13"/>
  <c r="AM26" i="13" s="1"/>
  <c r="AN388" i="13"/>
  <c r="AO388" i="13"/>
  <c r="AN453" i="13"/>
  <c r="AO453" i="13"/>
  <c r="AO366" i="13"/>
  <c r="AN366" i="13"/>
  <c r="AO446" i="13"/>
  <c r="AN446" i="13"/>
  <c r="AO313" i="13"/>
  <c r="AN313" i="13"/>
  <c r="AO316" i="13"/>
  <c r="AN316" i="13"/>
  <c r="AO281" i="13"/>
  <c r="AN281" i="13"/>
  <c r="AO215" i="13"/>
  <c r="AN215" i="13"/>
  <c r="AN120" i="13"/>
  <c r="AO120" i="13"/>
  <c r="AO380" i="13"/>
  <c r="AN380" i="13"/>
  <c r="AO683" i="13"/>
  <c r="AN683" i="13"/>
  <c r="AO736" i="13"/>
  <c r="AN736" i="13"/>
  <c r="AO782" i="13"/>
  <c r="AN782" i="13"/>
  <c r="AO477" i="13"/>
  <c r="AN477" i="13"/>
  <c r="AO278" i="13"/>
  <c r="AN278" i="13"/>
  <c r="AO510" i="13"/>
  <c r="AN510" i="13"/>
  <c r="AN672" i="13"/>
  <c r="AO672" i="13"/>
  <c r="AO671" i="13"/>
  <c r="AN671" i="13"/>
  <c r="AO538" i="13"/>
  <c r="AN538" i="13"/>
  <c r="AO631" i="13"/>
  <c r="AN631" i="13"/>
  <c r="AO665" i="13"/>
  <c r="AN665" i="13"/>
  <c r="AO695" i="13"/>
  <c r="AN695" i="13"/>
  <c r="AO815" i="13"/>
  <c r="AN815" i="13"/>
  <c r="AO897" i="13"/>
  <c r="AN897" i="13"/>
  <c r="AN928" i="13"/>
  <c r="AO928" i="13"/>
  <c r="AO998" i="13"/>
  <c r="AN998" i="13"/>
  <c r="AN951" i="13"/>
  <c r="AO951" i="13"/>
  <c r="AN272" i="13"/>
  <c r="AO272" i="13"/>
  <c r="AO422" i="13"/>
  <c r="AN422" i="13"/>
  <c r="AO95" i="13"/>
  <c r="AN95" i="13"/>
  <c r="AO309" i="13"/>
  <c r="AN309" i="13"/>
  <c r="AO473" i="13"/>
  <c r="AN473" i="13"/>
  <c r="AO112" i="13"/>
  <c r="AN112" i="13"/>
  <c r="AN55" i="13"/>
  <c r="AO55" i="13"/>
  <c r="AO39" i="13"/>
  <c r="AN39" i="13"/>
  <c r="AO535" i="13"/>
  <c r="AN535" i="13"/>
  <c r="AN375" i="13"/>
  <c r="AO375" i="13"/>
  <c r="AO258" i="13"/>
  <c r="AN258" i="13"/>
  <c r="AO187" i="13"/>
  <c r="AN187" i="13"/>
  <c r="AO505" i="13"/>
  <c r="AN505" i="13"/>
  <c r="AN739" i="13"/>
  <c r="AO739" i="13"/>
  <c r="AO758" i="13"/>
  <c r="AN758" i="13"/>
  <c r="AO809" i="13"/>
  <c r="AN809" i="13"/>
  <c r="AO484" i="13"/>
  <c r="AN484" i="13"/>
  <c r="AO282" i="13"/>
  <c r="AN282" i="13"/>
  <c r="AO523" i="13"/>
  <c r="AN523" i="13"/>
  <c r="AO675" i="13"/>
  <c r="AN675" i="13"/>
  <c r="AO618" i="13"/>
  <c r="AN618" i="13"/>
  <c r="AO542" i="13"/>
  <c r="AN542" i="13"/>
  <c r="AN635" i="13"/>
  <c r="AO635" i="13"/>
  <c r="AO669" i="13"/>
  <c r="AN669" i="13"/>
  <c r="AN699" i="13"/>
  <c r="AO699" i="13"/>
  <c r="AO757" i="13"/>
  <c r="AN757" i="13"/>
  <c r="AO816" i="13"/>
  <c r="AN816" i="13"/>
  <c r="AO1029" i="13"/>
  <c r="AN1029" i="13"/>
  <c r="AO937" i="13"/>
  <c r="AN937" i="13"/>
  <c r="AO995" i="13"/>
  <c r="AN995" i="13"/>
  <c r="AN961" i="13"/>
  <c r="AO961" i="13"/>
  <c r="AO876" i="13"/>
  <c r="AN876" i="13"/>
  <c r="AO67" i="13"/>
  <c r="AN67" i="13"/>
  <c r="AN181" i="13"/>
  <c r="AO181" i="13"/>
  <c r="AO480" i="13"/>
  <c r="AN480" i="13"/>
  <c r="AO116" i="13"/>
  <c r="AN116" i="13"/>
  <c r="AO56" i="13"/>
  <c r="AN56" i="13"/>
  <c r="AO90" i="13"/>
  <c r="AN90" i="13"/>
  <c r="AO594" i="13"/>
  <c r="AN594" i="13"/>
  <c r="AO376" i="13"/>
  <c r="AN376" i="13"/>
  <c r="AO259" i="13"/>
  <c r="AN259" i="13"/>
  <c r="AO191" i="13"/>
  <c r="AN191" i="13"/>
  <c r="AO519" i="13"/>
  <c r="AN519" i="13"/>
  <c r="AO871" i="13"/>
  <c r="AN871" i="13"/>
  <c r="AO806" i="13"/>
  <c r="AN806" i="13"/>
  <c r="AO812" i="13"/>
  <c r="AN812" i="13"/>
  <c r="AO490" i="13"/>
  <c r="AN490" i="13"/>
  <c r="AO286" i="13"/>
  <c r="AN286" i="13"/>
  <c r="AN524" i="13"/>
  <c r="AO524" i="13"/>
  <c r="AO678" i="13"/>
  <c r="AN678" i="13"/>
  <c r="AO688" i="13"/>
  <c r="AN688" i="13"/>
  <c r="AO546" i="13"/>
  <c r="AN546" i="13"/>
  <c r="AO639" i="13"/>
  <c r="AN639" i="13"/>
  <c r="AN673" i="13"/>
  <c r="AO673" i="13"/>
  <c r="AO703" i="13"/>
  <c r="AN703" i="13"/>
  <c r="AN847" i="13"/>
  <c r="AO847" i="13"/>
  <c r="AN858" i="13"/>
  <c r="AO858" i="13"/>
  <c r="AO845" i="13"/>
  <c r="AN845" i="13"/>
  <c r="AO894" i="13"/>
  <c r="AN894" i="13"/>
  <c r="AO938" i="13"/>
  <c r="AN938" i="13"/>
  <c r="AO1037" i="13"/>
  <c r="AN1037" i="13"/>
  <c r="AO38" i="13"/>
  <c r="AN38" i="13"/>
  <c r="AO142" i="13"/>
  <c r="AN142" i="13"/>
  <c r="AO729" i="13"/>
  <c r="AN729" i="13"/>
  <c r="AN241" i="13"/>
  <c r="AO241" i="13"/>
  <c r="AN383" i="13"/>
  <c r="AO383" i="13"/>
  <c r="AO262" i="13"/>
  <c r="AN262" i="13"/>
  <c r="AO614" i="13"/>
  <c r="AN614" i="13"/>
  <c r="AO214" i="13"/>
  <c r="AN214" i="13"/>
  <c r="AO153" i="13"/>
  <c r="AN153" i="13"/>
  <c r="AN541" i="13"/>
  <c r="AO541" i="13"/>
  <c r="AO362" i="13"/>
  <c r="AN362" i="13"/>
  <c r="AN488" i="13"/>
  <c r="AO488" i="13"/>
  <c r="AO792" i="13"/>
  <c r="AN792" i="13"/>
  <c r="AO549" i="13"/>
  <c r="AN549" i="13"/>
  <c r="AO311" i="13"/>
  <c r="AN311" i="13"/>
  <c r="AO503" i="13"/>
  <c r="AN503" i="13"/>
  <c r="AO365" i="13"/>
  <c r="AN365" i="13"/>
  <c r="AO659" i="13"/>
  <c r="AN659" i="13"/>
  <c r="AN689" i="13"/>
  <c r="AO689" i="13"/>
  <c r="AN717" i="13"/>
  <c r="AO717" i="13"/>
  <c r="AN654" i="13"/>
  <c r="AZ17" i="13" s="1"/>
  <c r="AO654" i="13"/>
  <c r="AO710" i="13"/>
  <c r="AN710" i="13"/>
  <c r="AO891" i="13"/>
  <c r="AN891" i="13"/>
  <c r="AO850" i="13"/>
  <c r="AN850" i="13"/>
  <c r="AN866" i="13"/>
  <c r="AO866" i="13"/>
  <c r="AN849" i="13"/>
  <c r="AO849" i="13"/>
  <c r="AO940" i="13"/>
  <c r="AN940" i="13"/>
  <c r="AO1018" i="13"/>
  <c r="AN1018" i="13"/>
  <c r="AN963" i="13"/>
  <c r="AO963" i="13"/>
  <c r="AO94" i="13"/>
  <c r="AN94" i="13"/>
  <c r="AO140" i="13"/>
  <c r="AN140" i="13"/>
  <c r="AO139" i="13"/>
  <c r="AN139" i="13"/>
  <c r="AO863" i="13"/>
  <c r="AN863" i="13"/>
  <c r="AO158" i="13"/>
  <c r="AN158" i="13"/>
  <c r="AO147" i="13"/>
  <c r="AN147" i="13"/>
  <c r="AO533" i="13"/>
  <c r="AN533" i="13"/>
  <c r="AY8" i="13" s="1"/>
  <c r="AO407" i="13"/>
  <c r="AN407" i="13"/>
  <c r="AO265" i="13"/>
  <c r="AN265" i="13"/>
  <c r="AO119" i="13"/>
  <c r="AN119" i="13"/>
  <c r="AO300" i="13"/>
  <c r="AN300" i="13"/>
  <c r="AN157" i="13"/>
  <c r="AO157" i="13"/>
  <c r="AN136" i="13"/>
  <c r="AO136" i="13"/>
  <c r="AN185" i="13"/>
  <c r="AO185" i="13"/>
  <c r="AN701" i="13"/>
  <c r="AO701" i="13"/>
  <c r="AO87" i="13"/>
  <c r="AN87" i="13"/>
  <c r="AO696" i="13"/>
  <c r="AN696" i="13"/>
  <c r="AN292" i="13"/>
  <c r="AO292" i="13"/>
  <c r="AN248" i="13"/>
  <c r="AO248" i="13"/>
  <c r="AO66" i="13"/>
  <c r="AN66" i="13"/>
  <c r="AN288" i="13"/>
  <c r="AO288" i="13"/>
  <c r="AN13" i="13"/>
  <c r="AO13" i="13"/>
  <c r="AO401" i="13"/>
  <c r="AN401" i="13"/>
  <c r="AN31" i="13"/>
  <c r="AO31" i="13"/>
  <c r="AO384" i="13"/>
  <c r="AN384" i="13"/>
  <c r="AO424" i="13"/>
  <c r="AN424" i="13"/>
  <c r="AN441" i="13"/>
  <c r="AO441" i="13"/>
  <c r="AO164" i="13"/>
  <c r="AN164" i="13"/>
  <c r="AO98" i="13"/>
  <c r="AN98" i="13"/>
  <c r="AN15" i="13"/>
  <c r="AO15" i="13"/>
  <c r="AO350" i="13"/>
  <c r="AN350" i="13"/>
  <c r="AO92" i="13"/>
  <c r="AN92" i="13"/>
  <c r="AO600" i="13"/>
  <c r="AN600" i="13"/>
  <c r="AN37" i="13"/>
  <c r="AU23" i="13" s="1"/>
  <c r="AO37" i="13"/>
  <c r="AN400" i="13"/>
  <c r="AO400" i="13"/>
  <c r="AO289" i="13"/>
  <c r="AN289" i="13"/>
  <c r="AN440" i="13"/>
  <c r="AO440" i="13"/>
  <c r="AN121" i="13"/>
  <c r="AO121" i="13"/>
  <c r="AO204" i="13"/>
  <c r="AN204" i="13"/>
  <c r="AV19" i="13" s="1"/>
  <c r="AO345" i="13"/>
  <c r="AN345" i="13"/>
  <c r="AO104" i="13"/>
  <c r="AN104" i="13"/>
  <c r="AO154" i="13"/>
  <c r="AN154" i="13"/>
  <c r="AO328" i="13"/>
  <c r="AN328" i="13"/>
  <c r="AO416" i="13"/>
  <c r="AN416" i="13"/>
  <c r="AO620" i="13"/>
  <c r="AN620" i="13"/>
  <c r="AN77" i="13"/>
  <c r="AO77" i="13"/>
  <c r="AO217" i="13"/>
  <c r="AN217" i="13"/>
  <c r="AO310" i="13"/>
  <c r="AN310" i="13"/>
  <c r="AN586" i="13"/>
  <c r="AO586" i="13"/>
  <c r="AO117" i="13"/>
  <c r="AN117" i="13"/>
  <c r="AO330" i="13"/>
  <c r="AN330" i="13"/>
  <c r="AN302" i="13"/>
  <c r="AW9" i="13" s="1"/>
  <c r="AO302" i="13"/>
  <c r="AN495" i="13"/>
  <c r="AO495" i="13"/>
  <c r="AO131" i="13"/>
  <c r="AN131" i="13"/>
  <c r="AN198" i="13"/>
  <c r="AO198" i="13"/>
  <c r="AN280" i="13"/>
  <c r="AO280" i="13"/>
  <c r="AO360" i="13"/>
  <c r="AN360" i="13"/>
  <c r="AN474" i="13"/>
  <c r="AO474" i="13"/>
  <c r="AO576" i="13"/>
  <c r="AN576" i="13"/>
  <c r="AO169" i="13"/>
  <c r="AN169" i="13"/>
  <c r="AO250" i="13"/>
  <c r="AN250" i="13"/>
  <c r="AO320" i="13"/>
  <c r="AN320" i="13"/>
  <c r="AN466" i="13"/>
  <c r="AO466" i="13"/>
  <c r="AO786" i="13"/>
  <c r="AN786" i="13"/>
  <c r="AO179" i="13"/>
  <c r="AN179" i="13"/>
  <c r="AO211" i="13"/>
  <c r="AN211" i="13"/>
  <c r="AO285" i="13"/>
  <c r="AN285" i="13"/>
  <c r="AN379" i="13"/>
  <c r="AO379" i="13"/>
  <c r="AN481" i="13"/>
  <c r="AO481" i="13"/>
  <c r="AN513" i="13"/>
  <c r="AO513" i="13"/>
  <c r="AO785" i="13"/>
  <c r="AN785" i="13"/>
  <c r="AN556" i="13"/>
  <c r="AY25" i="13" s="1"/>
  <c r="AO556" i="13"/>
  <c r="AO662" i="13"/>
  <c r="AN662" i="13"/>
  <c r="AZ8" i="13" s="1"/>
  <c r="AO511" i="13"/>
  <c r="AN511" i="13"/>
  <c r="AO596" i="13"/>
  <c r="AN596" i="13"/>
  <c r="AO539" i="13"/>
  <c r="AN539" i="13"/>
  <c r="AO712" i="13"/>
  <c r="AN712" i="13"/>
  <c r="AO1031" i="13"/>
  <c r="AN1031" i="13"/>
  <c r="AO502" i="13"/>
  <c r="AN502" i="13"/>
  <c r="AN607" i="13"/>
  <c r="AO607" i="13"/>
  <c r="AN771" i="13"/>
  <c r="AO771" i="13"/>
  <c r="AO260" i="13"/>
  <c r="AN260" i="13"/>
  <c r="AO327" i="13"/>
  <c r="AN327" i="13"/>
  <c r="AO421" i="13"/>
  <c r="AN421" i="13"/>
  <c r="AO468" i="13"/>
  <c r="AN468" i="13"/>
  <c r="AO537" i="13"/>
  <c r="AN537" i="13"/>
  <c r="AN641" i="13"/>
  <c r="AO641" i="13"/>
  <c r="AN738" i="13"/>
  <c r="AO738" i="13"/>
  <c r="AO274" i="13"/>
  <c r="AN274" i="13"/>
  <c r="AO349" i="13"/>
  <c r="AN349" i="13"/>
  <c r="AO381" i="13"/>
  <c r="AN381" i="13"/>
  <c r="AO415" i="13"/>
  <c r="AN415" i="13"/>
  <c r="AN504" i="13"/>
  <c r="AO504" i="13"/>
  <c r="AO580" i="13"/>
  <c r="AN580" i="13"/>
  <c r="AO784" i="13"/>
  <c r="AN784" i="13"/>
  <c r="AO553" i="13"/>
  <c r="AN553" i="13"/>
  <c r="AN649" i="13"/>
  <c r="AO649" i="13"/>
  <c r="AO732" i="13"/>
  <c r="AN732" i="13"/>
  <c r="AO563" i="13"/>
  <c r="AN563" i="13"/>
  <c r="AO595" i="13"/>
  <c r="AN595" i="13"/>
  <c r="AO668" i="13"/>
  <c r="AN668" i="13"/>
  <c r="AN752" i="13"/>
  <c r="AO752" i="13"/>
  <c r="AN843" i="13"/>
  <c r="AO843" i="13"/>
  <c r="AO451" i="13"/>
  <c r="AN451" i="13"/>
  <c r="AO534" i="13"/>
  <c r="AN534" i="13"/>
  <c r="AO613" i="13"/>
  <c r="AN613" i="13"/>
  <c r="AO670" i="13"/>
  <c r="AN670" i="13"/>
  <c r="AN884" i="13"/>
  <c r="AO884" i="13"/>
  <c r="AO627" i="13"/>
  <c r="AN627" i="13"/>
  <c r="AN694" i="13"/>
  <c r="AO694" i="13"/>
  <c r="AN726" i="13"/>
  <c r="AO726" i="13"/>
  <c r="AO804" i="13"/>
  <c r="AN804" i="13"/>
  <c r="AO661" i="13"/>
  <c r="AN661" i="13"/>
  <c r="AN747" i="13"/>
  <c r="AO747" i="13"/>
  <c r="AO822" i="13"/>
  <c r="AN822" i="13"/>
  <c r="AN942" i="13"/>
  <c r="AO942" i="13"/>
  <c r="AO691" i="13"/>
  <c r="AN691" i="13"/>
  <c r="AO723" i="13"/>
  <c r="AN723" i="13"/>
  <c r="AO793" i="13"/>
  <c r="AN793" i="13"/>
  <c r="AO907" i="13"/>
  <c r="AN907" i="13"/>
  <c r="AO749" i="13"/>
  <c r="AN749" i="13"/>
  <c r="AO781" i="13"/>
  <c r="AN781" i="13"/>
  <c r="AO844" i="13"/>
  <c r="AN844" i="13"/>
  <c r="AN972" i="13"/>
  <c r="AO972" i="13"/>
  <c r="AN807" i="13"/>
  <c r="AO807" i="13"/>
  <c r="AN896" i="13"/>
  <c r="AO896" i="13"/>
  <c r="AN833" i="13"/>
  <c r="AO833" i="13"/>
  <c r="AN874" i="13"/>
  <c r="AO874" i="13"/>
  <c r="AO1006" i="13"/>
  <c r="AN1006" i="13"/>
  <c r="AO927" i="13"/>
  <c r="AN927" i="13"/>
  <c r="AO882" i="13"/>
  <c r="AN882" i="13"/>
  <c r="AO933" i="13"/>
  <c r="AN933" i="13"/>
  <c r="AO925" i="13"/>
  <c r="AN925" i="13"/>
  <c r="AN997" i="13"/>
  <c r="AO997" i="13"/>
  <c r="AO900" i="13"/>
  <c r="AN900" i="13"/>
  <c r="AO993" i="13"/>
  <c r="AN993" i="13"/>
  <c r="AO1004" i="13"/>
  <c r="AN1004" i="13"/>
  <c r="AO1036" i="13"/>
  <c r="AN1036" i="13"/>
  <c r="AN979" i="13"/>
  <c r="AO979" i="13"/>
  <c r="AN953" i="13"/>
  <c r="AO953" i="13"/>
  <c r="AN985" i="13"/>
  <c r="AO985" i="13"/>
  <c r="AO460" i="13"/>
  <c r="AN460" i="13"/>
  <c r="AO63" i="13"/>
  <c r="AN63" i="13"/>
  <c r="AO12" i="13"/>
  <c r="AN12" i="13"/>
  <c r="AO682" i="13"/>
  <c r="AN682" i="13"/>
  <c r="AN20" i="13"/>
  <c r="AO20" i="13"/>
  <c r="AO110" i="13"/>
  <c r="AN110" i="13"/>
  <c r="AJ221" i="9"/>
  <c r="AM221" i="9" s="1"/>
  <c r="AN221" i="9" s="1"/>
  <c r="AJ656" i="9"/>
  <c r="AM656" i="9" s="1"/>
  <c r="AN656" i="9" s="1"/>
  <c r="AJ968" i="9"/>
  <c r="AM968" i="9" s="1"/>
  <c r="AN968" i="9" s="1"/>
  <c r="AJ349" i="9"/>
  <c r="AM349" i="9" s="1"/>
  <c r="AN349" i="9" s="1"/>
  <c r="AJ794" i="9"/>
  <c r="AM794" i="9" s="1"/>
  <c r="AN794" i="9" s="1"/>
  <c r="AJ730" i="9"/>
  <c r="AM730" i="9" s="1"/>
  <c r="AN730" i="9" s="1"/>
  <c r="AJ769" i="9"/>
  <c r="AM769" i="9" s="1"/>
  <c r="AN769" i="9" s="1"/>
  <c r="AJ330" i="9"/>
  <c r="AM330" i="9" s="1"/>
  <c r="AN330" i="9" s="1"/>
  <c r="AJ666" i="9"/>
  <c r="AM666" i="9" s="1"/>
  <c r="AN666" i="9" s="1"/>
  <c r="AJ705" i="9"/>
  <c r="AM705" i="9" s="1"/>
  <c r="AN705" i="9" s="1"/>
  <c r="AJ833" i="9"/>
  <c r="AM833" i="9" s="1"/>
  <c r="AN833" i="9" s="1"/>
  <c r="AJ602" i="9"/>
  <c r="AM602" i="9" s="1"/>
  <c r="AN602" i="9" s="1"/>
  <c r="AJ641" i="9"/>
  <c r="AM641" i="9" s="1"/>
  <c r="AN641" i="9" s="1"/>
  <c r="AJ1033" i="9"/>
  <c r="AM1033" i="9" s="1"/>
  <c r="AN1033" i="9" s="1"/>
  <c r="AJ820" i="9"/>
  <c r="AM820" i="9" s="1"/>
  <c r="AN820" i="9" s="1"/>
  <c r="AJ532" i="9"/>
  <c r="AM532" i="9" s="1"/>
  <c r="AN532" i="9" s="1"/>
  <c r="AJ299" i="9"/>
  <c r="AM299" i="9" s="1"/>
  <c r="AN299" i="9" s="1"/>
  <c r="AJ900" i="9"/>
  <c r="AM900" i="9" s="1"/>
  <c r="AN900" i="9" s="1"/>
  <c r="AJ453" i="9"/>
  <c r="AM453" i="9" s="1"/>
  <c r="AN453" i="9" s="1"/>
  <c r="AJ577" i="9"/>
  <c r="AM577" i="9" s="1"/>
  <c r="AN577" i="9" s="1"/>
  <c r="AJ903" i="9"/>
  <c r="AM903" i="9" s="1"/>
  <c r="AN903" i="9" s="1"/>
  <c r="AJ711" i="9"/>
  <c r="AM711" i="9" s="1"/>
  <c r="AN711" i="9" s="1"/>
  <c r="AJ742" i="9"/>
  <c r="AM742" i="9" s="1"/>
  <c r="AN742" i="9" s="1"/>
  <c r="AJ676" i="9"/>
  <c r="AM676" i="9" s="1"/>
  <c r="AN676" i="9" s="1"/>
  <c r="AJ186" i="9"/>
  <c r="AM186" i="9" s="1"/>
  <c r="AN186" i="9" s="1"/>
  <c r="AJ64" i="9"/>
  <c r="AM64" i="9" s="1"/>
  <c r="AN64" i="9" s="1"/>
  <c r="AJ987" i="9"/>
  <c r="AM987" i="9" s="1"/>
  <c r="AN987" i="9" s="1"/>
  <c r="AJ832" i="9"/>
  <c r="AM832" i="9" s="1"/>
  <c r="AN832" i="9" s="1"/>
  <c r="AJ722" i="9"/>
  <c r="AM722" i="9" s="1"/>
  <c r="AN722" i="9" s="1"/>
  <c r="AJ333" i="9"/>
  <c r="AM333" i="9" s="1"/>
  <c r="AN333" i="9" s="1"/>
  <c r="AJ567" i="9"/>
  <c r="AM567" i="9" s="1"/>
  <c r="AN567" i="9" s="1"/>
  <c r="AJ142" i="9"/>
  <c r="AM142" i="9" s="1"/>
  <c r="AN142" i="9" s="1"/>
  <c r="AJ767" i="9"/>
  <c r="AM767" i="9" s="1"/>
  <c r="AN767" i="9" s="1"/>
  <c r="AJ639" i="9"/>
  <c r="AM639" i="9" s="1"/>
  <c r="AN639" i="9" s="1"/>
  <c r="AJ492" i="9"/>
  <c r="AM492" i="9" s="1"/>
  <c r="AN492" i="9" s="1"/>
  <c r="AJ702" i="9"/>
  <c r="AM702" i="9" s="1"/>
  <c r="AN702" i="9" s="1"/>
  <c r="AJ677" i="9"/>
  <c r="AM677" i="9" s="1"/>
  <c r="AN677" i="9" s="1"/>
  <c r="AJ652" i="9"/>
  <c r="AM652" i="9" s="1"/>
  <c r="AN652" i="9" s="1"/>
  <c r="AJ460" i="9"/>
  <c r="AM460" i="9" s="1"/>
  <c r="AN460" i="9" s="1"/>
  <c r="AJ162" i="9"/>
  <c r="AM162" i="9" s="1"/>
  <c r="AN162" i="9" s="1"/>
  <c r="AJ552" i="9"/>
  <c r="AM552" i="9" s="1"/>
  <c r="AN552" i="9" s="1"/>
  <c r="AJ40" i="9"/>
  <c r="AM40" i="9" s="1"/>
  <c r="AN40" i="9" s="1"/>
  <c r="AJ334" i="9"/>
  <c r="AM334" i="9" s="1"/>
  <c r="AN334" i="9" s="1"/>
  <c r="AJ866" i="9"/>
  <c r="AM866" i="9" s="1"/>
  <c r="AN866" i="9" s="1"/>
  <c r="AJ163" i="9"/>
  <c r="AM163" i="9" s="1"/>
  <c r="AN163" i="9" s="1"/>
  <c r="AJ437" i="9"/>
  <c r="AM437" i="9" s="1"/>
  <c r="AN437" i="9" s="1"/>
  <c r="AJ844" i="9"/>
  <c r="AM844" i="9" s="1"/>
  <c r="AN844" i="9" s="1"/>
  <c r="AJ918" i="9"/>
  <c r="AM918" i="9" s="1"/>
  <c r="AN918" i="9" s="1"/>
  <c r="AJ984" i="9"/>
  <c r="AM984" i="9" s="1"/>
  <c r="AN984" i="9" s="1"/>
  <c r="AJ842" i="9"/>
  <c r="AM842" i="9" s="1"/>
  <c r="AN842" i="9" s="1"/>
  <c r="AJ778" i="9"/>
  <c r="AM778" i="9" s="1"/>
  <c r="AN778" i="9" s="1"/>
  <c r="AJ714" i="9"/>
  <c r="AM714" i="9" s="1"/>
  <c r="AN714" i="9" s="1"/>
  <c r="AJ650" i="9"/>
  <c r="AM650" i="9" s="1"/>
  <c r="AN650" i="9" s="1"/>
  <c r="AJ586" i="9"/>
  <c r="AM586" i="9" s="1"/>
  <c r="AN586" i="9" s="1"/>
  <c r="AJ514" i="9"/>
  <c r="AM514" i="9" s="1"/>
  <c r="AN514" i="9" s="1"/>
  <c r="AJ427" i="9"/>
  <c r="AM427" i="9" s="1"/>
  <c r="AN427" i="9" s="1"/>
  <c r="AJ317" i="9"/>
  <c r="AM317" i="9" s="1"/>
  <c r="AN317" i="9" s="1"/>
  <c r="AJ189" i="9"/>
  <c r="AM189" i="9" s="1"/>
  <c r="AN189" i="9" s="1"/>
  <c r="AJ817" i="9"/>
  <c r="AM817" i="9" s="1"/>
  <c r="AN817" i="9" s="1"/>
  <c r="AJ753" i="9"/>
  <c r="AM753" i="9" s="1"/>
  <c r="AN753" i="9" s="1"/>
  <c r="AJ689" i="9"/>
  <c r="AM689" i="9" s="1"/>
  <c r="AN689" i="9" s="1"/>
  <c r="AJ625" i="9"/>
  <c r="AM625" i="9" s="1"/>
  <c r="AN625" i="9" s="1"/>
  <c r="AJ558" i="9"/>
  <c r="AM558" i="9" s="1"/>
  <c r="AN558" i="9" s="1"/>
  <c r="AJ485" i="9"/>
  <c r="AM485" i="9" s="1"/>
  <c r="AN485" i="9" s="1"/>
  <c r="AJ387" i="9"/>
  <c r="AM387" i="9" s="1"/>
  <c r="AN387" i="9" s="1"/>
  <c r="AJ267" i="9"/>
  <c r="AM267" i="9" s="1"/>
  <c r="AN267" i="9" s="1"/>
  <c r="AJ117" i="9"/>
  <c r="AM117" i="9" s="1"/>
  <c r="AN117" i="9" s="1"/>
  <c r="AJ887" i="9"/>
  <c r="AM887" i="9" s="1"/>
  <c r="AN887" i="9" s="1"/>
  <c r="AJ823" i="9"/>
  <c r="AM823" i="9" s="1"/>
  <c r="AN823" i="9" s="1"/>
  <c r="AJ759" i="9"/>
  <c r="AM759" i="9" s="1"/>
  <c r="AN759" i="9" s="1"/>
  <c r="AJ695" i="9"/>
  <c r="AM695" i="9" s="1"/>
  <c r="AN695" i="9" s="1"/>
  <c r="AJ631" i="9"/>
  <c r="AM631" i="9" s="1"/>
  <c r="AN631" i="9" s="1"/>
  <c r="AJ565" i="9"/>
  <c r="AM565" i="9" s="1"/>
  <c r="AN565" i="9" s="1"/>
  <c r="AJ473" i="9"/>
  <c r="AM473" i="9" s="1"/>
  <c r="AN473" i="9" s="1"/>
  <c r="AJ278" i="9"/>
  <c r="AM278" i="9" s="1"/>
  <c r="AN278" i="9" s="1"/>
  <c r="AJ686" i="9"/>
  <c r="AM686" i="9" s="1"/>
  <c r="AN686" i="9" s="1"/>
  <c r="AJ409" i="9"/>
  <c r="AM409" i="9" s="1"/>
  <c r="AN409" i="9" s="1"/>
  <c r="AJ637" i="9"/>
  <c r="AM637" i="9" s="1"/>
  <c r="AN637" i="9" s="1"/>
  <c r="AJ291" i="9"/>
  <c r="AM291" i="9" s="1"/>
  <c r="AN291" i="9" s="1"/>
  <c r="AJ612" i="9"/>
  <c r="AM612" i="9" s="1"/>
  <c r="AN612" i="9" s="1"/>
  <c r="AJ242" i="9"/>
  <c r="AM242" i="9" s="1"/>
  <c r="AN242" i="9" s="1"/>
  <c r="AJ420" i="9"/>
  <c r="AM420" i="9" s="1"/>
  <c r="AN420" i="9" s="1"/>
  <c r="AJ164" i="9"/>
  <c r="AM164" i="9" s="1"/>
  <c r="AN164" i="9" s="1"/>
  <c r="AJ122" i="9"/>
  <c r="AM122" i="9" s="1"/>
  <c r="AN122" i="9" s="1"/>
  <c r="AJ209" i="9"/>
  <c r="AM209" i="9" s="1"/>
  <c r="AN209" i="9" s="1"/>
  <c r="AJ512" i="9"/>
  <c r="AM512" i="9" s="1"/>
  <c r="AN512" i="9" s="1"/>
  <c r="AJ256" i="9"/>
  <c r="AM256" i="9" s="1"/>
  <c r="AN256" i="9" s="1"/>
  <c r="AJ463" i="9"/>
  <c r="AM463" i="9" s="1"/>
  <c r="AN463" i="9" s="1"/>
  <c r="AJ207" i="9"/>
  <c r="AM207" i="9" s="1"/>
  <c r="AN207" i="9" s="1"/>
  <c r="AJ561" i="9"/>
  <c r="AM561" i="9" s="1"/>
  <c r="AN561" i="9" s="1"/>
  <c r="AJ1009" i="9"/>
  <c r="AM1009" i="9" s="1"/>
  <c r="AN1009" i="9" s="1"/>
  <c r="AJ912" i="9"/>
  <c r="AM912" i="9" s="1"/>
  <c r="AN912" i="9" s="1"/>
  <c r="AJ570" i="9"/>
  <c r="AM570" i="9" s="1"/>
  <c r="AN570" i="9" s="1"/>
  <c r="AJ462" i="9"/>
  <c r="AM462" i="9" s="1"/>
  <c r="AN462" i="9" s="1"/>
  <c r="AJ897" i="9"/>
  <c r="AM897" i="9" s="1"/>
  <c r="AN897" i="9" s="1"/>
  <c r="AJ775" i="9"/>
  <c r="AM775" i="9" s="1"/>
  <c r="AN775" i="9" s="1"/>
  <c r="AJ501" i="9"/>
  <c r="AM501" i="9" s="1"/>
  <c r="AN501" i="9" s="1"/>
  <c r="AJ701" i="9"/>
  <c r="AM701" i="9" s="1"/>
  <c r="AN701" i="9" s="1"/>
  <c r="AJ14" i="9"/>
  <c r="AM14" i="9" s="1"/>
  <c r="AN14" i="9" s="1"/>
  <c r="AJ576" i="9"/>
  <c r="AM576" i="9" s="1"/>
  <c r="AN576" i="9" s="1"/>
  <c r="AJ945" i="9"/>
  <c r="AM945" i="9" s="1"/>
  <c r="AN945" i="9" s="1"/>
  <c r="AJ643" i="9"/>
  <c r="AM643" i="9" s="1"/>
  <c r="AN643" i="9" s="1"/>
  <c r="AJ909" i="9"/>
  <c r="AM909" i="9" s="1"/>
  <c r="AN909" i="9" s="1"/>
  <c r="AJ658" i="9"/>
  <c r="AM658" i="9" s="1"/>
  <c r="AN658" i="9" s="1"/>
  <c r="AJ205" i="9"/>
  <c r="AM205" i="9" s="1"/>
  <c r="AN205" i="9" s="1"/>
  <c r="AJ633" i="9"/>
  <c r="AM633" i="9" s="1"/>
  <c r="AN633" i="9" s="1"/>
  <c r="AJ895" i="9"/>
  <c r="AM895" i="9" s="1"/>
  <c r="AN895" i="9" s="1"/>
  <c r="AJ831" i="9"/>
  <c r="AM831" i="9" s="1"/>
  <c r="AN831" i="9" s="1"/>
  <c r="AJ703" i="9"/>
  <c r="AM703" i="9" s="1"/>
  <c r="AN703" i="9" s="1"/>
  <c r="AJ574" i="9"/>
  <c r="AM574" i="9" s="1"/>
  <c r="AN574" i="9" s="1"/>
  <c r="AJ294" i="9"/>
  <c r="AM294" i="9" s="1"/>
  <c r="AN294" i="9" s="1"/>
  <c r="AJ471" i="9"/>
  <c r="AM471" i="9" s="1"/>
  <c r="AN471" i="9" s="1"/>
  <c r="AJ369" i="9"/>
  <c r="AM369" i="9" s="1"/>
  <c r="AN369" i="9" s="1"/>
  <c r="AJ322" i="9"/>
  <c r="AM322" i="9" s="1"/>
  <c r="AN322" i="9" s="1"/>
  <c r="AJ204" i="9"/>
  <c r="AM204" i="9" s="1"/>
  <c r="AN204" i="9" s="1"/>
  <c r="AJ249" i="9"/>
  <c r="AM249" i="9" s="1"/>
  <c r="AN249" i="9" s="1"/>
  <c r="AJ296" i="9"/>
  <c r="AM296" i="9" s="1"/>
  <c r="AN296" i="9" s="1"/>
  <c r="AJ247" i="9"/>
  <c r="AM247" i="9" s="1"/>
  <c r="AN247" i="9" s="1"/>
  <c r="AJ969" i="9"/>
  <c r="AM969" i="9" s="1"/>
  <c r="AN969" i="9" s="1"/>
  <c r="AJ350" i="9"/>
  <c r="AM350" i="9" s="1"/>
  <c r="AN350" i="9" s="1"/>
  <c r="AJ814" i="9"/>
  <c r="AM814" i="9" s="1"/>
  <c r="AN814" i="9" s="1"/>
  <c r="AJ720" i="9"/>
  <c r="AM720" i="9" s="1"/>
  <c r="AN720" i="9" s="1"/>
  <c r="AJ484" i="9"/>
  <c r="AM484" i="9" s="1"/>
  <c r="AN484" i="9" s="1"/>
  <c r="AJ744" i="9"/>
  <c r="AM744" i="9" s="1"/>
  <c r="AN744" i="9" s="1"/>
  <c r="AJ854" i="9"/>
  <c r="AM854" i="9" s="1"/>
  <c r="AN854" i="9" s="1"/>
  <c r="AJ928" i="9"/>
  <c r="AM928" i="9" s="1"/>
  <c r="AN928" i="9" s="1"/>
  <c r="AJ992" i="9"/>
  <c r="AM992" i="9" s="1"/>
  <c r="AN992" i="9" s="1"/>
  <c r="AJ834" i="9"/>
  <c r="AM834" i="9" s="1"/>
  <c r="AN834" i="9" s="1"/>
  <c r="AJ770" i="9"/>
  <c r="AM770" i="9" s="1"/>
  <c r="AN770" i="9" s="1"/>
  <c r="AJ706" i="9"/>
  <c r="AM706" i="9" s="1"/>
  <c r="AN706" i="9" s="1"/>
  <c r="AJ642" i="9"/>
  <c r="AM642" i="9" s="1"/>
  <c r="AN642" i="9" s="1"/>
  <c r="AJ578" i="9"/>
  <c r="AM578" i="9" s="1"/>
  <c r="AN578" i="9" s="1"/>
  <c r="AJ505" i="9"/>
  <c r="AM505" i="9" s="1"/>
  <c r="AN505" i="9" s="1"/>
  <c r="AJ414" i="9"/>
  <c r="AM414" i="9" s="1"/>
  <c r="AN414" i="9" s="1"/>
  <c r="AJ301" i="9"/>
  <c r="AM301" i="9" s="1"/>
  <c r="AN301" i="9" s="1"/>
  <c r="AJ166" i="9"/>
  <c r="AM166" i="9" s="1"/>
  <c r="AN166" i="9" s="1"/>
  <c r="AJ809" i="9"/>
  <c r="AM809" i="9" s="1"/>
  <c r="AN809" i="9" s="1"/>
  <c r="AJ745" i="9"/>
  <c r="AM745" i="9" s="1"/>
  <c r="AN745" i="9" s="1"/>
  <c r="AJ681" i="9"/>
  <c r="AM681" i="9" s="1"/>
  <c r="AN681" i="9" s="1"/>
  <c r="AJ617" i="9"/>
  <c r="AM617" i="9" s="1"/>
  <c r="AN617" i="9" s="1"/>
  <c r="AJ549" i="9"/>
  <c r="AM549" i="9" s="1"/>
  <c r="AN549" i="9" s="1"/>
  <c r="AJ475" i="9"/>
  <c r="AM475" i="9" s="1"/>
  <c r="AN475" i="9" s="1"/>
  <c r="AJ374" i="9"/>
  <c r="AM374" i="9" s="1"/>
  <c r="AN374" i="9" s="1"/>
  <c r="AJ251" i="9"/>
  <c r="AM251" i="9" s="1"/>
  <c r="AN251" i="9" s="1"/>
  <c r="AJ85" i="9"/>
  <c r="AM85" i="9" s="1"/>
  <c r="AN85" i="9" s="1"/>
  <c r="AJ879" i="9"/>
  <c r="AM879" i="9" s="1"/>
  <c r="AN879" i="9" s="1"/>
  <c r="AJ815" i="9"/>
  <c r="AM815" i="9" s="1"/>
  <c r="AN815" i="9" s="1"/>
  <c r="AJ751" i="9"/>
  <c r="AM751" i="9" s="1"/>
  <c r="AN751" i="9" s="1"/>
  <c r="AJ687" i="9"/>
  <c r="AM687" i="9" s="1"/>
  <c r="AN687" i="9" s="1"/>
  <c r="AJ623" i="9"/>
  <c r="AM623" i="9" s="1"/>
  <c r="AN623" i="9" s="1"/>
  <c r="AJ556" i="9"/>
  <c r="AM556" i="9" s="1"/>
  <c r="AN556" i="9" s="1"/>
  <c r="AJ435" i="9"/>
  <c r="AM435" i="9" s="1"/>
  <c r="AN435" i="9" s="1"/>
  <c r="AJ198" i="9"/>
  <c r="AM198" i="9" s="1"/>
  <c r="AN198" i="9" s="1"/>
  <c r="AJ678" i="9"/>
  <c r="AM678" i="9" s="1"/>
  <c r="AN678" i="9" s="1"/>
  <c r="AJ370" i="9"/>
  <c r="AM370" i="9" s="1"/>
  <c r="AN370" i="9" s="1"/>
  <c r="AJ613" i="9"/>
  <c r="AM613" i="9" s="1"/>
  <c r="AN613" i="9" s="1"/>
  <c r="AJ243" i="9"/>
  <c r="AM243" i="9" s="1"/>
  <c r="AN243" i="9" s="1"/>
  <c r="AJ588" i="9"/>
  <c r="AM588" i="9" s="1"/>
  <c r="AN588" i="9" s="1"/>
  <c r="AJ194" i="9"/>
  <c r="AM194" i="9" s="1"/>
  <c r="AN194" i="9" s="1"/>
  <c r="AJ396" i="9"/>
  <c r="AM396" i="9" s="1"/>
  <c r="AN396" i="9" s="1"/>
  <c r="AJ140" i="9"/>
  <c r="AM140" i="9" s="1"/>
  <c r="AN140" i="9" s="1"/>
  <c r="AJ98" i="9"/>
  <c r="AM98" i="9" s="1"/>
  <c r="AN98" i="9" s="1"/>
  <c r="AJ185" i="9"/>
  <c r="AM185" i="9" s="1"/>
  <c r="AN185" i="9" s="1"/>
  <c r="AJ488" i="9"/>
  <c r="AM488" i="9" s="1"/>
  <c r="AN488" i="9" s="1"/>
  <c r="AJ232" i="9"/>
  <c r="AM232" i="9" s="1"/>
  <c r="AN232" i="9" s="1"/>
  <c r="AJ439" i="9"/>
  <c r="AM439" i="9" s="1"/>
  <c r="AN439" i="9" s="1"/>
  <c r="AJ183" i="9"/>
  <c r="AM183" i="9" s="1"/>
  <c r="AN183" i="9" s="1"/>
  <c r="AJ659" i="9"/>
  <c r="AM659" i="9" s="1"/>
  <c r="AN659" i="9" s="1"/>
  <c r="AJ1034" i="9"/>
  <c r="AM1034" i="9" s="1"/>
  <c r="AN1034" i="9" s="1"/>
  <c r="AJ938" i="9"/>
  <c r="AM938" i="9" s="1"/>
  <c r="AN938" i="9" s="1"/>
  <c r="AJ667" i="9"/>
  <c r="AM667" i="9" s="1"/>
  <c r="AN667" i="9" s="1"/>
  <c r="AJ575" i="9"/>
  <c r="AM575" i="9" s="1"/>
  <c r="AN575" i="9" s="1"/>
  <c r="AJ965" i="9"/>
  <c r="AM965" i="9" s="1"/>
  <c r="AN965" i="9" s="1"/>
  <c r="AJ67" i="9"/>
  <c r="AM67" i="9" s="1"/>
  <c r="AN67" i="9" s="1"/>
  <c r="AJ356" i="9"/>
  <c r="AM356" i="9" s="1"/>
  <c r="AN356" i="9" s="1"/>
  <c r="AJ100" i="9"/>
  <c r="AM100" i="9" s="1"/>
  <c r="AN100" i="9" s="1"/>
  <c r="AJ58" i="9"/>
  <c r="AM58" i="9" s="1"/>
  <c r="AN58" i="9" s="1"/>
  <c r="AJ145" i="9"/>
  <c r="AM145" i="9" s="1"/>
  <c r="AN145" i="9" s="1"/>
  <c r="AJ448" i="9"/>
  <c r="AM448" i="9" s="1"/>
  <c r="AN448" i="9" s="1"/>
  <c r="AJ192" i="9"/>
  <c r="AM192" i="9" s="1"/>
  <c r="AN192" i="9" s="1"/>
  <c r="AJ399" i="9"/>
  <c r="AM399" i="9" s="1"/>
  <c r="AN399" i="9" s="1"/>
  <c r="AJ143" i="9"/>
  <c r="AM143" i="9" s="1"/>
  <c r="AN143" i="9" s="1"/>
  <c r="AJ782" i="9"/>
  <c r="AM782" i="9" s="1"/>
  <c r="AN782" i="9" s="1"/>
  <c r="AJ398" i="9"/>
  <c r="AM398" i="9" s="1"/>
  <c r="AN398" i="9" s="1"/>
  <c r="AJ978" i="9"/>
  <c r="AM978" i="9" s="1"/>
  <c r="AN978" i="9" s="1"/>
  <c r="AJ787" i="9"/>
  <c r="AM787" i="9" s="1"/>
  <c r="AN787" i="9" s="1"/>
  <c r="AJ733" i="9"/>
  <c r="AM733" i="9" s="1"/>
  <c r="AN733" i="9" s="1"/>
  <c r="AJ1022" i="9"/>
  <c r="AM1022" i="9" s="1"/>
  <c r="AN1022" i="9" s="1"/>
  <c r="AJ503" i="9"/>
  <c r="AM503" i="9" s="1"/>
  <c r="AN503" i="9" s="1"/>
  <c r="AJ165" i="9"/>
  <c r="AM165" i="9" s="1"/>
  <c r="AN165" i="9" s="1"/>
  <c r="AJ647" i="9"/>
  <c r="AM647" i="9" s="1"/>
  <c r="AN647" i="9" s="1"/>
  <c r="AJ500" i="9"/>
  <c r="AM500" i="9" s="1"/>
  <c r="AN500" i="9" s="1"/>
  <c r="AJ406" i="9"/>
  <c r="AM406" i="9" s="1"/>
  <c r="AN406" i="9" s="1"/>
  <c r="AJ228" i="9"/>
  <c r="AM228" i="9" s="1"/>
  <c r="AN228" i="9" s="1"/>
  <c r="AJ320" i="9"/>
  <c r="AM320" i="9" s="1"/>
  <c r="AN320" i="9" s="1"/>
  <c r="AJ836" i="9"/>
  <c r="AM836" i="9" s="1"/>
  <c r="AN836" i="9" s="1"/>
  <c r="AJ688" i="9"/>
  <c r="AM688" i="9" s="1"/>
  <c r="AN688" i="9" s="1"/>
  <c r="AJ786" i="9"/>
  <c r="AM786" i="9" s="1"/>
  <c r="AN786" i="9" s="1"/>
  <c r="AJ523" i="9"/>
  <c r="AM523" i="9" s="1"/>
  <c r="AN523" i="9" s="1"/>
  <c r="AJ761" i="9"/>
  <c r="AM761" i="9" s="1"/>
  <c r="AN761" i="9" s="1"/>
  <c r="AJ401" i="9"/>
  <c r="AM401" i="9" s="1"/>
  <c r="AN401" i="9" s="1"/>
  <c r="AJ521" i="9"/>
  <c r="AM521" i="9" s="1"/>
  <c r="AN521" i="9" s="1"/>
  <c r="AJ1000" i="9"/>
  <c r="AM1000" i="9" s="1"/>
  <c r="AN1000" i="9" s="1"/>
  <c r="AJ698" i="9"/>
  <c r="AM698" i="9" s="1"/>
  <c r="AN698" i="9" s="1"/>
  <c r="AJ495" i="9"/>
  <c r="AM495" i="9" s="1"/>
  <c r="AN495" i="9" s="1"/>
  <c r="AJ801" i="9"/>
  <c r="AM801" i="9" s="1"/>
  <c r="AN801" i="9" s="1"/>
  <c r="AJ609" i="9"/>
  <c r="AM609" i="9" s="1"/>
  <c r="AN609" i="9" s="1"/>
  <c r="AJ362" i="9"/>
  <c r="AM362" i="9" s="1"/>
  <c r="AN362" i="9" s="1"/>
  <c r="AJ871" i="9"/>
  <c r="AM871" i="9" s="1"/>
  <c r="AN871" i="9" s="1"/>
  <c r="AJ679" i="9"/>
  <c r="AM679" i="9" s="1"/>
  <c r="AN679" i="9" s="1"/>
  <c r="AJ547" i="9"/>
  <c r="AM547" i="9" s="1"/>
  <c r="AN547" i="9" s="1"/>
  <c r="AJ293" i="9"/>
  <c r="AM293" i="9" s="1"/>
  <c r="AN293" i="9" s="1"/>
  <c r="AJ155" i="9"/>
  <c r="AM155" i="9" s="1"/>
  <c r="AN155" i="9" s="1"/>
  <c r="AJ115" i="9"/>
  <c r="AM115" i="9" s="1"/>
  <c r="AN115" i="9" s="1"/>
  <c r="AJ557" i="9"/>
  <c r="AM557" i="9" s="1"/>
  <c r="AN557" i="9" s="1"/>
  <c r="AJ781" i="9"/>
  <c r="AM781" i="9" s="1"/>
  <c r="AN781" i="9" s="1"/>
  <c r="AJ873" i="9"/>
  <c r="AM873" i="9" s="1"/>
  <c r="AN873" i="9" s="1"/>
  <c r="AJ944" i="9"/>
  <c r="AM944" i="9" s="1"/>
  <c r="AN944" i="9" s="1"/>
  <c r="AJ1008" i="9"/>
  <c r="AM1008" i="9" s="1"/>
  <c r="AN1008" i="9" s="1"/>
  <c r="AJ818" i="9"/>
  <c r="AM818" i="9" s="1"/>
  <c r="AN818" i="9" s="1"/>
  <c r="AJ754" i="9"/>
  <c r="AM754" i="9" s="1"/>
  <c r="AN754" i="9" s="1"/>
  <c r="AJ690" i="9"/>
  <c r="AM690" i="9" s="1"/>
  <c r="AN690" i="9" s="1"/>
  <c r="AJ626" i="9"/>
  <c r="AM626" i="9" s="1"/>
  <c r="AN626" i="9" s="1"/>
  <c r="AJ559" i="9"/>
  <c r="AM559" i="9" s="1"/>
  <c r="AN559" i="9" s="1"/>
  <c r="AJ486" i="9"/>
  <c r="AM486" i="9" s="1"/>
  <c r="AN486" i="9" s="1"/>
  <c r="AJ389" i="9"/>
  <c r="AM389" i="9" s="1"/>
  <c r="AN389" i="9" s="1"/>
  <c r="AJ269" i="9"/>
  <c r="AM269" i="9" s="1"/>
  <c r="AN269" i="9" s="1"/>
  <c r="AJ123" i="9"/>
  <c r="AM123" i="9" s="1"/>
  <c r="AN123" i="9" s="1"/>
  <c r="AJ793" i="9"/>
  <c r="AM793" i="9" s="1"/>
  <c r="AN793" i="9" s="1"/>
  <c r="AJ729" i="9"/>
  <c r="AM729" i="9" s="1"/>
  <c r="AN729" i="9" s="1"/>
  <c r="AJ665" i="9"/>
  <c r="AM665" i="9" s="1"/>
  <c r="AN665" i="9" s="1"/>
  <c r="AJ601" i="9"/>
  <c r="AM601" i="9" s="1"/>
  <c r="AN601" i="9" s="1"/>
  <c r="AJ531" i="9"/>
  <c r="AM531" i="9" s="1"/>
  <c r="AN531" i="9" s="1"/>
  <c r="AJ451" i="9"/>
  <c r="AM451" i="9" s="1"/>
  <c r="AN451" i="9" s="1"/>
  <c r="AJ347" i="9"/>
  <c r="AM347" i="9" s="1"/>
  <c r="AN347" i="9" s="1"/>
  <c r="AJ219" i="9"/>
  <c r="AM219" i="9" s="1"/>
  <c r="AN219" i="9" s="1"/>
  <c r="AJ927" i="9"/>
  <c r="AM927" i="9" s="1"/>
  <c r="AN927" i="9" s="1"/>
  <c r="AJ863" i="9"/>
  <c r="AM863" i="9" s="1"/>
  <c r="AN863" i="9" s="1"/>
  <c r="AJ799" i="9"/>
  <c r="AM799" i="9" s="1"/>
  <c r="AN799" i="9" s="1"/>
  <c r="AJ735" i="9"/>
  <c r="AM735" i="9" s="1"/>
  <c r="AN735" i="9" s="1"/>
  <c r="AJ671" i="9"/>
  <c r="AM671" i="9" s="1"/>
  <c r="AN671" i="9" s="1"/>
  <c r="AJ607" i="9"/>
  <c r="AM607" i="9" s="1"/>
  <c r="AN607" i="9" s="1"/>
  <c r="AJ529" i="9"/>
  <c r="AM529" i="9" s="1"/>
  <c r="AN529" i="9" s="1"/>
  <c r="AJ410" i="9"/>
  <c r="AM410" i="9" s="1"/>
  <c r="AN410" i="9" s="1"/>
  <c r="AJ139" i="9"/>
  <c r="AM139" i="9" s="1"/>
  <c r="AN139" i="9" s="1"/>
  <c r="AJ614" i="9"/>
  <c r="AM614" i="9" s="1"/>
  <c r="AN614" i="9" s="1"/>
  <c r="AJ245" i="9"/>
  <c r="AM245" i="9" s="1"/>
  <c r="AN245" i="9" s="1"/>
  <c r="AJ545" i="9"/>
  <c r="AM545" i="9" s="1"/>
  <c r="AN545" i="9" s="1"/>
  <c r="AJ69" i="9"/>
  <c r="AM69" i="9" s="1"/>
  <c r="AN69" i="9" s="1"/>
  <c r="AJ516" i="9"/>
  <c r="AM516" i="9" s="1"/>
  <c r="AN516" i="9" s="1"/>
  <c r="AJ118" i="9"/>
  <c r="AM118" i="9" s="1"/>
  <c r="AN118" i="9" s="1"/>
  <c r="AJ332" i="9"/>
  <c r="AM332" i="9" s="1"/>
  <c r="AN332" i="9" s="1"/>
  <c r="AJ76" i="9"/>
  <c r="AM76" i="9" s="1"/>
  <c r="AN76" i="9" s="1"/>
  <c r="AJ34" i="9"/>
  <c r="AM34" i="9" s="1"/>
  <c r="AN34" i="9" s="1"/>
  <c r="AJ121" i="9"/>
  <c r="AM121" i="9" s="1"/>
  <c r="AN121" i="9" s="1"/>
  <c r="AJ424" i="9"/>
  <c r="AM424" i="9" s="1"/>
  <c r="AN424" i="9" s="1"/>
  <c r="AJ168" i="9"/>
  <c r="AM168" i="9" s="1"/>
  <c r="AN168" i="9" s="1"/>
  <c r="AJ375" i="9"/>
  <c r="AM375" i="9" s="1"/>
  <c r="AN375" i="9" s="1"/>
  <c r="AJ119" i="9"/>
  <c r="AM119" i="9" s="1"/>
  <c r="AN119" i="9" s="1"/>
  <c r="AJ821" i="9"/>
  <c r="AM821" i="9" s="1"/>
  <c r="AN821" i="9" s="1"/>
  <c r="AJ530" i="9"/>
  <c r="AM530" i="9" s="1"/>
  <c r="AN530" i="9" s="1"/>
  <c r="AJ1002" i="9"/>
  <c r="AM1002" i="9" s="1"/>
  <c r="AN1002" i="9" s="1"/>
  <c r="AJ824" i="9"/>
  <c r="AM824" i="9" s="1"/>
  <c r="AN824" i="9" s="1"/>
  <c r="AJ125" i="9"/>
  <c r="AM125" i="9" s="1"/>
  <c r="AN125" i="9" s="1"/>
  <c r="AJ990" i="9"/>
  <c r="AM990" i="9" s="1"/>
  <c r="AN990" i="9" s="1"/>
  <c r="AJ957" i="9"/>
  <c r="AM957" i="9" s="1"/>
  <c r="AN957" i="9" s="1"/>
  <c r="AJ888" i="9"/>
  <c r="AM888" i="9" s="1"/>
  <c r="AN888" i="9" s="1"/>
  <c r="AJ803" i="9"/>
  <c r="AM803" i="9" s="1"/>
  <c r="AN803" i="9" s="1"/>
  <c r="AJ611" i="9"/>
  <c r="AM611" i="9" s="1"/>
  <c r="AN611" i="9" s="1"/>
  <c r="AJ238" i="9"/>
  <c r="AM238" i="9" s="1"/>
  <c r="AN238" i="9" s="1"/>
  <c r="AJ704" i="9"/>
  <c r="AM704" i="9" s="1"/>
  <c r="AN704" i="9" s="1"/>
  <c r="AJ411" i="9"/>
  <c r="AM411" i="9" s="1"/>
  <c r="AN411" i="9" s="1"/>
  <c r="AJ971" i="9"/>
  <c r="AM971" i="9" s="1"/>
  <c r="AN971" i="9" s="1"/>
  <c r="AJ867" i="9"/>
  <c r="AM867" i="9" s="1"/>
  <c r="AN867" i="9" s="1"/>
  <c r="AJ772" i="9"/>
  <c r="AM772" i="9" s="1"/>
  <c r="AN772" i="9" s="1"/>
  <c r="AJ533" i="9"/>
  <c r="AM533" i="9" s="1"/>
  <c r="AN533" i="9" s="1"/>
  <c r="AJ13" i="9"/>
  <c r="AM13" i="9" s="1"/>
  <c r="AN13" i="9" s="1"/>
  <c r="AJ1035" i="9"/>
  <c r="AM1035" i="9" s="1"/>
  <c r="AN1035" i="9" s="1"/>
  <c r="AJ970" i="9"/>
  <c r="AM970" i="9" s="1"/>
  <c r="AN970" i="9" s="1"/>
  <c r="AJ902" i="9"/>
  <c r="AM902" i="9" s="1"/>
  <c r="AN902" i="9" s="1"/>
  <c r="AJ822" i="9"/>
  <c r="AM822" i="9" s="1"/>
  <c r="AN822" i="9" s="1"/>
  <c r="AJ664" i="9"/>
  <c r="AM664" i="9" s="1"/>
  <c r="AN664" i="9" s="1"/>
  <c r="AJ346" i="9"/>
  <c r="AM346" i="9" s="1"/>
  <c r="AN346" i="9" s="1"/>
  <c r="AJ1001" i="9"/>
  <c r="AM1001" i="9" s="1"/>
  <c r="AN1001" i="9" s="1"/>
  <c r="AJ937" i="9"/>
  <c r="AM937" i="9" s="1"/>
  <c r="AN937" i="9" s="1"/>
  <c r="AJ865" i="9"/>
  <c r="AM865" i="9" s="1"/>
  <c r="AN865" i="9" s="1"/>
  <c r="AJ768" i="9"/>
  <c r="AM768" i="9" s="1"/>
  <c r="AN768" i="9" s="1"/>
  <c r="AJ524" i="9"/>
  <c r="AM524" i="9" s="1"/>
  <c r="AN524" i="9" s="1"/>
  <c r="AJ15" i="9"/>
  <c r="AM15" i="9" s="1"/>
  <c r="AN15" i="9" s="1"/>
  <c r="AJ87" i="9"/>
  <c r="AM87" i="9" s="1"/>
  <c r="AN87" i="9" s="1"/>
  <c r="AJ151" i="9"/>
  <c r="AM151" i="9" s="1"/>
  <c r="AN151" i="9" s="1"/>
  <c r="AJ215" i="9"/>
  <c r="AM215" i="9" s="1"/>
  <c r="AN215" i="9" s="1"/>
  <c r="AJ279" i="9"/>
  <c r="AM279" i="9" s="1"/>
  <c r="AN279" i="9" s="1"/>
  <c r="AJ343" i="9"/>
  <c r="AM343" i="9" s="1"/>
  <c r="AN343" i="9" s="1"/>
  <c r="AJ407" i="9"/>
  <c r="AM407" i="9" s="1"/>
  <c r="AN407" i="9" s="1"/>
  <c r="AJ1031" i="9"/>
  <c r="AM1031" i="9" s="1"/>
  <c r="AN1031" i="9" s="1"/>
  <c r="AJ72" i="9"/>
  <c r="AM72" i="9" s="1"/>
  <c r="AN72" i="9" s="1"/>
  <c r="AJ136" i="9"/>
  <c r="AM136" i="9" s="1"/>
  <c r="AN136" i="9" s="1"/>
  <c r="AJ200" i="9"/>
  <c r="AM200" i="9" s="1"/>
  <c r="AN200" i="9" s="1"/>
  <c r="AJ264" i="9"/>
  <c r="AM264" i="9" s="1"/>
  <c r="AN264" i="9" s="1"/>
  <c r="AJ328" i="9"/>
  <c r="AM328" i="9" s="1"/>
  <c r="AN328" i="9" s="1"/>
  <c r="AJ392" i="9"/>
  <c r="AM392" i="9" s="1"/>
  <c r="AN392" i="9" s="1"/>
  <c r="AJ456" i="9"/>
  <c r="AM456" i="9" s="1"/>
  <c r="AN456" i="9" s="1"/>
  <c r="AJ520" i="9"/>
  <c r="AM520" i="9" s="1"/>
  <c r="AN520" i="9" s="1"/>
  <c r="AJ9" i="9"/>
  <c r="AM9" i="9" s="1"/>
  <c r="AN9" i="9" s="1"/>
  <c r="AJ73" i="9"/>
  <c r="AM73" i="9" s="1"/>
  <c r="AN73" i="9" s="1"/>
  <c r="AJ153" i="9"/>
  <c r="AM153" i="9" s="1"/>
  <c r="AN153" i="9" s="1"/>
  <c r="AJ217" i="9"/>
  <c r="AM217" i="9" s="1"/>
  <c r="AN217" i="9" s="1"/>
  <c r="AJ281" i="9"/>
  <c r="AM281" i="9" s="1"/>
  <c r="AN281" i="9" s="1"/>
  <c r="AJ345" i="9"/>
  <c r="AM345" i="9" s="1"/>
  <c r="AN345" i="9" s="1"/>
  <c r="AJ66" i="9"/>
  <c r="AM66" i="9" s="1"/>
  <c r="AN66" i="9" s="1"/>
  <c r="AJ130" i="9"/>
  <c r="AM130" i="9" s="1"/>
  <c r="AN130" i="9" s="1"/>
  <c r="AJ11" i="9"/>
  <c r="AM11" i="9" s="1"/>
  <c r="AN11" i="9" s="1"/>
  <c r="AJ44" i="9"/>
  <c r="AM44" i="9" s="1"/>
  <c r="AN44" i="9" s="1"/>
  <c r="AJ108" i="9"/>
  <c r="AM108" i="9" s="1"/>
  <c r="AN108" i="9" s="1"/>
  <c r="AJ172" i="9"/>
  <c r="AM172" i="9" s="1"/>
  <c r="AN172" i="9" s="1"/>
  <c r="AJ236" i="9"/>
  <c r="AM236" i="9" s="1"/>
  <c r="AN236" i="9" s="1"/>
  <c r="AJ300" i="9"/>
  <c r="AM300" i="9" s="1"/>
  <c r="AN300" i="9" s="1"/>
  <c r="AJ364" i="9"/>
  <c r="AM364" i="9" s="1"/>
  <c r="AN364" i="9" s="1"/>
  <c r="AJ428" i="9"/>
  <c r="AM428" i="9" s="1"/>
  <c r="AN428" i="9" s="1"/>
  <c r="AJ22" i="9"/>
  <c r="AM22" i="9" s="1"/>
  <c r="AN22" i="9" s="1"/>
  <c r="AJ86" i="9"/>
  <c r="AM86" i="9" s="1"/>
  <c r="AN86" i="9" s="1"/>
  <c r="AJ99" i="9"/>
  <c r="AM99" i="9" s="1"/>
  <c r="AN99" i="9" s="1"/>
  <c r="AJ258" i="9"/>
  <c r="AM258" i="9" s="1"/>
  <c r="AN258" i="9" s="1"/>
  <c r="AJ379" i="9"/>
  <c r="AM379" i="9" s="1"/>
  <c r="AN379" i="9" s="1"/>
  <c r="AJ479" i="9"/>
  <c r="AM479" i="9" s="1"/>
  <c r="AN479" i="9" s="1"/>
  <c r="AJ553" i="9"/>
  <c r="AM553" i="9" s="1"/>
  <c r="AN553" i="9" s="1"/>
  <c r="AJ620" i="9"/>
  <c r="AM620" i="9" s="1"/>
  <c r="AN620" i="9" s="1"/>
  <c r="AJ684" i="9"/>
  <c r="AM684" i="9" s="1"/>
  <c r="AN684" i="9" s="1"/>
  <c r="AJ748" i="9"/>
  <c r="AM748" i="9" s="1"/>
  <c r="AN748" i="9" s="1"/>
  <c r="AJ174" i="9"/>
  <c r="AM174" i="9" s="1"/>
  <c r="AN174" i="9" s="1"/>
  <c r="AJ307" i="9"/>
  <c r="AM307" i="9" s="1"/>
  <c r="AN307" i="9" s="1"/>
  <c r="AJ419" i="9"/>
  <c r="AM419" i="9" s="1"/>
  <c r="AN419" i="9" s="1"/>
  <c r="AJ508" i="9"/>
  <c r="AM508" i="9" s="1"/>
  <c r="AN508" i="9" s="1"/>
  <c r="AJ581" i="9"/>
  <c r="AM581" i="9" s="1"/>
  <c r="AN581" i="9" s="1"/>
  <c r="AJ645" i="9"/>
  <c r="AM645" i="9" s="1"/>
  <c r="AN645" i="9" s="1"/>
  <c r="AJ709" i="9"/>
  <c r="AM709" i="9" s="1"/>
  <c r="AN709" i="9" s="1"/>
  <c r="AJ179" i="9"/>
  <c r="AM179" i="9" s="1"/>
  <c r="AN179" i="9" s="1"/>
  <c r="AJ309" i="9"/>
  <c r="AM309" i="9" s="1"/>
  <c r="AN309" i="9" s="1"/>
  <c r="AJ421" i="9"/>
  <c r="AM421" i="9" s="1"/>
  <c r="AN421" i="9" s="1"/>
  <c r="AJ509" i="9"/>
  <c r="AM509" i="9" s="1"/>
  <c r="AN509" i="9" s="1"/>
  <c r="AJ582" i="9"/>
  <c r="AM582" i="9" s="1"/>
  <c r="AN582" i="9" s="1"/>
  <c r="AJ646" i="9"/>
  <c r="AM646" i="9" s="1"/>
  <c r="AN646" i="9" s="1"/>
  <c r="AJ710" i="9"/>
  <c r="AM710" i="9" s="1"/>
  <c r="AN710" i="9" s="1"/>
  <c r="AJ774" i="9"/>
  <c r="AM774" i="9" s="1"/>
  <c r="AN774" i="9" s="1"/>
  <c r="AJ214" i="9"/>
  <c r="AM214" i="9" s="1"/>
  <c r="AN214" i="9" s="1"/>
  <c r="AJ342" i="9"/>
  <c r="AM342" i="9" s="1"/>
  <c r="AN342" i="9" s="1"/>
  <c r="AJ449" i="9"/>
  <c r="AM449" i="9" s="1"/>
  <c r="AN449" i="9" s="1"/>
  <c r="AJ974" i="9"/>
  <c r="AM974" i="9" s="1"/>
  <c r="AN974" i="9" s="1"/>
  <c r="AJ949" i="9"/>
  <c r="AM949" i="9" s="1"/>
  <c r="AN949" i="9" s="1"/>
  <c r="AJ878" i="9"/>
  <c r="AM878" i="9" s="1"/>
  <c r="AN878" i="9" s="1"/>
  <c r="AJ789" i="9"/>
  <c r="AM789" i="9" s="1"/>
  <c r="AN789" i="9" s="1"/>
  <c r="AJ579" i="9"/>
  <c r="AM579" i="9" s="1"/>
  <c r="AN579" i="9" s="1"/>
  <c r="AJ171" i="9"/>
  <c r="AM171" i="9" s="1"/>
  <c r="AN171" i="9" s="1"/>
  <c r="AJ672" i="9"/>
  <c r="AM672" i="9" s="1"/>
  <c r="AN672" i="9" s="1"/>
  <c r="AJ361" i="9"/>
  <c r="AM361" i="9" s="1"/>
  <c r="AN361" i="9" s="1"/>
  <c r="AJ955" i="9"/>
  <c r="AM955" i="9" s="1"/>
  <c r="AN955" i="9" s="1"/>
  <c r="AJ858" i="9"/>
  <c r="AM858" i="9" s="1"/>
  <c r="AN858" i="9" s="1"/>
  <c r="AJ752" i="9"/>
  <c r="AM752" i="9" s="1"/>
  <c r="AN752" i="9" s="1"/>
  <c r="AJ497" i="9"/>
  <c r="AM497" i="9" s="1"/>
  <c r="AN497" i="9" s="1"/>
  <c r="AJ1011" i="9"/>
  <c r="AM1011" i="9" s="1"/>
  <c r="AN1011" i="9" s="1"/>
  <c r="AJ1026" i="9"/>
  <c r="AM1026" i="9" s="1"/>
  <c r="AN1026" i="9" s="1"/>
  <c r="AJ962" i="9"/>
  <c r="AM962" i="9" s="1"/>
  <c r="AN962" i="9" s="1"/>
  <c r="AJ893" i="9"/>
  <c r="AM893" i="9" s="1"/>
  <c r="AN893" i="9" s="1"/>
  <c r="AJ811" i="9"/>
  <c r="AM811" i="9" s="1"/>
  <c r="AN811" i="9" s="1"/>
  <c r="AJ632" i="9"/>
  <c r="AM632" i="9" s="1"/>
  <c r="AN632" i="9" s="1"/>
  <c r="AJ282" i="9"/>
  <c r="AM282" i="9" s="1"/>
  <c r="AN282" i="9" s="1"/>
  <c r="AJ993" i="9"/>
  <c r="AM993" i="9" s="1"/>
  <c r="AN993" i="9" s="1"/>
  <c r="AJ929" i="9"/>
  <c r="AM929" i="9" s="1"/>
  <c r="AN929" i="9" s="1"/>
  <c r="AJ856" i="9"/>
  <c r="AM856" i="9" s="1"/>
  <c r="AN856" i="9" s="1"/>
  <c r="AJ747" i="9"/>
  <c r="AM747" i="9" s="1"/>
  <c r="AN747" i="9" s="1"/>
  <c r="AJ487" i="9"/>
  <c r="AM487" i="9" s="1"/>
  <c r="AN487" i="9" s="1"/>
  <c r="AJ31" i="9"/>
  <c r="AM31" i="9" s="1"/>
  <c r="AN31" i="9" s="1"/>
  <c r="AJ95" i="9"/>
  <c r="AM95" i="9" s="1"/>
  <c r="AN95" i="9" s="1"/>
  <c r="AJ159" i="9"/>
  <c r="AM159" i="9" s="1"/>
  <c r="AN159" i="9" s="1"/>
  <c r="AJ223" i="9"/>
  <c r="AM223" i="9" s="1"/>
  <c r="AN223" i="9" s="1"/>
  <c r="AJ287" i="9"/>
  <c r="AM287" i="9" s="1"/>
  <c r="AN287" i="9" s="1"/>
  <c r="AJ351" i="9"/>
  <c r="AM351" i="9" s="1"/>
  <c r="AN351" i="9" s="1"/>
  <c r="AJ415" i="9"/>
  <c r="AM415" i="9" s="1"/>
  <c r="AN415" i="9" s="1"/>
  <c r="AJ16" i="9"/>
  <c r="AM16" i="9" s="1"/>
  <c r="AN16" i="9" s="1"/>
  <c r="AJ80" i="9"/>
  <c r="AM80" i="9" s="1"/>
  <c r="AN80" i="9" s="1"/>
  <c r="AJ144" i="9"/>
  <c r="AM144" i="9" s="1"/>
  <c r="AN144" i="9" s="1"/>
  <c r="AJ208" i="9"/>
  <c r="AM208" i="9" s="1"/>
  <c r="AN208" i="9" s="1"/>
  <c r="AJ272" i="9"/>
  <c r="AM272" i="9" s="1"/>
  <c r="AN272" i="9" s="1"/>
  <c r="AJ336" i="9"/>
  <c r="AM336" i="9" s="1"/>
  <c r="AN336" i="9" s="1"/>
  <c r="AJ400" i="9"/>
  <c r="AM400" i="9" s="1"/>
  <c r="AN400" i="9" s="1"/>
  <c r="AJ464" i="9"/>
  <c r="AM464" i="9" s="1"/>
  <c r="AN464" i="9" s="1"/>
  <c r="AJ528" i="9"/>
  <c r="AM528" i="9" s="1"/>
  <c r="AN528" i="9" s="1"/>
  <c r="AJ17" i="9"/>
  <c r="AM17" i="9" s="1"/>
  <c r="AN17" i="9" s="1"/>
  <c r="AJ81" i="9"/>
  <c r="AM81" i="9" s="1"/>
  <c r="AN81" i="9" s="1"/>
  <c r="AJ161" i="9"/>
  <c r="AM161" i="9" s="1"/>
  <c r="AN161" i="9" s="1"/>
  <c r="AJ225" i="9"/>
  <c r="AM225" i="9" s="1"/>
  <c r="AN225" i="9" s="1"/>
  <c r="AJ289" i="9"/>
  <c r="AM289" i="9" s="1"/>
  <c r="AN289" i="9" s="1"/>
  <c r="AJ353" i="9"/>
  <c r="AM353" i="9" s="1"/>
  <c r="AN353" i="9" s="1"/>
  <c r="AJ74" i="9"/>
  <c r="AM74" i="9" s="1"/>
  <c r="AN74" i="9" s="1"/>
  <c r="AJ138" i="9"/>
  <c r="AM138" i="9" s="1"/>
  <c r="AN138" i="9" s="1"/>
  <c r="AJ19" i="9"/>
  <c r="AM19" i="9" s="1"/>
  <c r="AN19" i="9" s="1"/>
  <c r="AJ52" i="9"/>
  <c r="AM52" i="9" s="1"/>
  <c r="AN52" i="9" s="1"/>
  <c r="AJ116" i="9"/>
  <c r="AM116" i="9" s="1"/>
  <c r="AN116" i="9" s="1"/>
  <c r="AJ180" i="9"/>
  <c r="AM180" i="9" s="1"/>
  <c r="AN180" i="9" s="1"/>
  <c r="AJ244" i="9"/>
  <c r="AM244" i="9" s="1"/>
  <c r="AN244" i="9" s="1"/>
  <c r="AJ308" i="9"/>
  <c r="AM308" i="9" s="1"/>
  <c r="AN308" i="9" s="1"/>
  <c r="AJ372" i="9"/>
  <c r="AM372" i="9" s="1"/>
  <c r="AN372" i="9" s="1"/>
  <c r="AJ436" i="9"/>
  <c r="AM436" i="9" s="1"/>
  <c r="AN436" i="9" s="1"/>
  <c r="AJ30" i="9"/>
  <c r="AM30" i="9" s="1"/>
  <c r="AN30" i="9" s="1"/>
  <c r="AJ94" i="9"/>
  <c r="AM94" i="9" s="1"/>
  <c r="AN94" i="9" s="1"/>
  <c r="AJ131" i="9"/>
  <c r="AM131" i="9" s="1"/>
  <c r="AN131" i="9" s="1"/>
  <c r="AJ274" i="9"/>
  <c r="AM274" i="9" s="1"/>
  <c r="AN274" i="9" s="1"/>
  <c r="AJ393" i="9"/>
  <c r="AM393" i="9" s="1"/>
  <c r="AN393" i="9" s="1"/>
  <c r="AJ489" i="9"/>
  <c r="AM489" i="9" s="1"/>
  <c r="AN489" i="9" s="1"/>
  <c r="AJ562" i="9"/>
  <c r="AM562" i="9" s="1"/>
  <c r="AN562" i="9" s="1"/>
  <c r="AJ628" i="9"/>
  <c r="AM628" i="9" s="1"/>
  <c r="AN628" i="9" s="1"/>
  <c r="AJ692" i="9"/>
  <c r="AM692" i="9" s="1"/>
  <c r="AN692" i="9" s="1"/>
  <c r="AJ756" i="9"/>
  <c r="AM756" i="9" s="1"/>
  <c r="AN756" i="9" s="1"/>
  <c r="AJ195" i="9"/>
  <c r="AM195" i="9" s="1"/>
  <c r="AN195" i="9" s="1"/>
  <c r="AJ323" i="9"/>
  <c r="AM323" i="9" s="1"/>
  <c r="AN323" i="9" s="1"/>
  <c r="AJ433" i="9"/>
  <c r="AM433" i="9" s="1"/>
  <c r="AN433" i="9" s="1"/>
  <c r="AJ517" i="9"/>
  <c r="AM517" i="9" s="1"/>
  <c r="AN517" i="9" s="1"/>
  <c r="AJ589" i="9"/>
  <c r="AM589" i="9" s="1"/>
  <c r="AN589" i="9" s="1"/>
  <c r="AJ653" i="9"/>
  <c r="AM653" i="9" s="1"/>
  <c r="AN653" i="9" s="1"/>
  <c r="AJ717" i="9"/>
  <c r="AM717" i="9" s="1"/>
  <c r="AN717" i="9" s="1"/>
  <c r="AJ197" i="9"/>
  <c r="AM197" i="9" s="1"/>
  <c r="AN197" i="9" s="1"/>
  <c r="AJ325" i="9"/>
  <c r="AM325" i="9" s="1"/>
  <c r="AN325" i="9" s="1"/>
  <c r="AJ434" i="9"/>
  <c r="AM434" i="9" s="1"/>
  <c r="AN434" i="9" s="1"/>
  <c r="AJ518" i="9"/>
  <c r="AM518" i="9" s="1"/>
  <c r="AN518" i="9" s="1"/>
  <c r="AJ590" i="9"/>
  <c r="AM590" i="9" s="1"/>
  <c r="AN590" i="9" s="1"/>
  <c r="AJ654" i="9"/>
  <c r="AM654" i="9" s="1"/>
  <c r="AN654" i="9" s="1"/>
  <c r="AJ718" i="9"/>
  <c r="AM718" i="9" s="1"/>
  <c r="AN718" i="9" s="1"/>
  <c r="AJ45" i="9"/>
  <c r="AM45" i="9" s="1"/>
  <c r="AN45" i="9" s="1"/>
  <c r="AJ230" i="9"/>
  <c r="AM230" i="9" s="1"/>
  <c r="AN230" i="9" s="1"/>
  <c r="AJ358" i="9"/>
  <c r="AM358" i="9" s="1"/>
  <c r="AN358" i="9" s="1"/>
  <c r="AJ461" i="9"/>
  <c r="AM461" i="9" s="1"/>
  <c r="AN461" i="9" s="1"/>
  <c r="AJ538" i="9"/>
  <c r="AM538" i="9" s="1"/>
  <c r="AN538" i="9" s="1"/>
  <c r="AJ1021" i="9"/>
  <c r="AM1021" i="9" s="1"/>
  <c r="AN1021" i="9" s="1"/>
  <c r="AJ941" i="9"/>
  <c r="AM941" i="9" s="1"/>
  <c r="AN941" i="9" s="1"/>
  <c r="AJ869" i="9"/>
  <c r="AM869" i="9" s="1"/>
  <c r="AN869" i="9" s="1"/>
  <c r="AJ776" i="9"/>
  <c r="AM776" i="9" s="1"/>
  <c r="AN776" i="9" s="1"/>
  <c r="AJ542" i="9"/>
  <c r="AM542" i="9" s="1"/>
  <c r="AN542" i="9" s="1"/>
  <c r="AJ61" i="9"/>
  <c r="AM61" i="9" s="1"/>
  <c r="AN61" i="9" s="1"/>
  <c r="AJ640" i="9"/>
  <c r="AM640" i="9" s="1"/>
  <c r="AN640" i="9" s="1"/>
  <c r="AJ298" i="9"/>
  <c r="AM298" i="9" s="1"/>
  <c r="AN298" i="9" s="1"/>
  <c r="AJ939" i="9"/>
  <c r="AM939" i="9" s="1"/>
  <c r="AN939" i="9" s="1"/>
  <c r="AJ848" i="9"/>
  <c r="AM848" i="9" s="1"/>
  <c r="AN848" i="9" s="1"/>
  <c r="AJ731" i="9"/>
  <c r="AM731" i="9" s="1"/>
  <c r="AN731" i="9" s="1"/>
  <c r="AJ454" i="9"/>
  <c r="AM454" i="9" s="1"/>
  <c r="AN454" i="9" s="1"/>
  <c r="AJ995" i="9"/>
  <c r="AM995" i="9" s="1"/>
  <c r="AN995" i="9" s="1"/>
  <c r="AJ1018" i="9"/>
  <c r="AM1018" i="9" s="1"/>
  <c r="AN1018" i="9" s="1"/>
  <c r="AJ954" i="9"/>
  <c r="AM954" i="9" s="1"/>
  <c r="AN954" i="9" s="1"/>
  <c r="AJ884" i="9"/>
  <c r="AM884" i="9" s="1"/>
  <c r="AN884" i="9" s="1"/>
  <c r="AJ797" i="9"/>
  <c r="AM797" i="9" s="1"/>
  <c r="AN797" i="9" s="1"/>
  <c r="AJ600" i="9"/>
  <c r="AM600" i="9" s="1"/>
  <c r="AN600" i="9" s="1"/>
  <c r="AJ218" i="9"/>
  <c r="AM218" i="9" s="1"/>
  <c r="AN218" i="9" s="1"/>
  <c r="AJ985" i="9"/>
  <c r="AM985" i="9" s="1"/>
  <c r="AN985" i="9" s="1"/>
  <c r="AJ920" i="9"/>
  <c r="AM920" i="9" s="1"/>
  <c r="AN920" i="9" s="1"/>
  <c r="AJ845" i="9"/>
  <c r="AM845" i="9" s="1"/>
  <c r="AN845" i="9" s="1"/>
  <c r="AJ723" i="9"/>
  <c r="AM723" i="9" s="1"/>
  <c r="AN723" i="9" s="1"/>
  <c r="AJ442" i="9"/>
  <c r="AM442" i="9" s="1"/>
  <c r="AN442" i="9" s="1"/>
  <c r="AJ39" i="9"/>
  <c r="AM39" i="9" s="1"/>
  <c r="AN39" i="9" s="1"/>
  <c r="AJ103" i="9"/>
  <c r="AM103" i="9" s="1"/>
  <c r="AN103" i="9" s="1"/>
  <c r="AJ167" i="9"/>
  <c r="AM167" i="9" s="1"/>
  <c r="AN167" i="9" s="1"/>
  <c r="AJ231" i="9"/>
  <c r="AM231" i="9" s="1"/>
  <c r="AN231" i="9" s="1"/>
  <c r="AJ295" i="9"/>
  <c r="AM295" i="9" s="1"/>
  <c r="AN295" i="9" s="1"/>
  <c r="AJ359" i="9"/>
  <c r="AM359" i="9" s="1"/>
  <c r="AN359" i="9" s="1"/>
  <c r="AJ423" i="9"/>
  <c r="AM423" i="9" s="1"/>
  <c r="AN423" i="9" s="1"/>
  <c r="AJ24" i="9"/>
  <c r="AM24" i="9" s="1"/>
  <c r="AN24" i="9" s="1"/>
  <c r="AJ88" i="9"/>
  <c r="AM88" i="9" s="1"/>
  <c r="AN88" i="9" s="1"/>
  <c r="AJ152" i="9"/>
  <c r="AM152" i="9" s="1"/>
  <c r="AN152" i="9" s="1"/>
  <c r="AJ216" i="9"/>
  <c r="AM216" i="9" s="1"/>
  <c r="AN216" i="9" s="1"/>
  <c r="AJ280" i="9"/>
  <c r="AM280" i="9" s="1"/>
  <c r="AN280" i="9" s="1"/>
  <c r="AJ344" i="9"/>
  <c r="AM344" i="9" s="1"/>
  <c r="AN344" i="9" s="1"/>
  <c r="AJ408" i="9"/>
  <c r="AM408" i="9" s="1"/>
  <c r="AN408" i="9" s="1"/>
  <c r="AJ472" i="9"/>
  <c r="AM472" i="9" s="1"/>
  <c r="AN472" i="9" s="1"/>
  <c r="AJ536" i="9"/>
  <c r="AM536" i="9" s="1"/>
  <c r="AN536" i="9" s="1"/>
  <c r="AJ25" i="9"/>
  <c r="AM25" i="9" s="1"/>
  <c r="AN25" i="9" s="1"/>
  <c r="AJ97" i="9"/>
  <c r="AM97" i="9" s="1"/>
  <c r="AN97" i="9" s="1"/>
  <c r="AJ169" i="9"/>
  <c r="AM169" i="9" s="1"/>
  <c r="AN169" i="9" s="1"/>
  <c r="AJ233" i="9"/>
  <c r="AM233" i="9" s="1"/>
  <c r="AN233" i="9" s="1"/>
  <c r="AJ297" i="9"/>
  <c r="AM297" i="9" s="1"/>
  <c r="AN297" i="9" s="1"/>
  <c r="AJ10" i="9"/>
  <c r="AM10" i="9" s="1"/>
  <c r="AN10" i="9" s="1"/>
  <c r="AJ82" i="9"/>
  <c r="AM82" i="9" s="1"/>
  <c r="AN82" i="9" s="1"/>
  <c r="AJ146" i="9"/>
  <c r="AM146" i="9" s="1"/>
  <c r="AN146" i="9" s="1"/>
  <c r="AJ27" i="9"/>
  <c r="AM27" i="9" s="1"/>
  <c r="AN27" i="9" s="1"/>
  <c r="AJ60" i="9"/>
  <c r="AM60" i="9" s="1"/>
  <c r="AN60" i="9" s="1"/>
  <c r="AJ124" i="9"/>
  <c r="AM124" i="9" s="1"/>
  <c r="AN124" i="9" s="1"/>
  <c r="AJ188" i="9"/>
  <c r="AM188" i="9" s="1"/>
  <c r="AN188" i="9" s="1"/>
  <c r="AJ252" i="9"/>
  <c r="AM252" i="9" s="1"/>
  <c r="AN252" i="9" s="1"/>
  <c r="AJ316" i="9"/>
  <c r="AM316" i="9" s="1"/>
  <c r="AN316" i="9" s="1"/>
  <c r="AJ380" i="9"/>
  <c r="AM380" i="9" s="1"/>
  <c r="AN380" i="9" s="1"/>
  <c r="AJ444" i="9"/>
  <c r="AM444" i="9" s="1"/>
  <c r="AN444" i="9" s="1"/>
  <c r="AJ38" i="9"/>
  <c r="AM38" i="9" s="1"/>
  <c r="AN38" i="9" s="1"/>
  <c r="AJ102" i="9"/>
  <c r="AM102" i="9" s="1"/>
  <c r="AN102" i="9" s="1"/>
  <c r="AJ150" i="9"/>
  <c r="AM150" i="9" s="1"/>
  <c r="AN150" i="9" s="1"/>
  <c r="AJ290" i="9"/>
  <c r="AM290" i="9" s="1"/>
  <c r="AN290" i="9" s="1"/>
  <c r="AJ405" i="9"/>
  <c r="AM405" i="9" s="1"/>
  <c r="AN405" i="9" s="1"/>
  <c r="AJ498" i="9"/>
  <c r="AM498" i="9" s="1"/>
  <c r="AN498" i="9" s="1"/>
  <c r="AJ571" i="9"/>
  <c r="AM571" i="9" s="1"/>
  <c r="AN571" i="9" s="1"/>
  <c r="AJ636" i="9"/>
  <c r="AM636" i="9" s="1"/>
  <c r="AN636" i="9" s="1"/>
  <c r="AJ700" i="9"/>
  <c r="AM700" i="9" s="1"/>
  <c r="AN700" i="9" s="1"/>
  <c r="AJ764" i="9"/>
  <c r="AM764" i="9" s="1"/>
  <c r="AN764" i="9" s="1"/>
  <c r="AJ211" i="9"/>
  <c r="AM211" i="9" s="1"/>
  <c r="AN211" i="9" s="1"/>
  <c r="AJ339" i="9"/>
  <c r="AM339" i="9" s="1"/>
  <c r="AN339" i="9" s="1"/>
  <c r="AJ445" i="9"/>
  <c r="AM445" i="9" s="1"/>
  <c r="AN445" i="9" s="1"/>
  <c r="AJ526" i="9"/>
  <c r="AM526" i="9" s="1"/>
  <c r="AN526" i="9" s="1"/>
  <c r="AJ597" i="9"/>
  <c r="AM597" i="9" s="1"/>
  <c r="AN597" i="9" s="1"/>
  <c r="AJ661" i="9"/>
  <c r="AM661" i="9" s="1"/>
  <c r="AN661" i="9" s="1"/>
  <c r="AJ725" i="9"/>
  <c r="AM725" i="9" s="1"/>
  <c r="AN725" i="9" s="1"/>
  <c r="AJ213" i="9"/>
  <c r="AM213" i="9" s="1"/>
  <c r="AN213" i="9" s="1"/>
  <c r="AJ341" i="9"/>
  <c r="AM341" i="9" s="1"/>
  <c r="AN341" i="9" s="1"/>
  <c r="AJ446" i="9"/>
  <c r="AM446" i="9" s="1"/>
  <c r="AN446" i="9" s="1"/>
  <c r="AJ527" i="9"/>
  <c r="AM527" i="9" s="1"/>
  <c r="AN527" i="9" s="1"/>
  <c r="AJ598" i="9"/>
  <c r="AM598" i="9" s="1"/>
  <c r="AN598" i="9" s="1"/>
  <c r="AJ662" i="9"/>
  <c r="AM662" i="9" s="1"/>
  <c r="AN662" i="9" s="1"/>
  <c r="AJ726" i="9"/>
  <c r="AM726" i="9" s="1"/>
  <c r="AN726" i="9" s="1"/>
  <c r="AJ77" i="9"/>
  <c r="AM77" i="9" s="1"/>
  <c r="AN77" i="9" s="1"/>
  <c r="AJ246" i="9"/>
  <c r="AM246" i="9" s="1"/>
  <c r="AN246" i="9" s="1"/>
  <c r="AJ852" i="9"/>
  <c r="AM852" i="9" s="1"/>
  <c r="AN852" i="9" s="1"/>
  <c r="AJ1013" i="9"/>
  <c r="AM1013" i="9" s="1"/>
  <c r="AN1013" i="9" s="1"/>
  <c r="AJ933" i="9"/>
  <c r="AM933" i="9" s="1"/>
  <c r="AN933" i="9" s="1"/>
  <c r="AJ860" i="9"/>
  <c r="AM860" i="9" s="1"/>
  <c r="AN860" i="9" s="1"/>
  <c r="AJ757" i="9"/>
  <c r="AM757" i="9" s="1"/>
  <c r="AN757" i="9" s="1"/>
  <c r="AJ506" i="9"/>
  <c r="AM506" i="9" s="1"/>
  <c r="AN506" i="9" s="1"/>
  <c r="AJ800" i="9"/>
  <c r="AM800" i="9" s="1"/>
  <c r="AN800" i="9" s="1"/>
  <c r="AJ608" i="9"/>
  <c r="AM608" i="9" s="1"/>
  <c r="AN608" i="9" s="1"/>
  <c r="AJ234" i="9"/>
  <c r="AM234" i="9" s="1"/>
  <c r="AN234" i="9" s="1"/>
  <c r="AJ922" i="9"/>
  <c r="AM922" i="9" s="1"/>
  <c r="AN922" i="9" s="1"/>
  <c r="AJ837" i="9"/>
  <c r="AM837" i="9" s="1"/>
  <c r="AN837" i="9" s="1"/>
  <c r="AJ699" i="9"/>
  <c r="AM699" i="9" s="1"/>
  <c r="AN699" i="9" s="1"/>
  <c r="AJ403" i="9"/>
  <c r="AM403" i="9" s="1"/>
  <c r="AN403" i="9" s="1"/>
  <c r="AJ979" i="9"/>
  <c r="AM979" i="9" s="1"/>
  <c r="AN979" i="9" s="1"/>
  <c r="AJ1010" i="9"/>
  <c r="AM1010" i="9" s="1"/>
  <c r="AN1010" i="9" s="1"/>
  <c r="AJ946" i="9"/>
  <c r="AM946" i="9" s="1"/>
  <c r="AN946" i="9" s="1"/>
  <c r="AJ875" i="9"/>
  <c r="AM875" i="9" s="1"/>
  <c r="AN875" i="9" s="1"/>
  <c r="AJ784" i="9"/>
  <c r="AM784" i="9" s="1"/>
  <c r="AN784" i="9" s="1"/>
  <c r="AJ566" i="9"/>
  <c r="AM566" i="9" s="1"/>
  <c r="AN566" i="9" s="1"/>
  <c r="AJ141" i="9"/>
  <c r="AM141" i="9" s="1"/>
  <c r="AN141" i="9" s="1"/>
  <c r="AJ977" i="9"/>
  <c r="AM977" i="9" s="1"/>
  <c r="AN977" i="9" s="1"/>
  <c r="AJ910" i="9"/>
  <c r="AM910" i="9" s="1"/>
  <c r="AN910" i="9" s="1"/>
  <c r="AJ835" i="9"/>
  <c r="AM835" i="9" s="1"/>
  <c r="AN835" i="9" s="1"/>
  <c r="AJ691" i="9"/>
  <c r="AM691" i="9" s="1"/>
  <c r="AN691" i="9" s="1"/>
  <c r="AJ390" i="9"/>
  <c r="AM390" i="9" s="1"/>
  <c r="AN390" i="9" s="1"/>
  <c r="AJ47" i="9"/>
  <c r="AM47" i="9" s="1"/>
  <c r="AN47" i="9" s="1"/>
  <c r="AJ111" i="9"/>
  <c r="AM111" i="9" s="1"/>
  <c r="AN111" i="9" s="1"/>
  <c r="AJ175" i="9"/>
  <c r="AM175" i="9" s="1"/>
  <c r="AN175" i="9" s="1"/>
  <c r="AJ239" i="9"/>
  <c r="AM239" i="9" s="1"/>
  <c r="AN239" i="9" s="1"/>
  <c r="AJ303" i="9"/>
  <c r="AM303" i="9" s="1"/>
  <c r="AN303" i="9" s="1"/>
  <c r="AJ367" i="9"/>
  <c r="AM367" i="9" s="1"/>
  <c r="AN367" i="9" s="1"/>
  <c r="AJ431" i="9"/>
  <c r="AM431" i="9" s="1"/>
  <c r="AN431" i="9" s="1"/>
  <c r="AJ32" i="9"/>
  <c r="AM32" i="9" s="1"/>
  <c r="AN32" i="9" s="1"/>
  <c r="AJ96" i="9"/>
  <c r="AM96" i="9" s="1"/>
  <c r="AN96" i="9" s="1"/>
  <c r="AJ160" i="9"/>
  <c r="AM160" i="9" s="1"/>
  <c r="AN160" i="9" s="1"/>
  <c r="AJ224" i="9"/>
  <c r="AM224" i="9" s="1"/>
  <c r="AN224" i="9" s="1"/>
  <c r="AJ288" i="9"/>
  <c r="AM288" i="9" s="1"/>
  <c r="AN288" i="9" s="1"/>
  <c r="AJ352" i="9"/>
  <c r="AM352" i="9" s="1"/>
  <c r="AN352" i="9" s="1"/>
  <c r="AJ416" i="9"/>
  <c r="AM416" i="9" s="1"/>
  <c r="AN416" i="9" s="1"/>
  <c r="AJ480" i="9"/>
  <c r="AM480" i="9" s="1"/>
  <c r="AN480" i="9" s="1"/>
  <c r="AJ544" i="9"/>
  <c r="AM544" i="9" s="1"/>
  <c r="AN544" i="9" s="1"/>
  <c r="AJ33" i="9"/>
  <c r="AM33" i="9" s="1"/>
  <c r="AN33" i="9" s="1"/>
  <c r="AJ105" i="9"/>
  <c r="AM105" i="9" s="1"/>
  <c r="AN105" i="9" s="1"/>
  <c r="AJ177" i="9"/>
  <c r="AM177" i="9" s="1"/>
  <c r="AN177" i="9" s="1"/>
  <c r="AJ241" i="9"/>
  <c r="AM241" i="9" s="1"/>
  <c r="AN241" i="9" s="1"/>
  <c r="AJ305" i="9"/>
  <c r="AM305" i="9" s="1"/>
  <c r="AN305" i="9" s="1"/>
  <c r="AJ18" i="9"/>
  <c r="AM18" i="9" s="1"/>
  <c r="AN18" i="9" s="1"/>
  <c r="AJ90" i="9"/>
  <c r="AM90" i="9" s="1"/>
  <c r="AN90" i="9" s="1"/>
  <c r="AJ154" i="9"/>
  <c r="AM154" i="9" s="1"/>
  <c r="AN154" i="9" s="1"/>
  <c r="AJ43" i="9"/>
  <c r="AM43" i="9" s="1"/>
  <c r="AN43" i="9" s="1"/>
  <c r="AJ68" i="9"/>
  <c r="AM68" i="9" s="1"/>
  <c r="AN68" i="9" s="1"/>
  <c r="AJ132" i="9"/>
  <c r="AM132" i="9" s="1"/>
  <c r="AN132" i="9" s="1"/>
  <c r="AJ196" i="9"/>
  <c r="AM196" i="9" s="1"/>
  <c r="AN196" i="9" s="1"/>
  <c r="AJ260" i="9"/>
  <c r="AM260" i="9" s="1"/>
  <c r="AN260" i="9" s="1"/>
  <c r="AJ324" i="9"/>
  <c r="AM324" i="9" s="1"/>
  <c r="AN324" i="9" s="1"/>
  <c r="AJ388" i="9"/>
  <c r="AM388" i="9" s="1"/>
  <c r="AN388" i="9" s="1"/>
  <c r="AJ452" i="9"/>
  <c r="AM452" i="9" s="1"/>
  <c r="AN452" i="9" s="1"/>
  <c r="AJ46" i="9"/>
  <c r="AM46" i="9" s="1"/>
  <c r="AN46" i="9" s="1"/>
  <c r="AJ110" i="9"/>
  <c r="AM110" i="9" s="1"/>
  <c r="AN110" i="9" s="1"/>
  <c r="AJ173" i="9"/>
  <c r="AM173" i="9" s="1"/>
  <c r="AN173" i="9" s="1"/>
  <c r="AJ306" i="9"/>
  <c r="AM306" i="9" s="1"/>
  <c r="AN306" i="9" s="1"/>
  <c r="AJ418" i="9"/>
  <c r="AM418" i="9" s="1"/>
  <c r="AN418" i="9" s="1"/>
  <c r="AJ507" i="9"/>
  <c r="AM507" i="9" s="1"/>
  <c r="AN507" i="9" s="1"/>
  <c r="AJ580" i="9"/>
  <c r="AM580" i="9" s="1"/>
  <c r="AN580" i="9" s="1"/>
  <c r="AJ644" i="9"/>
  <c r="AM644" i="9" s="1"/>
  <c r="AN644" i="9" s="1"/>
  <c r="AJ708" i="9"/>
  <c r="AM708" i="9" s="1"/>
  <c r="AN708" i="9" s="1"/>
  <c r="AJ29" i="9"/>
  <c r="AM29" i="9" s="1"/>
  <c r="AN29" i="9" s="1"/>
  <c r="AJ227" i="9"/>
  <c r="AM227" i="9" s="1"/>
  <c r="AN227" i="9" s="1"/>
  <c r="AJ355" i="9"/>
  <c r="AM355" i="9" s="1"/>
  <c r="AN355" i="9" s="1"/>
  <c r="AJ458" i="9"/>
  <c r="AM458" i="9" s="1"/>
  <c r="AN458" i="9" s="1"/>
  <c r="AJ535" i="9"/>
  <c r="AM535" i="9" s="1"/>
  <c r="AN535" i="9" s="1"/>
  <c r="AJ605" i="9"/>
  <c r="AM605" i="9" s="1"/>
  <c r="AN605" i="9" s="1"/>
  <c r="AJ669" i="9"/>
  <c r="AM669" i="9" s="1"/>
  <c r="AN669" i="9" s="1"/>
  <c r="AJ37" i="9"/>
  <c r="AM37" i="9" s="1"/>
  <c r="AN37" i="9" s="1"/>
  <c r="AJ229" i="9"/>
  <c r="AM229" i="9" s="1"/>
  <c r="AN229" i="9" s="1"/>
  <c r="AJ357" i="9"/>
  <c r="AM357" i="9" s="1"/>
  <c r="AN357" i="9" s="1"/>
  <c r="AJ459" i="9"/>
  <c r="AM459" i="9" s="1"/>
  <c r="AN459" i="9" s="1"/>
  <c r="AJ537" i="9"/>
  <c r="AM537" i="9" s="1"/>
  <c r="AN537" i="9" s="1"/>
  <c r="AJ606" i="9"/>
  <c r="AM606" i="9" s="1"/>
  <c r="AN606" i="9" s="1"/>
  <c r="AJ670" i="9"/>
  <c r="AM670" i="9" s="1"/>
  <c r="AN670" i="9" s="1"/>
  <c r="AJ734" i="9"/>
  <c r="AM734" i="9" s="1"/>
  <c r="AN734" i="9" s="1"/>
  <c r="AJ109" i="9"/>
  <c r="AM109" i="9" s="1"/>
  <c r="AN109" i="9" s="1"/>
  <c r="AJ262" i="9"/>
  <c r="AM262" i="9" s="1"/>
  <c r="AN262" i="9" s="1"/>
  <c r="AJ385" i="9"/>
  <c r="AM385" i="9" s="1"/>
  <c r="AN385" i="9" s="1"/>
  <c r="AJ483" i="9"/>
  <c r="AM483" i="9" s="1"/>
  <c r="AN483" i="9" s="1"/>
  <c r="AJ841" i="9"/>
  <c r="AM841" i="9" s="1"/>
  <c r="AN841" i="9" s="1"/>
  <c r="AJ997" i="9"/>
  <c r="AM997" i="9" s="1"/>
  <c r="AN997" i="9" s="1"/>
  <c r="AJ924" i="9"/>
  <c r="AM924" i="9" s="1"/>
  <c r="AN924" i="9" s="1"/>
  <c r="AJ851" i="9"/>
  <c r="AM851" i="9" s="1"/>
  <c r="AN851" i="9" s="1"/>
  <c r="AJ736" i="9"/>
  <c r="AM736" i="9" s="1"/>
  <c r="AN736" i="9" s="1"/>
  <c r="AJ425" i="9"/>
  <c r="AM425" i="9" s="1"/>
  <c r="AN425" i="9" s="1"/>
  <c r="AJ989" i="9"/>
  <c r="AM989" i="9" s="1"/>
  <c r="AN989" i="9" s="1"/>
  <c r="AJ915" i="9"/>
  <c r="AM915" i="9" s="1"/>
  <c r="AN915" i="9" s="1"/>
  <c r="AJ840" i="9"/>
  <c r="AM840" i="9" s="1"/>
  <c r="AN840" i="9" s="1"/>
  <c r="AJ707" i="9"/>
  <c r="AM707" i="9" s="1"/>
  <c r="AN707" i="9" s="1"/>
  <c r="AJ417" i="9"/>
  <c r="AM417" i="9" s="1"/>
  <c r="AN417" i="9" s="1"/>
  <c r="AJ773" i="9"/>
  <c r="AM773" i="9" s="1"/>
  <c r="AN773" i="9" s="1"/>
  <c r="AJ539" i="9"/>
  <c r="AM539" i="9" s="1"/>
  <c r="AN539" i="9" s="1"/>
  <c r="AJ51" i="9"/>
  <c r="AM51" i="9" s="1"/>
  <c r="AN51" i="9" s="1"/>
  <c r="AJ894" i="9"/>
  <c r="AM894" i="9" s="1"/>
  <c r="AN894" i="9" s="1"/>
  <c r="AJ812" i="9"/>
  <c r="AM812" i="9" s="1"/>
  <c r="AN812" i="9" s="1"/>
  <c r="AJ635" i="9"/>
  <c r="AM635" i="9" s="1"/>
  <c r="AN635" i="9" s="1"/>
  <c r="AJ286" i="9"/>
  <c r="AM286" i="9" s="1"/>
  <c r="AN286" i="9" s="1"/>
  <c r="AJ947" i="9"/>
  <c r="AM947" i="9" s="1"/>
  <c r="AN947" i="9" s="1"/>
  <c r="AJ994" i="9"/>
  <c r="AM994" i="9" s="1"/>
  <c r="AN994" i="9" s="1"/>
  <c r="AJ930" i="9"/>
  <c r="AM930" i="9" s="1"/>
  <c r="AN930" i="9" s="1"/>
  <c r="AJ857" i="9"/>
  <c r="AM857" i="9" s="1"/>
  <c r="AN857" i="9" s="1"/>
  <c r="AJ749" i="9"/>
  <c r="AM749" i="9" s="1"/>
  <c r="AN749" i="9" s="1"/>
  <c r="AJ493" i="9"/>
  <c r="AM493" i="9" s="1"/>
  <c r="AN493" i="9" s="1"/>
  <c r="AJ1025" i="9"/>
  <c r="AM1025" i="9" s="1"/>
  <c r="AN1025" i="9" s="1"/>
  <c r="AJ961" i="9"/>
  <c r="AM961" i="9" s="1"/>
  <c r="AN961" i="9" s="1"/>
  <c r="AJ892" i="9"/>
  <c r="AM892" i="9" s="1"/>
  <c r="AN892" i="9" s="1"/>
  <c r="AJ808" i="9"/>
  <c r="AM808" i="9" s="1"/>
  <c r="AN808" i="9" s="1"/>
  <c r="AJ627" i="9"/>
  <c r="AM627" i="9" s="1"/>
  <c r="AN627" i="9" s="1"/>
  <c r="AJ270" i="9"/>
  <c r="AM270" i="9" s="1"/>
  <c r="AN270" i="9" s="1"/>
  <c r="AJ63" i="9"/>
  <c r="AM63" i="9" s="1"/>
  <c r="AN63" i="9" s="1"/>
  <c r="AJ127" i="9"/>
  <c r="AM127" i="9" s="1"/>
  <c r="AN127" i="9" s="1"/>
  <c r="AJ191" i="9"/>
  <c r="AM191" i="9" s="1"/>
  <c r="AN191" i="9" s="1"/>
  <c r="AJ255" i="9"/>
  <c r="AM255" i="9" s="1"/>
  <c r="AN255" i="9" s="1"/>
  <c r="AJ319" i="9"/>
  <c r="AM319" i="9" s="1"/>
  <c r="AN319" i="9" s="1"/>
  <c r="AJ383" i="9"/>
  <c r="AM383" i="9" s="1"/>
  <c r="AN383" i="9" s="1"/>
  <c r="AJ447" i="9"/>
  <c r="AM447" i="9" s="1"/>
  <c r="AN447" i="9" s="1"/>
  <c r="AJ48" i="9"/>
  <c r="AM48" i="9" s="1"/>
  <c r="AN48" i="9" s="1"/>
  <c r="AJ112" i="9"/>
  <c r="AM112" i="9" s="1"/>
  <c r="AN112" i="9" s="1"/>
  <c r="AJ176" i="9"/>
  <c r="AM176" i="9" s="1"/>
  <c r="AN176" i="9" s="1"/>
  <c r="AJ240" i="9"/>
  <c r="AM240" i="9" s="1"/>
  <c r="AN240" i="9" s="1"/>
  <c r="AJ304" i="9"/>
  <c r="AM304" i="9" s="1"/>
  <c r="AN304" i="9" s="1"/>
  <c r="AJ368" i="9"/>
  <c r="AM368" i="9" s="1"/>
  <c r="AN368" i="9" s="1"/>
  <c r="AJ432" i="9"/>
  <c r="AM432" i="9" s="1"/>
  <c r="AN432" i="9" s="1"/>
  <c r="AJ496" i="9"/>
  <c r="AM496" i="9" s="1"/>
  <c r="AN496" i="9" s="1"/>
  <c r="AJ560" i="9"/>
  <c r="AM560" i="9" s="1"/>
  <c r="AN560" i="9" s="1"/>
  <c r="AJ49" i="9"/>
  <c r="AM49" i="9" s="1"/>
  <c r="AN49" i="9" s="1"/>
  <c r="AJ129" i="9"/>
  <c r="AM129" i="9" s="1"/>
  <c r="AN129" i="9" s="1"/>
  <c r="AJ193" i="9"/>
  <c r="AM193" i="9" s="1"/>
  <c r="AN193" i="9" s="1"/>
  <c r="AJ257" i="9"/>
  <c r="AM257" i="9" s="1"/>
  <c r="AN257" i="9" s="1"/>
  <c r="AJ321" i="9"/>
  <c r="AM321" i="9" s="1"/>
  <c r="AN321" i="9" s="1"/>
  <c r="AJ42" i="9"/>
  <c r="AM42" i="9" s="1"/>
  <c r="AN42" i="9" s="1"/>
  <c r="AJ106" i="9"/>
  <c r="AM106" i="9" s="1"/>
  <c r="AN106" i="9" s="1"/>
  <c r="AJ170" i="9"/>
  <c r="AM170" i="9" s="1"/>
  <c r="AN170" i="9" s="1"/>
  <c r="AJ20" i="9"/>
  <c r="AM20" i="9" s="1"/>
  <c r="AN20" i="9" s="1"/>
  <c r="AJ84" i="9"/>
  <c r="AM84" i="9" s="1"/>
  <c r="AN84" i="9" s="1"/>
  <c r="AJ148" i="9"/>
  <c r="AM148" i="9" s="1"/>
  <c r="AN148" i="9" s="1"/>
  <c r="AJ212" i="9"/>
  <c r="AM212" i="9" s="1"/>
  <c r="AN212" i="9" s="1"/>
  <c r="AJ276" i="9"/>
  <c r="AM276" i="9" s="1"/>
  <c r="AN276" i="9" s="1"/>
  <c r="AJ340" i="9"/>
  <c r="AM340" i="9" s="1"/>
  <c r="AN340" i="9" s="1"/>
  <c r="AJ404" i="9"/>
  <c r="AM404" i="9" s="1"/>
  <c r="AN404" i="9" s="1"/>
  <c r="AJ468" i="9"/>
  <c r="AM468" i="9" s="1"/>
  <c r="AN468" i="9" s="1"/>
  <c r="AJ62" i="9"/>
  <c r="AM62" i="9" s="1"/>
  <c r="AN62" i="9" s="1"/>
  <c r="AJ126" i="9"/>
  <c r="AM126" i="9" s="1"/>
  <c r="AN126" i="9" s="1"/>
  <c r="AJ210" i="9"/>
  <c r="AM210" i="9" s="1"/>
  <c r="AN210" i="9" s="1"/>
  <c r="AJ338" i="9"/>
  <c r="AM338" i="9" s="1"/>
  <c r="AN338" i="9" s="1"/>
  <c r="AJ443" i="9"/>
  <c r="AM443" i="9" s="1"/>
  <c r="AN443" i="9" s="1"/>
  <c r="AJ525" i="9"/>
  <c r="AM525" i="9" s="1"/>
  <c r="AN525" i="9" s="1"/>
  <c r="AJ596" i="9"/>
  <c r="AM596" i="9" s="1"/>
  <c r="AN596" i="9" s="1"/>
  <c r="AJ660" i="9"/>
  <c r="AM660" i="9" s="1"/>
  <c r="AN660" i="9" s="1"/>
  <c r="AJ724" i="9"/>
  <c r="AM724" i="9" s="1"/>
  <c r="AN724" i="9" s="1"/>
  <c r="AJ101" i="9"/>
  <c r="AM101" i="9" s="1"/>
  <c r="AN101" i="9" s="1"/>
  <c r="AJ259" i="9"/>
  <c r="AM259" i="9" s="1"/>
  <c r="AN259" i="9" s="1"/>
  <c r="AJ381" i="9"/>
  <c r="AM381" i="9" s="1"/>
  <c r="AN381" i="9" s="1"/>
  <c r="AJ481" i="9"/>
  <c r="AM481" i="9" s="1"/>
  <c r="AN481" i="9" s="1"/>
  <c r="AJ554" i="9"/>
  <c r="AM554" i="9" s="1"/>
  <c r="AN554" i="9" s="1"/>
  <c r="AJ621" i="9"/>
  <c r="AM621" i="9" s="1"/>
  <c r="AN621" i="9" s="1"/>
  <c r="AJ685" i="9"/>
  <c r="AM685" i="9" s="1"/>
  <c r="AN685" i="9" s="1"/>
  <c r="AJ107" i="9"/>
  <c r="AM107" i="9" s="1"/>
  <c r="AN107" i="9" s="1"/>
  <c r="AJ261" i="9"/>
  <c r="AM261" i="9" s="1"/>
  <c r="AN261" i="9" s="1"/>
  <c r="AJ382" i="9"/>
  <c r="AM382" i="9" s="1"/>
  <c r="AN382" i="9" s="1"/>
  <c r="AJ482" i="9"/>
  <c r="AM482" i="9" s="1"/>
  <c r="AN482" i="9" s="1"/>
  <c r="AJ555" i="9"/>
  <c r="AM555" i="9" s="1"/>
  <c r="AN555" i="9" s="1"/>
  <c r="AJ622" i="9"/>
  <c r="AM622" i="9" s="1"/>
  <c r="AN622" i="9" s="1"/>
  <c r="AJ373" i="9"/>
  <c r="AM373" i="9" s="1"/>
  <c r="AN373" i="9" s="1"/>
  <c r="AJ981" i="9"/>
  <c r="AM981" i="9" s="1"/>
  <c r="AN981" i="9" s="1"/>
  <c r="AJ906" i="9"/>
  <c r="AM906" i="9" s="1"/>
  <c r="AN906" i="9" s="1"/>
  <c r="AJ828" i="9"/>
  <c r="AM828" i="9" s="1"/>
  <c r="AN828" i="9" s="1"/>
  <c r="AJ675" i="9"/>
  <c r="AM675" i="9" s="1"/>
  <c r="AN675" i="9" s="1"/>
  <c r="AJ365" i="9"/>
  <c r="AM365" i="9" s="1"/>
  <c r="AN365" i="9" s="1"/>
  <c r="AJ755" i="9"/>
  <c r="AM755" i="9" s="1"/>
  <c r="AN755" i="9" s="1"/>
  <c r="AJ502" i="9"/>
  <c r="AM502" i="9" s="1"/>
  <c r="AN502" i="9" s="1"/>
  <c r="AJ1003" i="9"/>
  <c r="AM1003" i="9" s="1"/>
  <c r="AN1003" i="9" s="1"/>
  <c r="AJ885" i="9"/>
  <c r="AM885" i="9" s="1"/>
  <c r="AN885" i="9" s="1"/>
  <c r="AJ798" i="9"/>
  <c r="AM798" i="9" s="1"/>
  <c r="AN798" i="9" s="1"/>
  <c r="AJ603" i="9"/>
  <c r="AM603" i="9" s="1"/>
  <c r="AN603" i="9" s="1"/>
  <c r="AJ222" i="9"/>
  <c r="AM222" i="9" s="1"/>
  <c r="AN222" i="9" s="1"/>
  <c r="AJ931" i="9"/>
  <c r="AM931" i="9" s="1"/>
  <c r="AN931" i="9" s="1"/>
  <c r="AJ986" i="9"/>
  <c r="AM986" i="9" s="1"/>
  <c r="AN986" i="9" s="1"/>
  <c r="AJ921" i="9"/>
  <c r="AM921" i="9" s="1"/>
  <c r="AN921" i="9" s="1"/>
  <c r="AJ846" i="9"/>
  <c r="AM846" i="9" s="1"/>
  <c r="AN846" i="9" s="1"/>
  <c r="AJ728" i="9"/>
  <c r="AM728" i="9" s="1"/>
  <c r="AN728" i="9" s="1"/>
  <c r="AJ450" i="9"/>
  <c r="AM450" i="9" s="1"/>
  <c r="AN450" i="9" s="1"/>
  <c r="AJ1017" i="9"/>
  <c r="AM1017" i="9" s="1"/>
  <c r="AN1017" i="9" s="1"/>
  <c r="AJ953" i="9"/>
  <c r="AM953" i="9" s="1"/>
  <c r="AN953" i="9" s="1"/>
  <c r="AJ883" i="9"/>
  <c r="AM883" i="9" s="1"/>
  <c r="AN883" i="9" s="1"/>
  <c r="AJ796" i="9"/>
  <c r="AM796" i="9" s="1"/>
  <c r="AN796" i="9" s="1"/>
  <c r="AJ595" i="9"/>
  <c r="AM595" i="9" s="1"/>
  <c r="AN595" i="9" s="1"/>
  <c r="AJ206" i="9"/>
  <c r="AM206" i="9" s="1"/>
  <c r="AN206" i="9" s="1"/>
  <c r="AJ71" i="9"/>
  <c r="AM71" i="9" s="1"/>
  <c r="AN71" i="9" s="1"/>
  <c r="AJ135" i="9"/>
  <c r="AM135" i="9" s="1"/>
  <c r="AN135" i="9" s="1"/>
  <c r="AJ199" i="9"/>
  <c r="AM199" i="9" s="1"/>
  <c r="AN199" i="9" s="1"/>
  <c r="AJ263" i="9"/>
  <c r="AM263" i="9" s="1"/>
  <c r="AN263" i="9" s="1"/>
  <c r="AJ327" i="9"/>
  <c r="AM327" i="9" s="1"/>
  <c r="AN327" i="9" s="1"/>
  <c r="AJ391" i="9"/>
  <c r="AM391" i="9" s="1"/>
  <c r="AN391" i="9" s="1"/>
  <c r="AJ455" i="9"/>
  <c r="AM455" i="9" s="1"/>
  <c r="AN455" i="9" s="1"/>
  <c r="AJ56" i="9"/>
  <c r="AM56" i="9" s="1"/>
  <c r="AN56" i="9" s="1"/>
  <c r="AJ120" i="9"/>
  <c r="AM120" i="9" s="1"/>
  <c r="AN120" i="9" s="1"/>
  <c r="AJ184" i="9"/>
  <c r="AM184" i="9" s="1"/>
  <c r="AN184" i="9" s="1"/>
  <c r="AJ248" i="9"/>
  <c r="AM248" i="9" s="1"/>
  <c r="AN248" i="9" s="1"/>
  <c r="AJ312" i="9"/>
  <c r="AM312" i="9" s="1"/>
  <c r="AN312" i="9" s="1"/>
  <c r="AJ376" i="9"/>
  <c r="AM376" i="9" s="1"/>
  <c r="AN376" i="9" s="1"/>
  <c r="AJ440" i="9"/>
  <c r="AM440" i="9" s="1"/>
  <c r="AN440" i="9" s="1"/>
  <c r="AJ504" i="9"/>
  <c r="AM504" i="9" s="1"/>
  <c r="AN504" i="9" s="1"/>
  <c r="AJ568" i="9"/>
  <c r="AM568" i="9" s="1"/>
  <c r="AN568" i="9" s="1"/>
  <c r="AJ57" i="9"/>
  <c r="AM57" i="9" s="1"/>
  <c r="AN57" i="9" s="1"/>
  <c r="AJ137" i="9"/>
  <c r="AM137" i="9" s="1"/>
  <c r="AN137" i="9" s="1"/>
  <c r="AJ201" i="9"/>
  <c r="AM201" i="9" s="1"/>
  <c r="AN201" i="9" s="1"/>
  <c r="AJ265" i="9"/>
  <c r="AM265" i="9" s="1"/>
  <c r="AN265" i="9" s="1"/>
  <c r="AJ329" i="9"/>
  <c r="AM329" i="9" s="1"/>
  <c r="AN329" i="9" s="1"/>
  <c r="AJ50" i="9"/>
  <c r="AM50" i="9" s="1"/>
  <c r="AN50" i="9" s="1"/>
  <c r="AJ114" i="9"/>
  <c r="AM114" i="9" s="1"/>
  <c r="AN114" i="9" s="1"/>
  <c r="AJ178" i="9"/>
  <c r="AM178" i="9" s="1"/>
  <c r="AN178" i="9" s="1"/>
  <c r="AJ28" i="9"/>
  <c r="AM28" i="9" s="1"/>
  <c r="AN28" i="9" s="1"/>
  <c r="AJ92" i="9"/>
  <c r="AM92" i="9" s="1"/>
  <c r="AN92" i="9" s="1"/>
  <c r="AJ156" i="9"/>
  <c r="AM156" i="9" s="1"/>
  <c r="AN156" i="9" s="1"/>
  <c r="AJ220" i="9"/>
  <c r="AM220" i="9" s="1"/>
  <c r="AN220" i="9" s="1"/>
  <c r="AJ284" i="9"/>
  <c r="AM284" i="9" s="1"/>
  <c r="AN284" i="9" s="1"/>
  <c r="AJ348" i="9"/>
  <c r="AM348" i="9" s="1"/>
  <c r="AN348" i="9" s="1"/>
  <c r="AJ412" i="9"/>
  <c r="AM412" i="9" s="1"/>
  <c r="AN412" i="9" s="1"/>
  <c r="AJ476" i="9"/>
  <c r="AM476" i="9" s="1"/>
  <c r="AN476" i="9" s="1"/>
  <c r="AJ70" i="9"/>
  <c r="AM70" i="9" s="1"/>
  <c r="AN70" i="9" s="1"/>
  <c r="AJ21" i="9"/>
  <c r="AM21" i="9" s="1"/>
  <c r="AN21" i="9" s="1"/>
  <c r="AJ226" i="9"/>
  <c r="AM226" i="9" s="1"/>
  <c r="AN226" i="9" s="1"/>
  <c r="AJ354" i="9"/>
  <c r="AM354" i="9" s="1"/>
  <c r="AN354" i="9" s="1"/>
  <c r="AJ457" i="9"/>
  <c r="AM457" i="9" s="1"/>
  <c r="AN457" i="9" s="1"/>
  <c r="AJ534" i="9"/>
  <c r="AM534" i="9" s="1"/>
  <c r="AN534" i="9" s="1"/>
  <c r="AJ604" i="9"/>
  <c r="AM604" i="9" s="1"/>
  <c r="AN604" i="9" s="1"/>
  <c r="AJ668" i="9"/>
  <c r="AM668" i="9" s="1"/>
  <c r="AN668" i="9" s="1"/>
  <c r="AJ732" i="9"/>
  <c r="AM732" i="9" s="1"/>
  <c r="AN732" i="9" s="1"/>
  <c r="AJ133" i="9"/>
  <c r="AM133" i="9" s="1"/>
  <c r="AN133" i="9" s="1"/>
  <c r="AJ275" i="9"/>
  <c r="AM275" i="9" s="1"/>
  <c r="AN275" i="9" s="1"/>
  <c r="AJ394" i="9"/>
  <c r="AM394" i="9" s="1"/>
  <c r="AN394" i="9" s="1"/>
  <c r="AJ490" i="9"/>
  <c r="AM490" i="9" s="1"/>
  <c r="AN490" i="9" s="1"/>
  <c r="AJ563" i="9"/>
  <c r="AM563" i="9" s="1"/>
  <c r="AN563" i="9" s="1"/>
  <c r="AJ629" i="9"/>
  <c r="AM629" i="9" s="1"/>
  <c r="AN629" i="9" s="1"/>
  <c r="AJ693" i="9"/>
  <c r="AM693" i="9" s="1"/>
  <c r="AN693" i="9" s="1"/>
  <c r="AJ134" i="9"/>
  <c r="AM134" i="9" s="1"/>
  <c r="AN134" i="9" s="1"/>
  <c r="AJ277" i="9"/>
  <c r="AM277" i="9" s="1"/>
  <c r="AN277" i="9" s="1"/>
  <c r="AJ395" i="9"/>
  <c r="AM395" i="9" s="1"/>
  <c r="AN395" i="9" s="1"/>
  <c r="AJ491" i="9"/>
  <c r="AM491" i="9" s="1"/>
  <c r="AN491" i="9" s="1"/>
  <c r="AJ564" i="9"/>
  <c r="AM564" i="9" s="1"/>
  <c r="AN564" i="9" s="1"/>
  <c r="AJ630" i="9"/>
  <c r="AM630" i="9" s="1"/>
  <c r="AN630" i="9" s="1"/>
  <c r="AJ694" i="9"/>
  <c r="AM694" i="9" s="1"/>
  <c r="AN694" i="9" s="1"/>
  <c r="AJ758" i="9"/>
  <c r="AM758" i="9" s="1"/>
  <c r="AN758" i="9" s="1"/>
  <c r="AJ181" i="9"/>
  <c r="AM181" i="9" s="1"/>
  <c r="AN181" i="9" s="1"/>
  <c r="AJ310" i="9"/>
  <c r="AM310" i="9" s="1"/>
  <c r="AN310" i="9" s="1"/>
  <c r="AJ976" i="9"/>
  <c r="AM976" i="9" s="1"/>
  <c r="AN976" i="9" s="1"/>
  <c r="AJ594" i="9"/>
  <c r="AM594" i="9" s="1"/>
  <c r="AN594" i="9" s="1"/>
  <c r="AJ825" i="9"/>
  <c r="AM825" i="9" s="1"/>
  <c r="AN825" i="9" s="1"/>
  <c r="AJ494" i="9"/>
  <c r="AM494" i="9" s="1"/>
  <c r="AN494" i="9" s="1"/>
  <c r="AJ765" i="9"/>
  <c r="AM765" i="9" s="1"/>
  <c r="AN765" i="9" s="1"/>
  <c r="AJ936" i="9"/>
  <c r="AM936" i="9" s="1"/>
  <c r="AN936" i="9" s="1"/>
  <c r="AJ762" i="9"/>
  <c r="AM762" i="9" s="1"/>
  <c r="AN762" i="9" s="1"/>
  <c r="AJ569" i="9"/>
  <c r="AM569" i="9" s="1"/>
  <c r="AN569" i="9" s="1"/>
  <c r="AJ285" i="9"/>
  <c r="AM285" i="9" s="1"/>
  <c r="AN285" i="9" s="1"/>
  <c r="AJ737" i="9"/>
  <c r="AM737" i="9" s="1"/>
  <c r="AN737" i="9" s="1"/>
  <c r="AJ540" i="9"/>
  <c r="AM540" i="9" s="1"/>
  <c r="AN540" i="9" s="1"/>
  <c r="AJ235" i="9"/>
  <c r="AM235" i="9" s="1"/>
  <c r="AN235" i="9" s="1"/>
  <c r="AJ807" i="9"/>
  <c r="AM807" i="9" s="1"/>
  <c r="AN807" i="9" s="1"/>
  <c r="AJ615" i="9"/>
  <c r="AM615" i="9" s="1"/>
  <c r="AN615" i="9" s="1"/>
  <c r="AJ638" i="9"/>
  <c r="AM638" i="9" s="1"/>
  <c r="AN638" i="9" s="1"/>
  <c r="AJ543" i="9"/>
  <c r="AM543" i="9" s="1"/>
  <c r="AN543" i="9" s="1"/>
  <c r="AJ592" i="9"/>
  <c r="AM592" i="9" s="1"/>
  <c r="AN592" i="9" s="1"/>
  <c r="AJ795" i="9"/>
  <c r="AM795" i="9" s="1"/>
  <c r="AN795" i="9" s="1"/>
  <c r="AJ882" i="9"/>
  <c r="AM882" i="9" s="1"/>
  <c r="AN882" i="9" s="1"/>
  <c r="AJ952" i="9"/>
  <c r="AM952" i="9" s="1"/>
  <c r="AN952" i="9" s="1"/>
  <c r="AJ1016" i="9"/>
  <c r="AM1016" i="9" s="1"/>
  <c r="AN1016" i="9" s="1"/>
  <c r="AJ810" i="9"/>
  <c r="AM810" i="9" s="1"/>
  <c r="AN810" i="9" s="1"/>
  <c r="AJ746" i="9"/>
  <c r="AM746" i="9" s="1"/>
  <c r="AN746" i="9" s="1"/>
  <c r="AJ682" i="9"/>
  <c r="AM682" i="9" s="1"/>
  <c r="AN682" i="9" s="1"/>
  <c r="AJ618" i="9"/>
  <c r="AM618" i="9" s="1"/>
  <c r="AN618" i="9" s="1"/>
  <c r="AJ550" i="9"/>
  <c r="AM550" i="9" s="1"/>
  <c r="AN550" i="9" s="1"/>
  <c r="AJ477" i="9"/>
  <c r="AM477" i="9" s="1"/>
  <c r="AN477" i="9" s="1"/>
  <c r="AJ377" i="9"/>
  <c r="AM377" i="9" s="1"/>
  <c r="AN377" i="9" s="1"/>
  <c r="AJ253" i="9"/>
  <c r="AM253" i="9" s="1"/>
  <c r="AN253" i="9" s="1"/>
  <c r="AJ91" i="9"/>
  <c r="AM91" i="9" s="1"/>
  <c r="AN91" i="9" s="1"/>
  <c r="AJ785" i="9"/>
  <c r="AM785" i="9" s="1"/>
  <c r="AN785" i="9" s="1"/>
  <c r="AJ721" i="9"/>
  <c r="AM721" i="9" s="1"/>
  <c r="AN721" i="9" s="1"/>
  <c r="AJ657" i="9"/>
  <c r="AM657" i="9" s="1"/>
  <c r="AN657" i="9" s="1"/>
  <c r="AJ593" i="9"/>
  <c r="AM593" i="9" s="1"/>
  <c r="AN593" i="9" s="1"/>
  <c r="AJ522" i="9"/>
  <c r="AM522" i="9" s="1"/>
  <c r="AN522" i="9" s="1"/>
  <c r="AJ438" i="9"/>
  <c r="AM438" i="9" s="1"/>
  <c r="AN438" i="9" s="1"/>
  <c r="AJ331" i="9"/>
  <c r="AM331" i="9" s="1"/>
  <c r="AN331" i="9" s="1"/>
  <c r="AJ203" i="9"/>
  <c r="AM203" i="9" s="1"/>
  <c r="AN203" i="9" s="1"/>
  <c r="AJ919" i="9"/>
  <c r="AM919" i="9" s="1"/>
  <c r="AN919" i="9" s="1"/>
  <c r="AJ855" i="9"/>
  <c r="AM855" i="9" s="1"/>
  <c r="AN855" i="9" s="1"/>
  <c r="AJ791" i="9"/>
  <c r="AM791" i="9" s="1"/>
  <c r="AN791" i="9" s="1"/>
  <c r="AJ727" i="9"/>
  <c r="AM727" i="9" s="1"/>
  <c r="AN727" i="9" s="1"/>
  <c r="AJ663" i="9"/>
  <c r="AM663" i="9" s="1"/>
  <c r="AN663" i="9" s="1"/>
  <c r="AJ599" i="9"/>
  <c r="AM599" i="9" s="1"/>
  <c r="AN599" i="9" s="1"/>
  <c r="AJ519" i="9"/>
  <c r="AM519" i="9" s="1"/>
  <c r="AN519" i="9" s="1"/>
  <c r="AJ397" i="9"/>
  <c r="AM397" i="9" s="1"/>
  <c r="AN397" i="9" s="1"/>
  <c r="AJ766" i="9"/>
  <c r="AM766" i="9" s="1"/>
  <c r="AN766" i="9" s="1"/>
  <c r="AJ573" i="9"/>
  <c r="AM573" i="9" s="1"/>
  <c r="AN573" i="9" s="1"/>
  <c r="AJ157" i="9"/>
  <c r="AM157" i="9" s="1"/>
  <c r="AN157" i="9" s="1"/>
  <c r="AJ499" i="9"/>
  <c r="AM499" i="9" s="1"/>
  <c r="AN499" i="9" s="1"/>
  <c r="AJ740" i="9"/>
  <c r="AM740" i="9" s="1"/>
  <c r="AN740" i="9" s="1"/>
  <c r="AJ469" i="9"/>
  <c r="AM469" i="9" s="1"/>
  <c r="AN469" i="9" s="1"/>
  <c r="AJ78" i="9"/>
  <c r="AM78" i="9" s="1"/>
  <c r="AN78" i="9" s="1"/>
  <c r="AJ292" i="9"/>
  <c r="AM292" i="9" s="1"/>
  <c r="AN292" i="9" s="1"/>
  <c r="AJ36" i="9"/>
  <c r="AM36" i="9" s="1"/>
  <c r="AN36" i="9" s="1"/>
  <c r="AJ337" i="9"/>
  <c r="AM337" i="9" s="1"/>
  <c r="AN337" i="9" s="1"/>
  <c r="AJ65" i="9"/>
  <c r="AM65" i="9" s="1"/>
  <c r="AN65" i="9" s="1"/>
  <c r="AJ384" i="9"/>
  <c r="AM384" i="9" s="1"/>
  <c r="AN384" i="9" s="1"/>
  <c r="AJ128" i="9"/>
  <c r="AM128" i="9" s="1"/>
  <c r="AN128" i="9" s="1"/>
  <c r="AJ335" i="9"/>
  <c r="AM335" i="9" s="1"/>
  <c r="AN335" i="9" s="1"/>
  <c r="AJ79" i="9"/>
  <c r="AM79" i="9" s="1"/>
  <c r="AN79" i="9" s="1"/>
  <c r="AJ874" i="9"/>
  <c r="AM874" i="9" s="1"/>
  <c r="AN874" i="9" s="1"/>
  <c r="AJ696" i="9"/>
  <c r="AM696" i="9" s="1"/>
  <c r="AN696" i="9" s="1"/>
  <c r="AJ904" i="9"/>
  <c r="AM904" i="9" s="1"/>
  <c r="AN904" i="9" s="1"/>
  <c r="AJ876" i="9"/>
  <c r="AM876" i="9" s="1"/>
  <c r="AN876" i="9" s="1"/>
  <c r="AJ302" i="9"/>
  <c r="AM302" i="9" s="1"/>
  <c r="AN302" i="9" s="1"/>
  <c r="AJ413" i="9"/>
  <c r="AM413" i="9" s="1"/>
  <c r="AN413" i="9" s="1"/>
  <c r="AJ839" i="9"/>
  <c r="AM839" i="9" s="1"/>
  <c r="AN839" i="9" s="1"/>
  <c r="AJ583" i="9"/>
  <c r="AM583" i="9" s="1"/>
  <c r="AN583" i="9" s="1"/>
  <c r="AJ326" i="9"/>
  <c r="AM326" i="9" s="1"/>
  <c r="AN326" i="9" s="1"/>
  <c r="AJ366" i="9"/>
  <c r="AM366" i="9" s="1"/>
  <c r="AN366" i="9" s="1"/>
  <c r="AJ273" i="9"/>
  <c r="AM273" i="9" s="1"/>
  <c r="AN273" i="9" s="1"/>
  <c r="AJ271" i="9"/>
  <c r="AM271" i="9" s="1"/>
  <c r="AN271" i="9" s="1"/>
  <c r="AH8" i="9"/>
  <c r="AJ35" i="9" s="1"/>
  <c r="AM35" i="9" s="1"/>
  <c r="AN35" i="9" s="1"/>
  <c r="AJ149" i="9"/>
  <c r="AM149" i="9" s="1"/>
  <c r="AN149" i="9" s="1"/>
  <c r="AJ386" i="9"/>
  <c r="AM386" i="9" s="1"/>
  <c r="AN386" i="9" s="1"/>
  <c r="AJ850" i="9"/>
  <c r="AM850" i="9" s="1"/>
  <c r="AN850" i="9" s="1"/>
  <c r="AJ441" i="9"/>
  <c r="AM441" i="9" s="1"/>
  <c r="AN441" i="9" s="1"/>
  <c r="AJ697" i="9"/>
  <c r="AM697" i="9" s="1"/>
  <c r="AN697" i="9" s="1"/>
  <c r="AJ283" i="9"/>
  <c r="AM283" i="9" s="1"/>
  <c r="AN283" i="9" s="1"/>
  <c r="AJ864" i="9"/>
  <c r="AM864" i="9" s="1"/>
  <c r="AN864" i="9" s="1"/>
  <c r="AJ826" i="9"/>
  <c r="AM826" i="9" s="1"/>
  <c r="AN826" i="9" s="1"/>
  <c r="AJ634" i="9"/>
  <c r="AM634" i="9" s="1"/>
  <c r="AN634" i="9" s="1"/>
  <c r="AJ402" i="9"/>
  <c r="AM402" i="9" s="1"/>
  <c r="AN402" i="9" s="1"/>
  <c r="AJ147" i="9"/>
  <c r="AM147" i="9" s="1"/>
  <c r="AN147" i="9" s="1"/>
  <c r="AJ673" i="9"/>
  <c r="AM673" i="9" s="1"/>
  <c r="AN673" i="9" s="1"/>
  <c r="AJ465" i="9"/>
  <c r="AM465" i="9" s="1"/>
  <c r="AN465" i="9" s="1"/>
  <c r="AJ53" i="9"/>
  <c r="AM53" i="9" s="1"/>
  <c r="AN53" i="9" s="1"/>
  <c r="AJ743" i="9"/>
  <c r="AM743" i="9" s="1"/>
  <c r="AN743" i="9" s="1"/>
  <c r="AJ422" i="9"/>
  <c r="AM422" i="9" s="1"/>
  <c r="AN422" i="9" s="1"/>
  <c r="AJ158" i="9"/>
  <c r="AM158" i="9" s="1"/>
  <c r="AN158" i="9" s="1"/>
  <c r="AJ572" i="9"/>
  <c r="AM572" i="9" s="1"/>
  <c r="AN572" i="9" s="1"/>
  <c r="AJ202" i="9"/>
  <c r="AM202" i="9" s="1"/>
  <c r="AN202" i="9" s="1"/>
  <c r="AJ266" i="9"/>
  <c r="AM266" i="9" s="1"/>
  <c r="AN266" i="9" s="1"/>
  <c r="AJ624" i="9"/>
  <c r="AM624" i="9" s="1"/>
  <c r="AN624" i="9" s="1"/>
  <c r="AJ806" i="9"/>
  <c r="AM806" i="9" s="1"/>
  <c r="AN806" i="9" s="1"/>
  <c r="AJ891" i="9"/>
  <c r="AM891" i="9" s="1"/>
  <c r="AN891" i="9" s="1"/>
  <c r="AJ960" i="9"/>
  <c r="AM960" i="9" s="1"/>
  <c r="AN960" i="9" s="1"/>
  <c r="AJ1024" i="9"/>
  <c r="AM1024" i="9" s="1"/>
  <c r="AN1024" i="9" s="1"/>
  <c r="AJ802" i="9"/>
  <c r="AM802" i="9" s="1"/>
  <c r="AN802" i="9" s="1"/>
  <c r="AJ738" i="9"/>
  <c r="AM738" i="9" s="1"/>
  <c r="AN738" i="9" s="1"/>
  <c r="AJ674" i="9"/>
  <c r="AM674" i="9" s="1"/>
  <c r="AN674" i="9" s="1"/>
  <c r="AJ610" i="9"/>
  <c r="AM610" i="9" s="1"/>
  <c r="AN610" i="9" s="1"/>
  <c r="AJ541" i="9"/>
  <c r="AM541" i="9" s="1"/>
  <c r="AN541" i="9" s="1"/>
  <c r="AJ466" i="9"/>
  <c r="AM466" i="9" s="1"/>
  <c r="AN466" i="9" s="1"/>
  <c r="AJ363" i="9"/>
  <c r="AM363" i="9" s="1"/>
  <c r="AN363" i="9" s="1"/>
  <c r="AJ237" i="9"/>
  <c r="AM237" i="9" s="1"/>
  <c r="AN237" i="9" s="1"/>
  <c r="AJ59" i="9"/>
  <c r="AM59" i="9" s="1"/>
  <c r="AN59" i="9" s="1"/>
  <c r="AJ777" i="9"/>
  <c r="AM777" i="9" s="1"/>
  <c r="AN777" i="9" s="1"/>
  <c r="AJ713" i="9"/>
  <c r="AM713" i="9" s="1"/>
  <c r="AN713" i="9" s="1"/>
  <c r="AJ649" i="9"/>
  <c r="AM649" i="9" s="1"/>
  <c r="AN649" i="9" s="1"/>
  <c r="AJ585" i="9"/>
  <c r="AM585" i="9" s="1"/>
  <c r="AN585" i="9" s="1"/>
  <c r="AJ513" i="9"/>
  <c r="AM513" i="9" s="1"/>
  <c r="AN513" i="9" s="1"/>
  <c r="AJ426" i="9"/>
  <c r="AM426" i="9" s="1"/>
  <c r="AN426" i="9" s="1"/>
  <c r="AJ315" i="9"/>
  <c r="AM315" i="9" s="1"/>
  <c r="AN315" i="9" s="1"/>
  <c r="AJ187" i="9"/>
  <c r="AM187" i="9" s="1"/>
  <c r="AN187" i="9" s="1"/>
  <c r="AJ911" i="9"/>
  <c r="AM911" i="9" s="1"/>
  <c r="AN911" i="9" s="1"/>
  <c r="AJ847" i="9"/>
  <c r="AM847" i="9" s="1"/>
  <c r="AN847" i="9" s="1"/>
  <c r="AJ783" i="9"/>
  <c r="AM783" i="9" s="1"/>
  <c r="AN783" i="9" s="1"/>
  <c r="AJ719" i="9"/>
  <c r="AM719" i="9" s="1"/>
  <c r="AN719" i="9" s="1"/>
  <c r="AJ655" i="9"/>
  <c r="AM655" i="9" s="1"/>
  <c r="AN655" i="9" s="1"/>
  <c r="AJ591" i="9"/>
  <c r="AM591" i="9" s="1"/>
  <c r="AN591" i="9" s="1"/>
  <c r="AJ510" i="9"/>
  <c r="AM510" i="9" s="1"/>
  <c r="AN510" i="9" s="1"/>
  <c r="AJ371" i="9"/>
  <c r="AM371" i="9" s="1"/>
  <c r="AN371" i="9" s="1"/>
  <c r="AJ750" i="9"/>
  <c r="AM750" i="9" s="1"/>
  <c r="AN750" i="9" s="1"/>
  <c r="AJ546" i="9"/>
  <c r="AM546" i="9" s="1"/>
  <c r="AN546" i="9" s="1"/>
  <c r="AJ75" i="9"/>
  <c r="AM75" i="9" s="1"/>
  <c r="AN75" i="9" s="1"/>
  <c r="AJ470" i="9"/>
  <c r="AM470" i="9" s="1"/>
  <c r="AN470" i="9" s="1"/>
  <c r="AJ716" i="9"/>
  <c r="AM716" i="9" s="1"/>
  <c r="AN716" i="9" s="1"/>
  <c r="AJ430" i="9"/>
  <c r="AM430" i="9" s="1"/>
  <c r="AN430" i="9" s="1"/>
  <c r="AJ54" i="9"/>
  <c r="AM54" i="9" s="1"/>
  <c r="AN54" i="9" s="1"/>
  <c r="AJ268" i="9"/>
  <c r="AM268" i="9" s="1"/>
  <c r="AN268" i="9" s="1"/>
  <c r="AJ12" i="9"/>
  <c r="AM12" i="9" s="1"/>
  <c r="AN12" i="9" s="1"/>
  <c r="AJ313" i="9"/>
  <c r="AM313" i="9" s="1"/>
  <c r="AN313" i="9" s="1"/>
  <c r="AJ41" i="9"/>
  <c r="AM41" i="9" s="1"/>
  <c r="AN41" i="9" s="1"/>
  <c r="AJ360" i="9"/>
  <c r="AM360" i="9" s="1"/>
  <c r="AN360" i="9" s="1"/>
  <c r="AJ104" i="9"/>
  <c r="AM104" i="9" s="1"/>
  <c r="AN104" i="9" s="1"/>
  <c r="AJ311" i="9"/>
  <c r="AM311" i="9" s="1"/>
  <c r="AN311" i="9" s="1"/>
  <c r="AJ55" i="9"/>
  <c r="AM55" i="9" s="1"/>
  <c r="AN55" i="9" s="1"/>
  <c r="AJ901" i="9"/>
  <c r="AM901" i="9" s="1"/>
  <c r="AN901" i="9" s="1"/>
  <c r="AJ771" i="9"/>
  <c r="AM771" i="9" s="1"/>
  <c r="AN771" i="9" s="1"/>
  <c r="AJ963" i="9"/>
  <c r="AM963" i="9" s="1"/>
  <c r="AN963" i="9" s="1"/>
  <c r="AJ913" i="9"/>
  <c r="AM913" i="9" s="1"/>
  <c r="AN913" i="9" s="1"/>
  <c r="AJ467" i="9"/>
  <c r="AM467" i="9" s="1"/>
  <c r="AN467" i="9" s="1"/>
  <c r="AJ93" i="9"/>
  <c r="AM93" i="9" s="1"/>
  <c r="AO93" i="9" s="1"/>
  <c r="AJ83" i="9"/>
  <c r="AM83" i="9" s="1"/>
  <c r="AN83" i="9" s="1"/>
  <c r="AJ1005" i="9"/>
  <c r="AM1005" i="9" s="1"/>
  <c r="AN1005" i="9" s="1"/>
  <c r="AJ182" i="9"/>
  <c r="AM182" i="9" s="1"/>
  <c r="AN182" i="9" s="1"/>
  <c r="AJ1029" i="9"/>
  <c r="AM1029" i="9" s="1"/>
  <c r="AN1029" i="9" s="1"/>
  <c r="AJ511" i="9"/>
  <c r="AM511" i="9" s="1"/>
  <c r="AN511" i="9" s="1"/>
  <c r="AJ548" i="9"/>
  <c r="AM548" i="9" s="1"/>
  <c r="AN548" i="9" s="1"/>
  <c r="AJ780" i="9"/>
  <c r="AM780" i="9" s="1"/>
  <c r="AO780" i="9" s="1"/>
  <c r="AJ648" i="9"/>
  <c r="AM648" i="9" s="1"/>
  <c r="AN648" i="9" s="1"/>
  <c r="AJ886" i="9"/>
  <c r="AM886" i="9" s="1"/>
  <c r="AN886" i="9" s="1"/>
  <c r="AJ973" i="9"/>
  <c r="AM973" i="9" s="1"/>
  <c r="AN973" i="9" s="1"/>
  <c r="AJ942" i="9"/>
  <c r="AM942" i="9" s="1"/>
  <c r="AN942" i="9" s="1"/>
  <c r="AJ250" i="9"/>
  <c r="AM250" i="9" s="1"/>
  <c r="AN250" i="9" s="1"/>
  <c r="AJ680" i="9"/>
  <c r="AM680" i="9" s="1"/>
  <c r="AN680" i="9" s="1"/>
  <c r="AJ958" i="9"/>
  <c r="AM958" i="9" s="1"/>
  <c r="AN958" i="9" s="1"/>
  <c r="AJ314" i="9"/>
  <c r="AM314" i="9" s="1"/>
  <c r="AN314" i="9" s="1"/>
  <c r="AJ739" i="9"/>
  <c r="AM739" i="9" s="1"/>
  <c r="AN739" i="9" s="1"/>
  <c r="AJ1006" i="9"/>
  <c r="AM1006" i="9" s="1"/>
  <c r="AN1006" i="9" s="1"/>
  <c r="AJ474" i="9"/>
  <c r="AM474" i="9" s="1"/>
  <c r="AN474" i="9" s="1"/>
  <c r="AJ870" i="9"/>
  <c r="AM870" i="9" s="1"/>
  <c r="AN870" i="9" s="1"/>
  <c r="AJ760" i="9"/>
  <c r="AM760" i="9" s="1"/>
  <c r="AN760" i="9" s="1"/>
  <c r="AJ880" i="9"/>
  <c r="AM880" i="9" s="1"/>
  <c r="AN880" i="9" s="1"/>
  <c r="AJ923" i="9"/>
  <c r="AM923" i="9" s="1"/>
  <c r="AO923" i="9" s="1"/>
  <c r="AJ779" i="9"/>
  <c r="AM779" i="9" s="1"/>
  <c r="AN779" i="9" s="1"/>
  <c r="AJ916" i="9"/>
  <c r="AM916" i="9" s="1"/>
  <c r="AN916" i="9" s="1"/>
  <c r="AJ956" i="9"/>
  <c r="AM956" i="9" s="1"/>
  <c r="AO956" i="9" s="1"/>
  <c r="AJ1038" i="9"/>
  <c r="AM1038" i="9" s="1"/>
  <c r="AN1038" i="9" s="1"/>
  <c r="AJ584" i="9"/>
  <c r="AM584" i="9" s="1"/>
  <c r="AN584" i="9" s="1"/>
  <c r="AJ790" i="9"/>
  <c r="AM790" i="9" s="1"/>
  <c r="AN790" i="9" s="1"/>
  <c r="AJ925" i="9"/>
  <c r="AM925" i="9" s="1"/>
  <c r="AN925" i="9" s="1"/>
  <c r="AJ616" i="9"/>
  <c r="AM616" i="9" s="1"/>
  <c r="AN616" i="9" s="1"/>
  <c r="AJ829" i="9"/>
  <c r="AM829" i="9" s="1"/>
  <c r="AN829" i="9" s="1"/>
  <c r="AJ950" i="9"/>
  <c r="AM950" i="9" s="1"/>
  <c r="AN950" i="9" s="1"/>
  <c r="AJ712" i="9"/>
  <c r="AM712" i="9" s="1"/>
  <c r="AN712" i="9" s="1"/>
  <c r="AJ861" i="9"/>
  <c r="AM861" i="9" s="1"/>
  <c r="AN861" i="9" s="1"/>
  <c r="AJ917" i="9"/>
  <c r="AM917" i="9" s="1"/>
  <c r="AN917" i="9" s="1"/>
  <c r="AJ966" i="9"/>
  <c r="AM966" i="9" s="1"/>
  <c r="AN966" i="9" s="1"/>
  <c r="AJ951" i="9"/>
  <c r="AM951" i="9" s="1"/>
  <c r="AN951" i="9" s="1"/>
  <c r="AJ991" i="9"/>
  <c r="AM991" i="9" s="1"/>
  <c r="AO991" i="9" s="1"/>
  <c r="AJ982" i="9"/>
  <c r="AM982" i="9" s="1"/>
  <c r="AN982" i="9" s="1"/>
  <c r="AJ983" i="9"/>
  <c r="AM983" i="9" s="1"/>
  <c r="AO983" i="9" s="1"/>
  <c r="AJ318" i="9"/>
  <c r="AM318" i="9" s="1"/>
  <c r="AO318" i="9" s="1"/>
  <c r="AJ1014" i="9"/>
  <c r="AM1014" i="9" s="1"/>
  <c r="AN1014" i="9" s="1"/>
  <c r="AJ1037" i="9"/>
  <c r="AM1037" i="9" s="1"/>
  <c r="AO1037" i="9" s="1"/>
  <c r="AJ651" i="9"/>
  <c r="AM651" i="9" s="1"/>
  <c r="AN651" i="9" s="1"/>
  <c r="AJ804" i="9"/>
  <c r="AM804" i="9" s="1"/>
  <c r="AN804" i="9" s="1"/>
  <c r="AJ889" i="9"/>
  <c r="AM889" i="9" s="1"/>
  <c r="AN889" i="9" s="1"/>
  <c r="AJ1030" i="9"/>
  <c r="AM1030" i="9" s="1"/>
  <c r="AN1030" i="9" s="1"/>
  <c r="AJ190" i="9"/>
  <c r="AM190" i="9" s="1"/>
  <c r="AO190" i="9" s="1"/>
  <c r="AJ996" i="9"/>
  <c r="AM996" i="9" s="1"/>
  <c r="AO996" i="9" s="1"/>
  <c r="AJ816" i="9"/>
  <c r="AM816" i="9" s="1"/>
  <c r="AN816" i="9" s="1"/>
  <c r="AJ907" i="9"/>
  <c r="AM907" i="9" s="1"/>
  <c r="AN907" i="9" s="1"/>
  <c r="AJ1039" i="9"/>
  <c r="AM1039" i="9" s="1"/>
  <c r="AN1039" i="9" s="1"/>
  <c r="AJ849" i="9"/>
  <c r="AM849" i="9" s="1"/>
  <c r="AN849" i="9" s="1"/>
  <c r="AJ967" i="9"/>
  <c r="AM967" i="9" s="1"/>
  <c r="AN967" i="9" s="1"/>
  <c r="AJ988" i="9"/>
  <c r="AM988" i="9" s="1"/>
  <c r="AO988" i="9" s="1"/>
  <c r="AJ830" i="9"/>
  <c r="AM830" i="9" s="1"/>
  <c r="AN830" i="9" s="1"/>
  <c r="AJ934" i="9"/>
  <c r="AM934" i="9" s="1"/>
  <c r="AN934" i="9" s="1"/>
  <c r="AJ551" i="9"/>
  <c r="AM551" i="9" s="1"/>
  <c r="AO551" i="9" s="1"/>
  <c r="AJ478" i="9"/>
  <c r="AM478" i="9" s="1"/>
  <c r="AO478" i="9" s="1"/>
  <c r="AJ254" i="9"/>
  <c r="AM254" i="9" s="1"/>
  <c r="AN254" i="9" s="1"/>
  <c r="AJ827" i="9"/>
  <c r="AM827" i="9" s="1"/>
  <c r="AN827" i="9" s="1"/>
  <c r="AJ805" i="9"/>
  <c r="AM805" i="9" s="1"/>
  <c r="AN805" i="9" s="1"/>
  <c r="AJ1004" i="9"/>
  <c r="AM1004" i="9" s="1"/>
  <c r="AN1004" i="9" s="1"/>
  <c r="AJ843" i="9"/>
  <c r="AM843" i="9" s="1"/>
  <c r="AN843" i="9" s="1"/>
  <c r="AJ792" i="9"/>
  <c r="AM792" i="9" s="1"/>
  <c r="AN792" i="9" s="1"/>
  <c r="AJ959" i="9"/>
  <c r="AM959" i="9" s="1"/>
  <c r="AN959" i="9" s="1"/>
  <c r="AJ898" i="9"/>
  <c r="AM898" i="9" s="1"/>
  <c r="AN898" i="9" s="1"/>
  <c r="AJ998" i="9"/>
  <c r="AM998" i="9" s="1"/>
  <c r="AN998" i="9" s="1"/>
  <c r="AJ881" i="9"/>
  <c r="AM881" i="9" s="1"/>
  <c r="AN881" i="9" s="1"/>
  <c r="AJ587" i="9"/>
  <c r="AM587" i="9" s="1"/>
  <c r="AO587" i="9" s="1"/>
  <c r="AJ619" i="9"/>
  <c r="AM619" i="9" s="1"/>
  <c r="AN619" i="9" s="1"/>
  <c r="AJ813" i="9"/>
  <c r="AM813" i="9" s="1"/>
  <c r="AN813" i="9" s="1"/>
  <c r="AJ1007" i="9"/>
  <c r="AM1007" i="9" s="1"/>
  <c r="AN1007" i="9" s="1"/>
  <c r="AJ932" i="9"/>
  <c r="AM932" i="9" s="1"/>
  <c r="AO932" i="9" s="1"/>
  <c r="AJ853" i="9"/>
  <c r="AM853" i="9" s="1"/>
  <c r="AN853" i="9" s="1"/>
  <c r="AJ964" i="9"/>
  <c r="AM964" i="9" s="1"/>
  <c r="AO964" i="9" s="1"/>
  <c r="AJ1020" i="9"/>
  <c r="AM1020" i="9" s="1"/>
  <c r="AN1020" i="9" s="1"/>
  <c r="AJ715" i="9"/>
  <c r="AM715" i="9" s="1"/>
  <c r="AN715" i="9" s="1"/>
  <c r="V8" i="9"/>
  <c r="AJ899" i="9"/>
  <c r="AM899" i="9" s="1"/>
  <c r="AN899" i="9" s="1"/>
  <c r="AJ877" i="9"/>
  <c r="AM877" i="9" s="1"/>
  <c r="AN877" i="9" s="1"/>
  <c r="AJ935" i="9"/>
  <c r="AM935" i="9" s="1"/>
  <c r="AN935" i="9" s="1"/>
  <c r="AJ914" i="9"/>
  <c r="AM914" i="9" s="1"/>
  <c r="AO914" i="9" s="1"/>
  <c r="AJ890" i="9"/>
  <c r="AM890" i="9" s="1"/>
  <c r="AN890" i="9" s="1"/>
  <c r="AJ859" i="9"/>
  <c r="AM859" i="9" s="1"/>
  <c r="AN859" i="9" s="1"/>
  <c r="AJ378" i="9"/>
  <c r="AM378" i="9" s="1"/>
  <c r="AN378" i="9" s="1"/>
  <c r="K7" i="9" a="1"/>
  <c r="K7" i="9" s="1"/>
  <c r="AJ926" i="9"/>
  <c r="AM926" i="9" s="1"/>
  <c r="AN926" i="9" s="1"/>
  <c r="AJ896" i="9"/>
  <c r="AM896" i="9" s="1"/>
  <c r="AN896" i="9" s="1"/>
  <c r="AJ683" i="9"/>
  <c r="AM683" i="9" s="1"/>
  <c r="AN683" i="9" s="1"/>
  <c r="AJ972" i="9"/>
  <c r="AM972" i="9" s="1"/>
  <c r="AO972" i="9" s="1"/>
  <c r="AJ741" i="9"/>
  <c r="AM741" i="9" s="1"/>
  <c r="AO741" i="9" s="1"/>
  <c r="AJ1023" i="9"/>
  <c r="AM1023" i="9" s="1"/>
  <c r="AO1023" i="9" s="1"/>
  <c r="AJ819" i="9"/>
  <c r="AM819" i="9" s="1"/>
  <c r="AO819" i="9" s="1"/>
  <c r="AJ872" i="9"/>
  <c r="AM872" i="9" s="1"/>
  <c r="AN872" i="9" s="1"/>
  <c r="AJ862" i="9"/>
  <c r="AM862" i="9" s="1"/>
  <c r="AN862" i="9" s="1"/>
  <c r="AJ429" i="9"/>
  <c r="AM429" i="9" s="1"/>
  <c r="AO429" i="9" s="1"/>
  <c r="AJ515" i="9"/>
  <c r="AM515" i="9" s="1"/>
  <c r="AO515" i="9" s="1"/>
  <c r="AJ999" i="9"/>
  <c r="AM999" i="9" s="1"/>
  <c r="AN999" i="9" s="1"/>
  <c r="AJ868" i="9"/>
  <c r="AM868" i="9" s="1"/>
  <c r="AN868" i="9" s="1"/>
  <c r="AJ1036" i="9"/>
  <c r="AM1036" i="9" s="1"/>
  <c r="AN1036" i="9" s="1"/>
  <c r="AJ905" i="9"/>
  <c r="AM905" i="9" s="1"/>
  <c r="AN905" i="9" s="1"/>
  <c r="AJ1027" i="9"/>
  <c r="AM1027" i="9" s="1"/>
  <c r="AO1027" i="9" s="1"/>
  <c r="AJ763" i="9"/>
  <c r="AM763" i="9" s="1"/>
  <c r="AN763" i="9" s="1"/>
  <c r="AJ1015" i="9"/>
  <c r="AM1015" i="9" s="1"/>
  <c r="AN1015" i="9" s="1"/>
  <c r="AJ940" i="9"/>
  <c r="AM940" i="9" s="1"/>
  <c r="AN940" i="9" s="1"/>
  <c r="AJ838" i="9"/>
  <c r="AM838" i="9" s="1"/>
  <c r="AO838" i="9" s="1"/>
  <c r="AJ1019" i="9"/>
  <c r="AM1019" i="9" s="1"/>
  <c r="AN1019" i="9" s="1"/>
  <c r="AJ1028" i="9"/>
  <c r="AM1028" i="9" s="1"/>
  <c r="AN1028" i="9" s="1"/>
  <c r="AJ948" i="9"/>
  <c r="AM948" i="9" s="1"/>
  <c r="AN948" i="9" s="1"/>
  <c r="AJ943" i="9"/>
  <c r="AM943" i="9" s="1"/>
  <c r="AJ980" i="9"/>
  <c r="AM980" i="9" s="1"/>
  <c r="AN980" i="9" s="1"/>
  <c r="AJ908" i="9"/>
  <c r="AM908" i="9" s="1"/>
  <c r="AN908" i="9" s="1"/>
  <c r="AJ1032" i="9"/>
  <c r="AM1032" i="9" s="1"/>
  <c r="AO1032" i="9" s="1"/>
  <c r="AJ1012" i="9"/>
  <c r="AM1012" i="9" s="1"/>
  <c r="AO1012" i="9" s="1"/>
  <c r="AJ975" i="9"/>
  <c r="AM975" i="9" s="1"/>
  <c r="AO842" i="9"/>
  <c r="AO652" i="9"/>
  <c r="AO552" i="9"/>
  <c r="AO311" i="9"/>
  <c r="AO893" i="9"/>
  <c r="AO617" i="9"/>
  <c r="AO85" i="9"/>
  <c r="AO537" i="9"/>
  <c r="AO418" i="9"/>
  <c r="AO154" i="9"/>
  <c r="AO303" i="9"/>
  <c r="AO814" i="9"/>
  <c r="AO778" i="9"/>
  <c r="AO387" i="9"/>
  <c r="AO249" i="9"/>
  <c r="AO40" i="9"/>
  <c r="AO1026" i="9"/>
  <c r="AO669" i="9"/>
  <c r="AO260" i="9"/>
  <c r="AO367" i="9"/>
  <c r="AO765" i="9"/>
  <c r="AO826" i="9"/>
  <c r="AO698" i="9"/>
  <c r="AO147" i="9"/>
  <c r="AO737" i="9"/>
  <c r="AO871" i="9"/>
  <c r="AO807" i="9"/>
  <c r="AO547" i="9"/>
  <c r="AO473" i="9"/>
  <c r="AO726" i="9"/>
  <c r="AO341" i="9"/>
  <c r="AO661" i="9"/>
  <c r="AO211" i="9"/>
  <c r="AO636" i="9"/>
  <c r="AO150" i="9"/>
  <c r="AO444" i="9"/>
  <c r="AO124" i="9"/>
  <c r="AO146" i="9"/>
  <c r="AO169" i="9"/>
  <c r="AO25" i="9"/>
  <c r="AO536" i="9"/>
  <c r="AO216" i="9"/>
  <c r="AO24" i="9"/>
  <c r="AO167" i="9"/>
  <c r="AO487" i="9"/>
  <c r="AO929" i="9"/>
  <c r="AO836" i="9"/>
  <c r="AO912" i="9"/>
  <c r="AO978" i="9"/>
  <c r="AO502" i="9"/>
  <c r="AO675" i="9"/>
  <c r="AO818" i="9"/>
  <c r="AO486" i="9"/>
  <c r="AO123" i="9"/>
  <c r="AO531" i="9"/>
  <c r="AO219" i="9"/>
  <c r="AO671" i="9"/>
  <c r="AO607" i="9"/>
  <c r="AO538" i="9"/>
  <c r="AO718" i="9"/>
  <c r="AO518" i="9"/>
  <c r="AO653" i="9"/>
  <c r="AO517" i="9"/>
  <c r="AO433" i="9"/>
  <c r="AO628" i="9"/>
  <c r="AO393" i="9"/>
  <c r="AO436" i="9"/>
  <c r="AO244" i="9"/>
  <c r="AO138" i="9"/>
  <c r="AO289" i="9"/>
  <c r="AO528" i="9"/>
  <c r="AO336" i="9"/>
  <c r="AO16" i="9"/>
  <c r="AO287" i="9"/>
  <c r="AO1001" i="9"/>
  <c r="AO921" i="9"/>
  <c r="AO731" i="9"/>
  <c r="AO773" i="9"/>
  <c r="AO840" i="9"/>
  <c r="AO714" i="9"/>
  <c r="AO677" i="9"/>
  <c r="AO69" i="9"/>
  <c r="AO332" i="9"/>
  <c r="AO1011" i="9"/>
  <c r="AO1022" i="9"/>
  <c r="AO744" i="9"/>
  <c r="AO751" i="9"/>
  <c r="AO535" i="9"/>
  <c r="AO644" i="9"/>
  <c r="AO305" i="9"/>
  <c r="AO442" i="9"/>
  <c r="AO822" i="9"/>
  <c r="AO1016" i="9"/>
  <c r="AO550" i="9"/>
  <c r="AO593" i="9"/>
  <c r="AO331" i="9"/>
  <c r="AO727" i="9"/>
  <c r="AO449" i="9"/>
  <c r="AO774" i="9"/>
  <c r="AO421" i="9"/>
  <c r="AO709" i="9"/>
  <c r="AO307" i="9"/>
  <c r="AO684" i="9"/>
  <c r="AO258" i="9"/>
  <c r="AO86" i="9"/>
  <c r="AO22" i="9"/>
  <c r="AO172" i="9"/>
  <c r="AO11" i="9"/>
  <c r="AO217" i="9"/>
  <c r="AO9" i="9"/>
  <c r="AO264" i="9"/>
  <c r="AO72" i="9"/>
  <c r="AO215" i="9"/>
  <c r="AO15" i="9"/>
  <c r="AO561" i="9"/>
  <c r="AO994" i="9"/>
  <c r="AO575" i="9"/>
  <c r="AO788" i="9"/>
  <c r="AO851" i="9"/>
  <c r="AO586" i="9"/>
  <c r="AO753" i="9"/>
  <c r="AO267" i="9"/>
  <c r="AO369" i="9"/>
  <c r="AO140" i="9"/>
  <c r="AO168" i="9"/>
  <c r="AO770" i="9"/>
  <c r="AO549" i="9"/>
  <c r="AO352" i="9"/>
  <c r="AO302" i="9"/>
  <c r="AO873" i="9"/>
  <c r="AO363" i="9"/>
  <c r="AO777" i="9"/>
  <c r="AO426" i="9"/>
  <c r="AO911" i="9"/>
  <c r="AO591" i="9"/>
  <c r="AO519" i="9"/>
  <c r="AO198" i="9"/>
  <c r="AO702" i="9"/>
  <c r="AO293" i="9"/>
  <c r="AO499" i="9"/>
  <c r="AO406" i="9"/>
  <c r="AO242" i="9"/>
  <c r="AO67" i="9"/>
  <c r="AO78" i="9"/>
  <c r="AO420" i="9"/>
  <c r="AO186" i="9"/>
  <c r="AO122" i="9"/>
  <c r="AO58" i="9"/>
  <c r="AO576" i="9"/>
  <c r="AO512" i="9"/>
  <c r="AO384" i="9"/>
  <c r="AO192" i="9"/>
  <c r="AO64" i="9"/>
  <c r="AO399" i="9"/>
  <c r="AO207" i="9"/>
  <c r="AO79" i="9"/>
  <c r="AJ23" i="9"/>
  <c r="AM23" i="9" s="1"/>
  <c r="AN23" i="9" s="1"/>
  <c r="AJ89" i="9"/>
  <c r="AM89" i="9" s="1"/>
  <c r="AN89" i="9" s="1"/>
  <c r="AJ113" i="9"/>
  <c r="AM113" i="9" s="1"/>
  <c r="AN113" i="9" s="1"/>
  <c r="AJ26" i="9"/>
  <c r="AM26" i="9" s="1"/>
  <c r="AN26" i="9" s="1"/>
  <c r="AJ8" i="9"/>
  <c r="AM8" i="9" s="1"/>
  <c r="AN8" i="9" s="1"/>
  <c r="AO595" i="9"/>
  <c r="AO953" i="9"/>
  <c r="AO771" i="9"/>
  <c r="AO866" i="9"/>
  <c r="AO533" i="9"/>
  <c r="AO971" i="9"/>
  <c r="AO234" i="9"/>
  <c r="AO506" i="9"/>
  <c r="AO317" i="9"/>
  <c r="AO887" i="9"/>
  <c r="AO243" i="9"/>
  <c r="AO430" i="9"/>
  <c r="AO488" i="9"/>
  <c r="AO910" i="9"/>
  <c r="AO578" i="9"/>
  <c r="AO734" i="9"/>
  <c r="AO458" i="9"/>
  <c r="AO544" i="9"/>
  <c r="AO656" i="9"/>
  <c r="AO900" i="9"/>
  <c r="AO968" i="9"/>
  <c r="AO666" i="9"/>
  <c r="AO602" i="9"/>
  <c r="AO453" i="9"/>
  <c r="AO349" i="9"/>
  <c r="AO221" i="9"/>
  <c r="AO833" i="9"/>
  <c r="AO705" i="9"/>
  <c r="AO577" i="9"/>
  <c r="AO299" i="9"/>
  <c r="AO711" i="9"/>
  <c r="AO422" i="9"/>
  <c r="AO694" i="9"/>
  <c r="AO491" i="9"/>
  <c r="AO629" i="9"/>
  <c r="AO394" i="9"/>
  <c r="AO604" i="9"/>
  <c r="AO457" i="9"/>
  <c r="AO412" i="9"/>
  <c r="AO220" i="9"/>
  <c r="AO114" i="9"/>
  <c r="AO265" i="9"/>
  <c r="AO504" i="9"/>
  <c r="AO312" i="9"/>
  <c r="AO455" i="9"/>
  <c r="AO263" i="9"/>
  <c r="AO808" i="9"/>
  <c r="AO1025" i="9"/>
  <c r="AO875" i="9"/>
  <c r="AO979" i="9"/>
  <c r="AO298" i="9"/>
  <c r="AO869" i="9"/>
  <c r="AO990" i="9"/>
  <c r="AO425" i="9"/>
  <c r="AO841" i="9"/>
  <c r="AO984" i="9"/>
  <c r="AO565" i="9"/>
  <c r="AO613" i="9"/>
  <c r="AO390" i="9"/>
  <c r="AO635" i="9"/>
  <c r="AO803" i="9"/>
  <c r="AO706" i="9"/>
  <c r="AO809" i="9"/>
  <c r="AO687" i="9"/>
  <c r="AO452" i="9"/>
  <c r="AO32" i="9"/>
  <c r="AO832" i="9"/>
  <c r="AO850" i="9"/>
  <c r="AO594" i="9"/>
  <c r="AO333" i="9"/>
  <c r="AO205" i="9"/>
  <c r="AO401" i="9"/>
  <c r="AO831" i="9"/>
  <c r="AO767" i="9"/>
  <c r="AO639" i="9"/>
  <c r="AO501" i="9"/>
  <c r="AO410" i="9"/>
  <c r="AO686" i="9"/>
  <c r="AO622" i="9"/>
  <c r="AO382" i="9"/>
  <c r="AO554" i="9"/>
  <c r="AO259" i="9"/>
  <c r="AO525" i="9"/>
  <c r="AO210" i="9"/>
  <c r="AO340" i="9"/>
  <c r="AO148" i="9"/>
  <c r="AO42" i="9"/>
  <c r="AO193" i="9"/>
  <c r="AO432" i="9"/>
  <c r="AO240" i="9"/>
  <c r="AO383" i="9"/>
  <c r="AO191" i="9"/>
  <c r="AO334" i="9"/>
  <c r="AO821" i="9"/>
  <c r="AO1034" i="9"/>
  <c r="AO218" i="9"/>
  <c r="AO884" i="9"/>
  <c r="AO222" i="9"/>
  <c r="AO361" i="9"/>
  <c r="AO579" i="9"/>
  <c r="AO852" i="9"/>
  <c r="AP246" i="13" l="1" a="1"/>
  <c r="AP246" i="13" s="1"/>
  <c r="AP225" i="13" a="1"/>
  <c r="AP225" i="13" s="1"/>
  <c r="AP207" i="13" a="1"/>
  <c r="AP207" i="13" s="1"/>
  <c r="AP195" i="13" a="1"/>
  <c r="AP195" i="13" s="1"/>
  <c r="AP222" i="13" a="1"/>
  <c r="AP222" i="13" s="1"/>
  <c r="AP210" i="13" a="1"/>
  <c r="AP210" i="13" s="1"/>
  <c r="AP177" i="13" a="1"/>
  <c r="AP177" i="13" s="1"/>
  <c r="AP213" i="13" a="1"/>
  <c r="AP213" i="13" s="1"/>
  <c r="AP201" i="13" a="1"/>
  <c r="AP201" i="13" s="1"/>
  <c r="AP198" i="13" a="1"/>
  <c r="AP198" i="13" s="1"/>
  <c r="AP249" i="13" a="1"/>
  <c r="AP249" i="13" s="1"/>
  <c r="AP652" i="13" a="1"/>
  <c r="AP652" i="13" s="1"/>
  <c r="AP640" i="13" a="1"/>
  <c r="AP640" i="13" s="1"/>
  <c r="AP616" i="13" a="1"/>
  <c r="AP616" i="13" s="1"/>
  <c r="AP592" i="13" a="1"/>
  <c r="AP592" i="13" s="1"/>
  <c r="AP538" i="13" a="1"/>
  <c r="AP538" i="13" s="1"/>
  <c r="AP532" i="13" a="1"/>
  <c r="AP532" i="13" s="1"/>
  <c r="AP577" i="13" a="1"/>
  <c r="AP577" i="13" s="1"/>
  <c r="AP574" i="13" a="1"/>
  <c r="AP574" i="13" s="1"/>
  <c r="AP529" i="13" a="1"/>
  <c r="AP529" i="13" s="1"/>
  <c r="AP559" i="13" a="1"/>
  <c r="AP559" i="13" s="1"/>
  <c r="AP556" i="13" a="1"/>
  <c r="AP556" i="13" s="1"/>
  <c r="AP121" i="13" a="1"/>
  <c r="AP121" i="13" s="1"/>
  <c r="AP118" i="13" a="1"/>
  <c r="AP118" i="13" s="1"/>
  <c r="AP85" i="13" a="1"/>
  <c r="AP85" i="13" s="1"/>
  <c r="AP67" i="13" a="1"/>
  <c r="AP67" i="13" s="1"/>
  <c r="AP97" i="13" a="1"/>
  <c r="AP97" i="13" s="1"/>
  <c r="AP73" i="13" a="1"/>
  <c r="AP73" i="13" s="1"/>
  <c r="AP70" i="13" a="1"/>
  <c r="AP70" i="13" s="1"/>
  <c r="AP94" i="13" a="1"/>
  <c r="AP94" i="13" s="1"/>
  <c r="AP49" i="13" a="1"/>
  <c r="AP49" i="13" s="1"/>
  <c r="AP82" i="13" a="1"/>
  <c r="AP82" i="13" s="1"/>
  <c r="AP79" i="13" a="1"/>
  <c r="AP79" i="13" s="1"/>
  <c r="AP18" i="13" a="1"/>
  <c r="AP18" i="13" s="1"/>
  <c r="AP30" i="13" a="1"/>
  <c r="AP30" i="13" s="1"/>
  <c r="AP33" i="13" a="1"/>
  <c r="AP33" i="13" s="1"/>
  <c r="AP46" i="13" a="1"/>
  <c r="AP46" i="13" s="1"/>
  <c r="AP52" i="13" a="1"/>
  <c r="AP52" i="13" s="1"/>
  <c r="AP55" i="13" a="1"/>
  <c r="AP55" i="13" s="1"/>
  <c r="AP64" i="13" a="1"/>
  <c r="AP64" i="13" s="1"/>
  <c r="AP91" i="13" a="1"/>
  <c r="AP91" i="13" s="1"/>
  <c r="AP130" i="13" a="1"/>
  <c r="AP130" i="13" s="1"/>
  <c r="AP25" i="13" a="1"/>
  <c r="AP25" i="13" s="1"/>
  <c r="AP10" i="13" a="1"/>
  <c r="AP10" i="13" s="1"/>
  <c r="AP112" i="13" a="1"/>
  <c r="AP112" i="13" s="1"/>
  <c r="AP103" i="13" a="1"/>
  <c r="AP103" i="13" s="1"/>
  <c r="AP115" i="13" a="1"/>
  <c r="AP115" i="13" s="1"/>
  <c r="AP28" i="13" a="1"/>
  <c r="AP28" i="13" s="1"/>
  <c r="AP37" i="13" a="1"/>
  <c r="AP37" i="13" s="1"/>
  <c r="AP485" i="13" a="1"/>
  <c r="AP485" i="13" s="1"/>
  <c r="AP509" i="13" a="1"/>
  <c r="AP509" i="13" s="1"/>
  <c r="AP461" i="13" a="1"/>
  <c r="AP461" i="13" s="1"/>
  <c r="AP407" i="13" a="1"/>
  <c r="AP407" i="13" s="1"/>
  <c r="AP401" i="13" a="1"/>
  <c r="AP401" i="13" s="1"/>
  <c r="AP398" i="13" a="1"/>
  <c r="AP398" i="13" s="1"/>
  <c r="AP446" i="13" a="1"/>
  <c r="AP446" i="13" s="1"/>
  <c r="AP425" i="13" a="1"/>
  <c r="AP425" i="13" s="1"/>
  <c r="AP521" i="13" a="1"/>
  <c r="AP521" i="13" s="1"/>
  <c r="AP443" i="13" a="1"/>
  <c r="AP443" i="13" s="1"/>
  <c r="AP428" i="13" a="1"/>
  <c r="AP428" i="13" s="1"/>
  <c r="AP240" i="13" a="1"/>
  <c r="AP240" i="13" s="1"/>
  <c r="AP138" i="13" a="1"/>
  <c r="AP138" i="13" s="1"/>
  <c r="AP243" i="13" a="1"/>
  <c r="AP243" i="13" s="1"/>
  <c r="AP165" i="13" a="1"/>
  <c r="AP165" i="13" s="1"/>
  <c r="AP258" i="13" a="1"/>
  <c r="AP258" i="13" s="1"/>
  <c r="AP231" i="13" a="1"/>
  <c r="AP231" i="13" s="1"/>
  <c r="AP156" i="13" a="1"/>
  <c r="AP156" i="13" s="1"/>
  <c r="AP153" i="13" a="1"/>
  <c r="AP153" i="13" s="1"/>
  <c r="AP219" i="13" a="1"/>
  <c r="AP219" i="13" s="1"/>
  <c r="AP204" i="13" a="1"/>
  <c r="AP204" i="13" s="1"/>
  <c r="AP264" i="13" a="1"/>
  <c r="AP264" i="13" s="1"/>
  <c r="AP252" i="13" a="1"/>
  <c r="AP252" i="13" s="1"/>
  <c r="AP171" i="13" a="1"/>
  <c r="AP171" i="13" s="1"/>
  <c r="AP150" i="13" a="1"/>
  <c r="AP150" i="13" s="1"/>
  <c r="AP186" i="13" a="1"/>
  <c r="AP186" i="13" s="1"/>
  <c r="AP168" i="13" a="1"/>
  <c r="AP168" i="13" s="1"/>
  <c r="AP228" i="13" a="1"/>
  <c r="AP228" i="13" s="1"/>
  <c r="AP144" i="13" a="1"/>
  <c r="AP144" i="13" s="1"/>
  <c r="AP141" i="13" a="1"/>
  <c r="AP141" i="13" s="1"/>
  <c r="AP189" i="13" a="1"/>
  <c r="AP189" i="13" s="1"/>
  <c r="AP129" i="13" a="1"/>
  <c r="AP129" i="13" s="1"/>
  <c r="AP114" i="13" a="1"/>
  <c r="AP114" i="13" s="1"/>
  <c r="AP102" i="13" a="1"/>
  <c r="AP102" i="13" s="1"/>
  <c r="AP9" i="13" a="1"/>
  <c r="AP9" i="13" s="1"/>
  <c r="AP24" i="13" a="1"/>
  <c r="AP24" i="13" s="1"/>
  <c r="AP36" i="13" a="1"/>
  <c r="AP36" i="13" s="1"/>
  <c r="AP27" i="13" a="1"/>
  <c r="AP27" i="13" s="1"/>
  <c r="AP111" i="13" a="1"/>
  <c r="AP111" i="13" s="1"/>
  <c r="AP90" i="13" a="1"/>
  <c r="AP90" i="13" s="1"/>
  <c r="AP774" i="13" a="1"/>
  <c r="AP774" i="13" s="1"/>
  <c r="AP756" i="13" a="1"/>
  <c r="AP756" i="13" s="1"/>
  <c r="AP654" i="13" a="1"/>
  <c r="AP654" i="13" s="1"/>
  <c r="AP759" i="13" a="1"/>
  <c r="AP759" i="13" s="1"/>
  <c r="AP681" i="13" a="1"/>
  <c r="AP681" i="13" s="1"/>
  <c r="AP735" i="13" a="1"/>
  <c r="AP735" i="13" s="1"/>
  <c r="AP747" i="13" a="1"/>
  <c r="AP747" i="13" s="1"/>
  <c r="AP672" i="13" a="1"/>
  <c r="AP672" i="13" s="1"/>
  <c r="AP669" i="13" a="1"/>
  <c r="AP669" i="13" s="1"/>
  <c r="BA11" i="13"/>
  <c r="AW10" i="13"/>
  <c r="AW18" i="13"/>
  <c r="AP620" i="13" a="1"/>
  <c r="AP620" i="13" s="1"/>
  <c r="AP647" i="13" a="1"/>
  <c r="AP647" i="13" s="1"/>
  <c r="AP641" i="13" a="1"/>
  <c r="AP641" i="13" s="1"/>
  <c r="AP623" i="13" a="1"/>
  <c r="AP623" i="13" s="1"/>
  <c r="AP602" i="13" a="1"/>
  <c r="AP602" i="13" s="1"/>
  <c r="BA17" i="13"/>
  <c r="AP818" i="13" a="1"/>
  <c r="AP818" i="13" s="1"/>
  <c r="AP836" i="13" a="1"/>
  <c r="AP836" i="13" s="1"/>
  <c r="AP827" i="13" a="1"/>
  <c r="AP827" i="13" s="1"/>
  <c r="AP824" i="13" a="1"/>
  <c r="AP824" i="13" s="1"/>
  <c r="AP966" i="13" a="1"/>
  <c r="AP966" i="13" s="1"/>
  <c r="AP954" i="13" a="1"/>
  <c r="AP954" i="13" s="1"/>
  <c r="AP948" i="13" a="1"/>
  <c r="AP948" i="13" s="1"/>
  <c r="AP957" i="13" a="1"/>
  <c r="AP957" i="13" s="1"/>
  <c r="AU18" i="13"/>
  <c r="BA18" i="13"/>
  <c r="BA23" i="13"/>
  <c r="AV22" i="13"/>
  <c r="AV23" i="13"/>
  <c r="AU20" i="13"/>
  <c r="AP962" i="13" a="1"/>
  <c r="AP962" i="13" s="1"/>
  <c r="AP1037" i="13" a="1"/>
  <c r="AP1037" i="13" s="1"/>
  <c r="AP1025" i="13" a="1"/>
  <c r="AP1025" i="13" s="1"/>
  <c r="AP914" i="13" a="1"/>
  <c r="AP914" i="13" s="1"/>
  <c r="AP959" i="13" a="1"/>
  <c r="AP959" i="13" s="1"/>
  <c r="AP917" i="13" a="1"/>
  <c r="AP917" i="13" s="1"/>
  <c r="AP944" i="13" a="1"/>
  <c r="AP944" i="13" s="1"/>
  <c r="AP1001" i="13" a="1"/>
  <c r="AP1001" i="13" s="1"/>
  <c r="AP977" i="13" a="1"/>
  <c r="AP977" i="13" s="1"/>
  <c r="AP941" i="13" a="1"/>
  <c r="AP941" i="13" s="1"/>
  <c r="AP923" i="13" a="1"/>
  <c r="AP923" i="13" s="1"/>
  <c r="BB24" i="13"/>
  <c r="BB11" i="13"/>
  <c r="BA22" i="13"/>
  <c r="AY20" i="13"/>
  <c r="AX10" i="13"/>
  <c r="AN26" i="13"/>
  <c r="AO26" i="13"/>
  <c r="BB14" i="13"/>
  <c r="AW19" i="13"/>
  <c r="AZ25" i="13"/>
  <c r="AW11" i="13"/>
  <c r="AW8" i="13"/>
  <c r="BA24" i="13"/>
  <c r="AV9" i="13"/>
  <c r="AV13" i="13"/>
  <c r="AY18" i="13"/>
  <c r="BA10" i="13"/>
  <c r="BA16" i="13"/>
  <c r="AU15" i="13"/>
  <c r="AZ24" i="13"/>
  <c r="AZ9" i="13"/>
  <c r="AY19" i="13"/>
  <c r="AX8" i="13"/>
  <c r="AW23" i="13"/>
  <c r="AY13" i="13"/>
  <c r="AV14" i="13"/>
  <c r="AN89" i="13"/>
  <c r="AO89" i="13"/>
  <c r="AV21" i="13"/>
  <c r="AP932" i="13" a="1"/>
  <c r="AP932" i="13" s="1"/>
  <c r="AP920" i="13" a="1"/>
  <c r="AP920" i="13" s="1"/>
  <c r="AP935" i="13" a="1"/>
  <c r="AP935" i="13" s="1"/>
  <c r="AZ14" i="13"/>
  <c r="AX24" i="13"/>
  <c r="AX16" i="13"/>
  <c r="AO35" i="13"/>
  <c r="AN35" i="13"/>
  <c r="AY21" i="13"/>
  <c r="AV24" i="13"/>
  <c r="AW20" i="13"/>
  <c r="AV15" i="13"/>
  <c r="AZ21" i="13"/>
  <c r="AY14" i="13"/>
  <c r="AV25" i="13"/>
  <c r="BB18" i="13"/>
  <c r="BB21" i="13"/>
  <c r="AX15" i="13"/>
  <c r="AZ20" i="13"/>
  <c r="BB19" i="13"/>
  <c r="BB25" i="13"/>
  <c r="AX17" i="13"/>
  <c r="AY17" i="13"/>
  <c r="AO8" i="13"/>
  <c r="AN8" i="13"/>
  <c r="AV11" i="13"/>
  <c r="AW25" i="13"/>
  <c r="AU8" i="13"/>
  <c r="AX9" i="13"/>
  <c r="AU12" i="13"/>
  <c r="AW24" i="13"/>
  <c r="BA21" i="13"/>
  <c r="AZ22" i="13"/>
  <c r="AW15" i="13"/>
  <c r="AX20" i="13"/>
  <c r="AP320" i="13" a="1"/>
  <c r="AP320" i="13" s="1"/>
  <c r="AP308" i="13" a="1"/>
  <c r="AP308" i="13" s="1"/>
  <c r="AP311" i="13" a="1"/>
  <c r="AP311" i="13" s="1"/>
  <c r="AP302" i="13" a="1"/>
  <c r="AP302" i="13" s="1"/>
  <c r="AP708" i="13" a="1"/>
  <c r="AP708" i="13" s="1"/>
  <c r="AP696" i="13" a="1"/>
  <c r="AP696" i="13" s="1"/>
  <c r="AP699" i="13" a="1"/>
  <c r="AP699" i="13" s="1"/>
  <c r="AP690" i="13" a="1"/>
  <c r="AP690" i="13" s="1"/>
  <c r="AP1028" i="13" a="1"/>
  <c r="AP1028" i="13" s="1"/>
  <c r="AP1034" i="13" a="1"/>
  <c r="AP1034" i="13" s="1"/>
  <c r="AP1007" i="13" a="1"/>
  <c r="AP1007" i="13" s="1"/>
  <c r="AP989" i="13" a="1"/>
  <c r="AP989" i="13" s="1"/>
  <c r="AP1010" i="13" a="1"/>
  <c r="AP1010" i="13" s="1"/>
  <c r="AP990" i="13" a="1"/>
  <c r="AP990" i="13" s="1"/>
  <c r="AP1029" i="13" a="1"/>
  <c r="AP1029" i="13" s="1"/>
  <c r="AP1035" i="13" a="1"/>
  <c r="AP1035" i="13" s="1"/>
  <c r="AP1008" i="13" a="1"/>
  <c r="AP1008" i="13" s="1"/>
  <c r="AP1011" i="13" a="1"/>
  <c r="AP1011" i="13" s="1"/>
  <c r="AP770" i="13" a="1"/>
  <c r="AP770" i="13" s="1"/>
  <c r="AP749" i="13" a="1"/>
  <c r="AP749" i="13" s="1"/>
  <c r="AP731" i="13" a="1"/>
  <c r="AP731" i="13" s="1"/>
  <c r="AP752" i="13" a="1"/>
  <c r="AP752" i="13" s="1"/>
  <c r="AP776" i="13" a="1"/>
  <c r="AP776" i="13" s="1"/>
  <c r="AZ11" i="13"/>
  <c r="AZ18" i="13"/>
  <c r="BA20" i="13"/>
  <c r="AY12" i="13"/>
  <c r="BA13" i="13"/>
  <c r="AP533" i="13" a="1"/>
  <c r="AP533" i="13" s="1"/>
  <c r="AP545" i="13" a="1"/>
  <c r="AP545" i="13" s="1"/>
  <c r="AP548" i="13" a="1"/>
  <c r="AP548" i="13" s="1"/>
  <c r="AP158" i="13" a="1"/>
  <c r="AP158" i="13" s="1"/>
  <c r="AP161" i="13" a="1"/>
  <c r="AP161" i="13" s="1"/>
  <c r="AP146" i="13" a="1"/>
  <c r="AP146" i="13" s="1"/>
  <c r="AV12" i="13"/>
  <c r="AY23" i="13"/>
  <c r="AZ23" i="13"/>
  <c r="AX23" i="13"/>
  <c r="AP737" i="13" a="1"/>
  <c r="AP737" i="13" s="1"/>
  <c r="AP728" i="13" a="1"/>
  <c r="AP728" i="13" s="1"/>
  <c r="AP716" i="13" a="1"/>
  <c r="AP716" i="13" s="1"/>
  <c r="AP692" i="13" a="1"/>
  <c r="AP692" i="13" s="1"/>
  <c r="AP761" i="13" a="1"/>
  <c r="AP761" i="13" s="1"/>
  <c r="AP740" i="13" a="1"/>
  <c r="AP740" i="13" s="1"/>
  <c r="AP710" i="13" a="1"/>
  <c r="AP710" i="13" s="1"/>
  <c r="AP722" i="13" a="1"/>
  <c r="AP722" i="13" s="1"/>
  <c r="AP713" i="13" a="1"/>
  <c r="AP713" i="13" s="1"/>
  <c r="AP764" i="13" a="1"/>
  <c r="AP764" i="13" s="1"/>
  <c r="AP725" i="13" a="1"/>
  <c r="AP725" i="13" s="1"/>
  <c r="AX21" i="13"/>
  <c r="AX25" i="13"/>
  <c r="AV10" i="13"/>
  <c r="BB22" i="13"/>
  <c r="AZ13" i="13"/>
  <c r="AP567" i="13" a="1"/>
  <c r="AP567" i="13" s="1"/>
  <c r="AP561" i="13" a="1"/>
  <c r="AP561" i="13" s="1"/>
  <c r="AP570" i="13" a="1"/>
  <c r="AP570" i="13" s="1"/>
  <c r="AP579" i="13" a="1"/>
  <c r="AP579" i="13" s="1"/>
  <c r="AW21" i="13"/>
  <c r="AX12" i="13"/>
  <c r="AP346" i="13" a="1"/>
  <c r="AP346" i="13" s="1"/>
  <c r="AP367" i="13" a="1"/>
  <c r="AP367" i="13" s="1"/>
  <c r="AP364" i="13" a="1"/>
  <c r="AP364" i="13" s="1"/>
  <c r="AP391" i="13" a="1"/>
  <c r="AP391" i="13" s="1"/>
  <c r="AP385" i="13" a="1"/>
  <c r="AP385" i="13" s="1"/>
  <c r="AZ16" i="13"/>
  <c r="AY11" i="13"/>
  <c r="AX18" i="13"/>
  <c r="AX14" i="13"/>
  <c r="AP291" i="13" a="1"/>
  <c r="AP291" i="13" s="1"/>
  <c r="AP276" i="13" a="1"/>
  <c r="AP276" i="13" s="1"/>
  <c r="AP288" i="13" a="1"/>
  <c r="AP288" i="13" s="1"/>
  <c r="BA8" i="13"/>
  <c r="AU13" i="13"/>
  <c r="AU25" i="13"/>
  <c r="AX19" i="13"/>
  <c r="BB9" i="13"/>
  <c r="BB23" i="13"/>
  <c r="AU10" i="13"/>
  <c r="AP674" i="13" a="1"/>
  <c r="AP674" i="13" s="1"/>
  <c r="AP662" i="13" a="1"/>
  <c r="AP662" i="13" s="1"/>
  <c r="AP677" i="13" a="1"/>
  <c r="AP677" i="13" s="1"/>
  <c r="AN23" i="13"/>
  <c r="AO23" i="13"/>
  <c r="AU22" i="13"/>
  <c r="AV16" i="13"/>
  <c r="AY24" i="13"/>
  <c r="AW17" i="13"/>
  <c r="AY9" i="13"/>
  <c r="AU19" i="13"/>
  <c r="BA19" i="13"/>
  <c r="AW16" i="13"/>
  <c r="AU16" i="13"/>
  <c r="BA14" i="13"/>
  <c r="AO113" i="13"/>
  <c r="AN113" i="13"/>
  <c r="BA15" i="13"/>
  <c r="AY22" i="13"/>
  <c r="BB17" i="13"/>
  <c r="BB20" i="13"/>
  <c r="AX22" i="13"/>
  <c r="AW12" i="13"/>
  <c r="AV20" i="13"/>
  <c r="AU9" i="13"/>
  <c r="AX11" i="13"/>
  <c r="BA12" i="13"/>
  <c r="AZ19" i="13"/>
  <c r="AY16" i="13"/>
  <c r="AW13" i="13"/>
  <c r="BA25" i="13"/>
  <c r="BB12" i="13"/>
  <c r="AO354" i="9"/>
  <c r="AO795" i="9"/>
  <c r="AO256" i="9"/>
  <c r="AO626" i="9"/>
  <c r="AO112" i="9"/>
  <c r="AO625" i="9"/>
  <c r="AO690" i="9"/>
  <c r="AO437" i="9"/>
  <c r="AO414" i="9"/>
  <c r="AO632" i="9"/>
  <c r="AO730" i="9"/>
  <c r="AO623" i="9"/>
  <c r="AO643" i="9"/>
  <c r="AO1033" i="9"/>
  <c r="AO759" i="9"/>
  <c r="AO262" i="9"/>
  <c r="AO960" i="9"/>
  <c r="AO508" i="9"/>
  <c r="AO253" i="9"/>
  <c r="AO857" i="9"/>
  <c r="AO696" i="9"/>
  <c r="AO766" i="9"/>
  <c r="AN956" i="9"/>
  <c r="AO750" i="9"/>
  <c r="AO667" i="9"/>
  <c r="AO204" i="9"/>
  <c r="AO685" i="9"/>
  <c r="AO175" i="9"/>
  <c r="AO752" i="9"/>
  <c r="AO392" i="9"/>
  <c r="AO462" i="9"/>
  <c r="AO865" i="9"/>
  <c r="AO252" i="9"/>
  <c r="AO468" i="9"/>
  <c r="AO1002" i="9"/>
  <c r="AO638" i="9"/>
  <c r="AO649" i="9"/>
  <c r="AO919" i="9"/>
  <c r="AO95" i="9"/>
  <c r="AO344" i="9"/>
  <c r="AO1007" i="9"/>
  <c r="AO282" i="9"/>
  <c r="AO70" i="9"/>
  <c r="AO134" i="9"/>
  <c r="AO247" i="9"/>
  <c r="AO81" i="9"/>
  <c r="AO801" i="9"/>
  <c r="AO111" i="9"/>
  <c r="AO29" i="9"/>
  <c r="AO475" i="9"/>
  <c r="AO41" i="9"/>
  <c r="AO184" i="9"/>
  <c r="AO820" i="9"/>
  <c r="AO183" i="9"/>
  <c r="AO143" i="9"/>
  <c r="AO238" i="9"/>
  <c r="AO300" i="9"/>
  <c r="AO10" i="9"/>
  <c r="AO445" i="9"/>
  <c r="AO1035" i="9"/>
  <c r="AO588" i="9"/>
  <c r="AO165" i="9"/>
  <c r="AO637" i="9"/>
  <c r="AO115" i="9"/>
  <c r="AO729" i="9"/>
  <c r="AO699" i="9"/>
  <c r="AO294" i="9"/>
  <c r="AO301" i="9"/>
  <c r="AO844" i="9"/>
  <c r="AO110" i="9"/>
  <c r="AO439" i="9"/>
  <c r="AX21" i="9" s="1"/>
  <c r="AP442" i="9" s="1" a="1"/>
  <c r="AP442" i="9" s="1"/>
  <c r="AO51" i="9"/>
  <c r="AO913" i="9"/>
  <c r="AO574" i="9"/>
  <c r="AO786" i="9"/>
  <c r="AO878" i="9"/>
  <c r="AO928" i="9"/>
  <c r="AO566" i="9"/>
  <c r="AO797" i="9"/>
  <c r="AO633" i="9"/>
  <c r="AO867" i="9"/>
  <c r="AO748" i="9"/>
  <c r="AO39" i="9"/>
  <c r="AO700" i="9"/>
  <c r="AO745" i="9"/>
  <c r="AO590" i="9"/>
  <c r="AO521" i="9"/>
  <c r="AO606" i="9"/>
  <c r="AO189" i="9"/>
  <c r="AO286" i="9"/>
  <c r="AO44" i="9"/>
  <c r="AO679" i="9"/>
  <c r="AO324" i="9"/>
  <c r="AO792" i="9"/>
  <c r="AO938" i="9"/>
  <c r="AO228" i="9"/>
  <c r="AO88" i="9"/>
  <c r="AO934" i="9"/>
  <c r="AO98" i="9"/>
  <c r="AO939" i="9"/>
  <c r="AO489" i="9"/>
  <c r="AO725" i="9"/>
  <c r="AO957" i="9"/>
  <c r="AO73" i="9"/>
  <c r="AO775" i="9"/>
  <c r="AO419" i="9"/>
  <c r="AO31" i="9"/>
  <c r="AO495" i="9"/>
  <c r="AO96" i="9"/>
  <c r="AO328" i="9"/>
  <c r="AO930" i="9"/>
  <c r="AO793" i="9"/>
  <c r="AO611" i="9"/>
  <c r="AN780" i="9"/>
  <c r="AO532" i="9"/>
  <c r="AO560" i="9"/>
  <c r="AO57" i="9"/>
  <c r="AO366" i="9"/>
  <c r="AO756" i="9"/>
  <c r="AO762" i="9"/>
  <c r="AO71" i="9"/>
  <c r="AO105" i="9"/>
  <c r="AO680" i="9"/>
  <c r="AO920" i="9"/>
  <c r="AO995" i="9"/>
  <c r="AO660" i="9"/>
  <c r="AO229" i="9"/>
  <c r="AO933" i="9"/>
  <c r="AO345" i="9"/>
  <c r="AO582" i="9"/>
  <c r="AO144" i="9"/>
  <c r="AO233" i="9"/>
  <c r="AO290" i="9"/>
  <c r="AN923" i="9"/>
  <c r="AO52" i="9"/>
  <c r="AO230" i="9"/>
  <c r="AO837" i="9"/>
  <c r="AO596" i="9"/>
  <c r="AO542" i="9"/>
  <c r="AO758" i="9"/>
  <c r="AO614" i="9"/>
  <c r="AO181" i="9"/>
  <c r="AO100" i="9"/>
  <c r="AO343" i="9"/>
  <c r="AO728" i="9"/>
  <c r="AO1013" i="9"/>
  <c r="AO447" i="9"/>
  <c r="AO170" i="9"/>
  <c r="AO697" i="9"/>
  <c r="AO68" i="9"/>
  <c r="AO178" i="9"/>
  <c r="AO732" i="9"/>
  <c r="AZ16" i="9" s="1"/>
  <c r="AP732" i="9" s="1" a="1"/>
  <c r="AP732" i="9" s="1"/>
  <c r="AO885" i="9"/>
  <c r="AO270" i="9"/>
  <c r="AO36" i="9"/>
  <c r="AO610" i="9"/>
  <c r="AO34" i="9"/>
  <c r="AO785" i="9"/>
  <c r="AO858" i="9"/>
  <c r="AO479" i="9"/>
  <c r="AO295" i="9"/>
  <c r="AO465" i="9"/>
  <c r="AO783" i="9"/>
  <c r="AO624" i="9"/>
  <c r="AO160" i="9"/>
  <c r="AO981" i="9"/>
  <c r="AO30" i="9"/>
  <c r="AO297" i="9"/>
  <c r="AO405" i="9"/>
  <c r="AO527" i="9"/>
  <c r="AO949" i="9"/>
  <c r="AO48" i="9"/>
  <c r="AO120" i="9"/>
  <c r="AO28" i="9"/>
  <c r="AO75" i="9"/>
  <c r="AO810" i="9"/>
  <c r="AO746" i="9"/>
  <c r="AO937" i="9"/>
  <c r="AO94" i="9"/>
  <c r="AO197" i="9"/>
  <c r="AO863" i="9"/>
  <c r="AO522" i="9"/>
  <c r="AO712" i="9"/>
  <c r="AO365" i="9"/>
  <c r="AO83" i="9"/>
  <c r="AO899" i="9"/>
  <c r="AN318" i="9"/>
  <c r="AO886" i="9"/>
  <c r="AO1006" i="9"/>
  <c r="AO255" i="9"/>
  <c r="AO961" i="9"/>
  <c r="AO883" i="9"/>
  <c r="AN996" i="9"/>
  <c r="AO416" i="9"/>
  <c r="AO564" i="9"/>
  <c r="AO237" i="9"/>
  <c r="AO882" i="9"/>
  <c r="AO482" i="9"/>
  <c r="AO825" i="9"/>
  <c r="AO149" i="9"/>
  <c r="AO376" i="9"/>
  <c r="AO997" i="9"/>
  <c r="AO145" i="9"/>
  <c r="AO701" i="9"/>
  <c r="AO970" i="9"/>
  <c r="AO351" i="9"/>
  <c r="AO353" i="9"/>
  <c r="AO634" i="9"/>
  <c r="AO474" i="9"/>
  <c r="AO284" i="9"/>
  <c r="AO413" i="9"/>
  <c r="AO315" i="9"/>
  <c r="AO835" i="9"/>
  <c r="AO477" i="9"/>
  <c r="AO322" i="9"/>
  <c r="AO707" i="9"/>
  <c r="AO451" i="9"/>
  <c r="AO764" i="9"/>
  <c r="AO77" i="9"/>
  <c r="AO540" i="9"/>
  <c r="AO879" i="9"/>
  <c r="AO370" i="9"/>
  <c r="AO54" i="9"/>
  <c r="AO1024" i="9"/>
  <c r="AO663" i="9"/>
  <c r="AO194" i="9"/>
  <c r="AO1010" i="9"/>
  <c r="AO490" i="9"/>
  <c r="AO310" i="9"/>
  <c r="AO861" i="9"/>
  <c r="AO678" i="9"/>
  <c r="AO128" i="9"/>
  <c r="AO304" i="9"/>
  <c r="AO212" i="9"/>
  <c r="AO523" i="9"/>
  <c r="AO1005" i="9"/>
  <c r="AO327" i="9"/>
  <c r="AO18" i="9"/>
  <c r="AO888" i="9"/>
  <c r="AO800" i="9"/>
  <c r="AO388" i="9"/>
  <c r="AO136" i="9"/>
  <c r="AO179" i="9"/>
  <c r="AO855" i="9"/>
  <c r="AO38" i="9"/>
  <c r="AO246" i="9"/>
  <c r="AO664" i="9"/>
  <c r="AO681" i="9"/>
  <c r="AO224" i="9"/>
  <c r="AO1018" i="9"/>
  <c r="AO381" i="9"/>
  <c r="AO158" i="9"/>
  <c r="AO283" i="9"/>
  <c r="AO507" i="9"/>
  <c r="AO329" i="9"/>
  <c r="AO21" i="9"/>
  <c r="AO510" i="9"/>
  <c r="AO740" i="9"/>
  <c r="AO816" i="9"/>
  <c r="AO553" i="9"/>
  <c r="AO400" i="9"/>
  <c r="AO308" i="9"/>
  <c r="AO358" i="9"/>
  <c r="AO1038" i="9"/>
  <c r="AO102" i="9"/>
  <c r="AO1000" i="9"/>
  <c r="AO171" i="9"/>
  <c r="AO600" i="9"/>
  <c r="AO257" i="9"/>
  <c r="AO338" i="9"/>
  <c r="AO375" i="9"/>
  <c r="AO787" i="9"/>
  <c r="AO1021" i="9"/>
  <c r="AO516" i="9"/>
  <c r="AO87" i="9"/>
  <c r="AO456" i="9"/>
  <c r="AO214" i="9"/>
  <c r="AO944" i="9"/>
  <c r="AO55" i="9"/>
  <c r="AO720" i="9"/>
  <c r="AO931" i="9"/>
  <c r="AO389" i="9"/>
  <c r="AO856" i="9"/>
  <c r="AO27" i="9"/>
  <c r="AO569" i="9"/>
  <c r="AO897" i="9"/>
  <c r="AO173" i="9"/>
  <c r="AO806" i="9"/>
  <c r="AO53" i="9"/>
  <c r="AO543" i="9"/>
  <c r="AO573" i="9"/>
  <c r="AO177" i="9"/>
  <c r="AO407" i="9"/>
  <c r="AO364" i="9"/>
  <c r="AO646" i="9"/>
  <c r="AO682" i="9"/>
  <c r="AO374" i="9"/>
  <c r="AO360" i="9"/>
  <c r="AO609" i="9"/>
  <c r="AO894" i="9"/>
  <c r="AO558" i="9"/>
  <c r="AO63" i="9"/>
  <c r="AO567" i="9"/>
  <c r="AO989" i="9"/>
  <c r="AO208" i="9"/>
  <c r="AO131" i="9"/>
  <c r="AO665" i="9"/>
  <c r="AO357" i="9"/>
  <c r="AO277" i="9"/>
  <c r="AO909" i="9"/>
  <c r="AO135" i="9"/>
  <c r="AO92" i="9"/>
  <c r="AO647" i="9"/>
  <c r="AO769" i="9"/>
  <c r="AO992" i="9"/>
  <c r="AO541" i="9"/>
  <c r="AO245" i="9"/>
  <c r="AO467" i="9"/>
  <c r="AO749" i="9"/>
  <c r="AO121" i="9"/>
  <c r="AO116" i="9"/>
  <c r="AO325" i="9"/>
  <c r="AO906" i="9"/>
  <c r="AO498" i="9"/>
  <c r="AO556" i="9"/>
  <c r="AO460" i="9"/>
  <c r="AO49" i="9"/>
  <c r="AO724" i="9"/>
  <c r="AO514" i="9"/>
  <c r="AO132" i="9"/>
  <c r="AO860" i="9"/>
  <c r="AO20" i="9"/>
  <c r="AO273" i="9"/>
  <c r="AO356" i="9"/>
  <c r="AO291" i="9"/>
  <c r="AO557" i="9"/>
  <c r="AO227" i="9"/>
  <c r="AO742" i="9"/>
  <c r="AO782" i="9"/>
  <c r="AO159" i="9"/>
  <c r="AO799" i="9"/>
  <c r="AO359" i="9"/>
  <c r="AO316" i="9"/>
  <c r="AO845" i="9"/>
  <c r="AO798" i="9"/>
  <c r="AO61" i="9"/>
  <c r="AO141" i="9"/>
  <c r="AO137" i="9"/>
  <c r="AO133" i="9"/>
  <c r="AO337" i="9"/>
  <c r="AO385" i="9"/>
  <c r="AO66" i="9"/>
  <c r="AO581" i="9"/>
  <c r="AO721" i="9"/>
  <c r="AO704" i="9"/>
  <c r="AO450" i="9"/>
  <c r="AO107" i="9"/>
  <c r="AO719" i="9"/>
  <c r="AO768" i="9"/>
  <c r="AO904" i="9"/>
  <c r="AO408" i="9"/>
  <c r="AO526" i="9"/>
  <c r="AO470" i="9"/>
  <c r="AO969" i="9"/>
  <c r="AO62" i="9"/>
  <c r="AO585" i="9"/>
  <c r="AO824" i="9"/>
  <c r="AO161" i="9"/>
  <c r="AO195" i="9"/>
  <c r="AO598" i="9"/>
  <c r="AO695" i="9"/>
  <c r="AO804" i="9"/>
  <c r="AO880" i="9"/>
  <c r="AO326" i="9"/>
  <c r="AO963" i="9"/>
  <c r="AO847" i="9"/>
  <c r="AO203" i="9"/>
  <c r="AO967" i="9"/>
  <c r="AO1003" i="9"/>
  <c r="AO621" i="9"/>
  <c r="AO12" i="9"/>
  <c r="AO37" i="9"/>
  <c r="AO811" i="9"/>
  <c r="AO736" i="9"/>
  <c r="AO497" i="9"/>
  <c r="AO281" i="9"/>
  <c r="AO509" i="9"/>
  <c r="AO91" i="9"/>
  <c r="AO454" i="9"/>
  <c r="AO80" i="9"/>
  <c r="AO692" i="9"/>
  <c r="AO754" i="9"/>
  <c r="AO188" i="9"/>
  <c r="AO708" i="9"/>
  <c r="AO965" i="9"/>
  <c r="AO854" i="9"/>
  <c r="AO313" i="9"/>
  <c r="AO951" i="9"/>
  <c r="AO496" i="9"/>
  <c r="AO903" i="9"/>
  <c r="AO650" i="9"/>
  <c r="AO206" i="9"/>
  <c r="AO441" i="9"/>
  <c r="AO688" i="9"/>
  <c r="AO570" i="9"/>
  <c r="AO568" i="9"/>
  <c r="AO693" i="9"/>
  <c r="AO794" i="9"/>
  <c r="AO266" i="9"/>
  <c r="AO922" i="9"/>
  <c r="BB20" i="9" s="1"/>
  <c r="AP937" i="9" s="1" a="1"/>
  <c r="AP937" i="9" s="1"/>
  <c r="AO362" i="9"/>
  <c r="AO285" i="9"/>
  <c r="AO936" i="9"/>
  <c r="AO411" i="9"/>
  <c r="AO139" i="9"/>
  <c r="AO511" i="9"/>
  <c r="AO674" i="9"/>
  <c r="AO404" i="9"/>
  <c r="AX8" i="9" s="1"/>
  <c r="AP404" i="9" s="1" a="1"/>
  <c r="AP404" i="9" s="1"/>
  <c r="AO722" i="9"/>
  <c r="AO241" i="9"/>
  <c r="AO296" i="9"/>
  <c r="AO776" i="9"/>
  <c r="AO627" i="9"/>
  <c r="AO583" i="9"/>
  <c r="AO503" i="9"/>
  <c r="AO974" i="9"/>
  <c r="AO530" i="9"/>
  <c r="AO292" i="9"/>
  <c r="AO409" i="9"/>
  <c r="AO738" i="9"/>
  <c r="AO202" i="9"/>
  <c r="AO163" i="9"/>
  <c r="AO279" i="9"/>
  <c r="AO379" i="9"/>
  <c r="AO539" i="9"/>
  <c r="AO19" i="9"/>
  <c r="AO45" i="9"/>
  <c r="AO927" i="9"/>
  <c r="AO973" i="9"/>
  <c r="AO280" i="9"/>
  <c r="AO446" i="9"/>
  <c r="AO615" i="9"/>
  <c r="AO1029" i="9"/>
  <c r="AO47" i="9"/>
  <c r="AO689" i="9"/>
  <c r="AO668" i="9"/>
  <c r="AO56" i="9"/>
  <c r="AO46" i="9"/>
  <c r="AU21" i="9" s="1"/>
  <c r="AP46" i="9" s="1" a="1"/>
  <c r="AP46" i="9" s="1"/>
  <c r="AO373" i="9"/>
  <c r="AO209" i="9"/>
  <c r="AO109" i="9"/>
  <c r="AO546" i="9"/>
  <c r="AO846" i="9"/>
  <c r="AO985" i="9"/>
  <c r="AO476" i="9"/>
  <c r="AO155" i="9"/>
  <c r="AO713" i="9"/>
  <c r="AO43" i="9"/>
  <c r="AO955" i="9"/>
  <c r="AO945" i="9"/>
  <c r="AO673" i="9"/>
  <c r="AO33" i="9"/>
  <c r="AO76" i="9"/>
  <c r="AO397" i="9"/>
  <c r="AO849" i="9"/>
  <c r="AO925" i="9"/>
  <c r="AO106" i="9"/>
  <c r="AO703" i="9"/>
  <c r="AO784" i="9"/>
  <c r="AO641" i="9"/>
  <c r="AO13" i="9"/>
  <c r="AO874" i="9"/>
  <c r="AO236" i="9"/>
  <c r="AO17" i="9"/>
  <c r="AO717" i="9"/>
  <c r="AO231" i="9"/>
  <c r="AO339" i="9"/>
  <c r="AO505" i="9"/>
  <c r="AO232" i="9"/>
  <c r="AO823" i="9"/>
  <c r="AO915" i="9"/>
  <c r="AO60" i="9"/>
  <c r="AO830" i="9"/>
  <c r="AO843" i="9"/>
  <c r="AO839" i="9"/>
  <c r="AO330" i="9"/>
  <c r="AO676" i="9"/>
  <c r="AO97" i="9"/>
  <c r="AO524" i="9"/>
  <c r="AO601" i="9"/>
  <c r="AO828" i="9"/>
  <c r="AO152" i="9"/>
  <c r="AO386" i="9"/>
  <c r="AO1017" i="9"/>
  <c r="AO559" i="9"/>
  <c r="AO403" i="9"/>
  <c r="AO658" i="9"/>
  <c r="AO251" i="9"/>
  <c r="AO757" i="9"/>
  <c r="AO735" i="9"/>
  <c r="AO103" i="9"/>
  <c r="AO427" i="9"/>
  <c r="AO872" i="9"/>
  <c r="AO739" i="9"/>
  <c r="AO162" i="9"/>
  <c r="AO213" i="9"/>
  <c r="AN1027" i="9"/>
  <c r="AO789" i="9"/>
  <c r="AO603" i="9"/>
  <c r="AO127" i="9"/>
  <c r="AO176" i="9"/>
  <c r="AO129" i="9"/>
  <c r="AO84" i="9"/>
  <c r="AO126" i="9"/>
  <c r="AO101" i="9"/>
  <c r="AO261" i="9"/>
  <c r="AO895" i="9"/>
  <c r="AO761" i="9"/>
  <c r="AO716" i="9"/>
  <c r="AO916" i="9"/>
  <c r="AO812" i="9"/>
  <c r="AO396" i="9"/>
  <c r="AO164" i="9"/>
  <c r="AO435" i="9"/>
  <c r="AO187" i="9"/>
  <c r="AO59" i="9"/>
  <c r="AO802" i="9"/>
  <c r="AO952" i="9"/>
  <c r="AO346" i="9"/>
  <c r="AO306" i="9"/>
  <c r="AO631" i="9"/>
  <c r="AO924" i="9"/>
  <c r="AO493" i="9"/>
  <c r="AO151" i="9"/>
  <c r="AO200" i="9"/>
  <c r="AO153" i="9"/>
  <c r="AO108" i="9"/>
  <c r="AO99" i="9"/>
  <c r="AO174" i="9"/>
  <c r="AO309" i="9"/>
  <c r="AO342" i="9"/>
  <c r="AO350" i="9"/>
  <c r="AO196" i="9"/>
  <c r="AO166" i="9"/>
  <c r="AO942" i="9"/>
  <c r="AO398" i="9"/>
  <c r="AO371" i="9"/>
  <c r="AO288" i="9"/>
  <c r="AO902" i="9"/>
  <c r="AN93" i="9"/>
  <c r="AO142" i="9"/>
  <c r="AO199" i="9"/>
  <c r="AO248" i="9"/>
  <c r="AO201" i="9"/>
  <c r="AO156" i="9"/>
  <c r="AO226" i="9"/>
  <c r="AO275" i="9"/>
  <c r="AW8" i="9" s="1"/>
  <c r="AP290" i="9" s="1" a="1"/>
  <c r="AP290" i="9" s="1"/>
  <c r="AO395" i="9"/>
  <c r="AO962" i="9"/>
  <c r="AO772" i="9"/>
  <c r="AO271" i="9"/>
  <c r="AO320" i="9"/>
  <c r="AO500" i="9"/>
  <c r="AO723" i="9"/>
  <c r="AO484" i="9"/>
  <c r="AO1009" i="9"/>
  <c r="AO642" i="9"/>
  <c r="AO278" i="9"/>
  <c r="AO993" i="9"/>
  <c r="AO235" i="9"/>
  <c r="AV22" i="9" s="1"/>
  <c r="AP235" i="9" s="1" a="1"/>
  <c r="AP235" i="9" s="1"/>
  <c r="AO977" i="9"/>
  <c r="AO545" i="9"/>
  <c r="AO950" i="9"/>
  <c r="AO335" i="9"/>
  <c r="AO529" i="9"/>
  <c r="AO319" i="9"/>
  <c r="AO321" i="9"/>
  <c r="AO443" i="9"/>
  <c r="AO555" i="9"/>
  <c r="AO976" i="9"/>
  <c r="AO640" i="9"/>
  <c r="AO892" i="9"/>
  <c r="AO907" i="9"/>
  <c r="AO572" i="9"/>
  <c r="AO655" i="9"/>
  <c r="AO431" i="9"/>
  <c r="AO438" i="9"/>
  <c r="AO469" i="9"/>
  <c r="AO848" i="9"/>
  <c r="AO90" i="9"/>
  <c r="AO119" i="9"/>
  <c r="AO870" i="9"/>
  <c r="AO605" i="9"/>
  <c r="AO672" i="9"/>
  <c r="AO901" i="9"/>
  <c r="AO368" i="9"/>
  <c r="AO276" i="9"/>
  <c r="AO481" i="9"/>
  <c r="AO513" i="9"/>
  <c r="AO891" i="9"/>
  <c r="AO670" i="9"/>
  <c r="AO118" i="9"/>
  <c r="AO947" i="9"/>
  <c r="AO599" i="9"/>
  <c r="AO377" i="9"/>
  <c r="AO592" i="9"/>
  <c r="AO485" i="9"/>
  <c r="AO223" i="9"/>
  <c r="AO272" i="9"/>
  <c r="AO225" i="9"/>
  <c r="AO180" i="9"/>
  <c r="AO274" i="9"/>
  <c r="AO323" i="9"/>
  <c r="AO434" i="9"/>
  <c r="AO461" i="9"/>
  <c r="AO402" i="9"/>
  <c r="AO463" i="9"/>
  <c r="AO612" i="9"/>
  <c r="AO918" i="9"/>
  <c r="AO239" i="9"/>
  <c r="AO459" i="9"/>
  <c r="AO817" i="9"/>
  <c r="AO347" i="9"/>
  <c r="AO269" i="9"/>
  <c r="AO1008" i="9"/>
  <c r="AO747" i="9"/>
  <c r="AO423" i="9"/>
  <c r="AO472" i="9"/>
  <c r="AO82" i="9"/>
  <c r="AO380" i="9"/>
  <c r="AO571" i="9"/>
  <c r="AO597" i="9"/>
  <c r="AO662" i="9"/>
  <c r="AZ8" i="9" s="1"/>
  <c r="AP674" i="9" s="1" a="1"/>
  <c r="AP674" i="9" s="1"/>
  <c r="AO864" i="9"/>
  <c r="AO834" i="9"/>
  <c r="AO424" i="9"/>
  <c r="AO483" i="9"/>
  <c r="AO917" i="9"/>
  <c r="AO448" i="9"/>
  <c r="AO466" i="9"/>
  <c r="AO954" i="9"/>
  <c r="AO494" i="9"/>
  <c r="AX10" i="9" s="1"/>
  <c r="AP518" i="9" s="1" a="1"/>
  <c r="AP518" i="9" s="1"/>
  <c r="AO117" i="9"/>
  <c r="AO946" i="9"/>
  <c r="AO391" i="9"/>
  <c r="AO440" i="9"/>
  <c r="AO50" i="9"/>
  <c r="AO348" i="9"/>
  <c r="AO534" i="9"/>
  <c r="AO563" i="9"/>
  <c r="AO630" i="9"/>
  <c r="AO104" i="9"/>
  <c r="AO659" i="9"/>
  <c r="AO987" i="9"/>
  <c r="AO580" i="9"/>
  <c r="AO492" i="9"/>
  <c r="AO608" i="9"/>
  <c r="AO796" i="9"/>
  <c r="AO14" i="9"/>
  <c r="AO815" i="9"/>
  <c r="AO1031" i="9"/>
  <c r="AO520" i="9"/>
  <c r="AO130" i="9"/>
  <c r="AO428" i="9"/>
  <c r="AO620" i="9"/>
  <c r="AO645" i="9"/>
  <c r="AO710" i="9"/>
  <c r="AO781" i="9"/>
  <c r="AO417" i="9"/>
  <c r="AX14" i="9" s="1"/>
  <c r="AP405" i="9" s="1" a="1"/>
  <c r="AP405" i="9" s="1"/>
  <c r="AO755" i="9"/>
  <c r="AO743" i="9"/>
  <c r="AO691" i="9"/>
  <c r="AO125" i="9"/>
  <c r="AO355" i="9"/>
  <c r="AO268" i="9"/>
  <c r="AO941" i="9"/>
  <c r="AO876" i="9"/>
  <c r="AO185" i="9"/>
  <c r="AO65" i="9"/>
  <c r="AO157" i="9"/>
  <c r="AO648" i="9"/>
  <c r="AO791" i="9"/>
  <c r="AO657" i="9"/>
  <c r="AO618" i="9"/>
  <c r="AO480" i="9"/>
  <c r="AO986" i="9"/>
  <c r="AO415" i="9"/>
  <c r="AO464" i="9"/>
  <c r="AO74" i="9"/>
  <c r="AO372" i="9"/>
  <c r="AO562" i="9"/>
  <c r="AO589" i="9"/>
  <c r="AO654" i="9"/>
  <c r="AO182" i="9"/>
  <c r="AO733" i="9"/>
  <c r="AO471" i="9"/>
  <c r="AO314" i="9"/>
  <c r="AN988" i="9"/>
  <c r="AO958" i="9"/>
  <c r="BB21" i="9" s="1"/>
  <c r="AP955" i="9" s="1" a="1"/>
  <c r="AP955" i="9" s="1"/>
  <c r="AN741" i="9"/>
  <c r="AO982" i="9"/>
  <c r="AO548" i="9"/>
  <c r="AO890" i="9"/>
  <c r="AO1004" i="9"/>
  <c r="AO889" i="9"/>
  <c r="AN991" i="9"/>
  <c r="AO829" i="9"/>
  <c r="AN587" i="9"/>
  <c r="AO1030" i="9"/>
  <c r="AO616" i="9"/>
  <c r="AO779" i="9"/>
  <c r="AO805" i="9"/>
  <c r="AO651" i="9"/>
  <c r="AO790" i="9"/>
  <c r="AO905" i="9"/>
  <c r="AN964" i="9"/>
  <c r="AO760" i="9"/>
  <c r="AO966" i="9"/>
  <c r="AO1039" i="9"/>
  <c r="AO250" i="9"/>
  <c r="AO584" i="9"/>
  <c r="AN478" i="9"/>
  <c r="AO853" i="9"/>
  <c r="AO898" i="9"/>
  <c r="AO935" i="9"/>
  <c r="AN932" i="9"/>
  <c r="AN1037" i="9"/>
  <c r="AN819" i="9"/>
  <c r="AO959" i="9"/>
  <c r="AO813" i="9"/>
  <c r="AO948" i="9"/>
  <c r="AO896" i="9"/>
  <c r="AN983" i="9"/>
  <c r="AN429" i="9"/>
  <c r="AN190" i="9"/>
  <c r="AO1014" i="9"/>
  <c r="AO378" i="9"/>
  <c r="AN515" i="9"/>
  <c r="AO1020" i="9"/>
  <c r="AO999" i="9"/>
  <c r="AN914" i="9"/>
  <c r="AO862" i="9"/>
  <c r="AO881" i="9"/>
  <c r="AN551" i="9"/>
  <c r="AO254" i="9"/>
  <c r="AO926" i="9"/>
  <c r="AN972" i="9"/>
  <c r="AO827" i="9"/>
  <c r="AO683" i="9"/>
  <c r="AN1032" i="9"/>
  <c r="AO998" i="9"/>
  <c r="AO940" i="9"/>
  <c r="AO715" i="9"/>
  <c r="AO868" i="9"/>
  <c r="AO763" i="9"/>
  <c r="AO877" i="9"/>
  <c r="Y6" i="9"/>
  <c r="K3" i="9" s="1"/>
  <c r="AO619" i="9"/>
  <c r="AN838" i="9"/>
  <c r="AO1036" i="9"/>
  <c r="AO859" i="9"/>
  <c r="AN1023" i="9"/>
  <c r="AO980" i="9"/>
  <c r="AO1015" i="9"/>
  <c r="AO1019" i="9"/>
  <c r="AO1028" i="9"/>
  <c r="AN1012" i="9"/>
  <c r="AO908" i="9"/>
  <c r="AN943" i="9"/>
  <c r="AO943" i="9"/>
  <c r="AN975" i="9"/>
  <c r="AO975" i="9"/>
  <c r="AY22" i="9"/>
  <c r="AP604" i="9" s="1" a="1"/>
  <c r="AP604" i="9" s="1"/>
  <c r="AY20" i="9"/>
  <c r="AP547" i="9" s="1" a="1"/>
  <c r="AP547" i="9" s="1"/>
  <c r="AX20" i="9"/>
  <c r="AP406" i="9" s="1" a="1"/>
  <c r="AP406" i="9" s="1"/>
  <c r="AO23" i="9"/>
  <c r="AO89" i="9"/>
  <c r="AO8" i="9"/>
  <c r="AO35" i="9"/>
  <c r="AO26" i="9"/>
  <c r="AO113" i="9"/>
  <c r="AP390" i="13" l="1" a="1"/>
  <c r="AP390" i="13" s="1"/>
  <c r="AP366" i="13" a="1"/>
  <c r="AP366" i="13" s="1"/>
  <c r="AP345" i="13" a="1"/>
  <c r="AP345" i="13" s="1"/>
  <c r="AP384" i="13" a="1"/>
  <c r="AP384" i="13" s="1"/>
  <c r="AP363" i="13" a="1"/>
  <c r="AP363" i="13" s="1"/>
  <c r="AP464" i="13" a="1"/>
  <c r="AP464" i="13" s="1"/>
  <c r="AP452" i="13" a="1"/>
  <c r="AP452" i="13" s="1"/>
  <c r="AP506" i="13" a="1"/>
  <c r="AP506" i="13" s="1"/>
  <c r="AP458" i="13" a="1"/>
  <c r="AP458" i="13" s="1"/>
  <c r="AP470" i="13" a="1"/>
  <c r="AP470" i="13" s="1"/>
  <c r="AP479" i="13" a="1"/>
  <c r="AP479" i="13" s="1"/>
  <c r="AP482" i="13" a="1"/>
  <c r="AP482" i="13" s="1"/>
  <c r="AP455" i="13" a="1"/>
  <c r="AP455" i="13" s="1"/>
  <c r="AP503" i="13" a="1"/>
  <c r="AP503" i="13" s="1"/>
  <c r="AP467" i="13" a="1"/>
  <c r="AP467" i="13" s="1"/>
  <c r="AP434" i="13" a="1"/>
  <c r="AP434" i="13" s="1"/>
  <c r="AP628" i="13" a="1"/>
  <c r="AP628" i="13" s="1"/>
  <c r="AP646" i="13" a="1"/>
  <c r="AP646" i="13" s="1"/>
  <c r="AP619" i="13" a="1"/>
  <c r="AP619" i="13" s="1"/>
  <c r="AP553" i="13" a="1"/>
  <c r="AP553" i="13" s="1"/>
  <c r="AP526" i="13" a="1"/>
  <c r="AP526" i="13" s="1"/>
  <c r="AP631" i="13" a="1"/>
  <c r="AP631" i="13" s="1"/>
  <c r="AP544" i="13" a="1"/>
  <c r="AP544" i="13" s="1"/>
  <c r="AP541" i="13" a="1"/>
  <c r="AP541" i="13" s="1"/>
  <c r="AP607" i="13" a="1"/>
  <c r="AP607" i="13" s="1"/>
  <c r="AP265" i="13" a="1"/>
  <c r="AP265" i="13" s="1"/>
  <c r="AP172" i="13" a="1"/>
  <c r="AP172" i="13" s="1"/>
  <c r="AP229" i="13" a="1"/>
  <c r="AP229" i="13" s="1"/>
  <c r="AP187" i="13" a="1"/>
  <c r="AP187" i="13" s="1"/>
  <c r="AP205" i="13" a="1"/>
  <c r="AP205" i="13" s="1"/>
  <c r="AP169" i="13" a="1"/>
  <c r="AP169" i="13" s="1"/>
  <c r="AP190" i="13" a="1"/>
  <c r="AP190" i="13" s="1"/>
  <c r="AP151" i="13" a="1"/>
  <c r="AP151" i="13" s="1"/>
  <c r="AP253" i="13" a="1"/>
  <c r="AP253" i="13" s="1"/>
  <c r="AP142" i="13" a="1"/>
  <c r="AP142" i="13" s="1"/>
  <c r="AP145" i="13" a="1"/>
  <c r="AP145" i="13" s="1"/>
  <c r="AP547" i="13" a="1"/>
  <c r="AP547" i="13" s="1"/>
  <c r="AP535" i="13" a="1"/>
  <c r="AP535" i="13" s="1"/>
  <c r="AP550" i="13" a="1"/>
  <c r="AP550" i="13" s="1"/>
  <c r="AP1017" i="13" a="1"/>
  <c r="AP1017" i="13" s="1"/>
  <c r="AP1005" i="13" a="1"/>
  <c r="AP1005" i="13" s="1"/>
  <c r="AP927" i="13" a="1"/>
  <c r="AP927" i="13" s="1"/>
  <c r="AP1014" i="13" a="1"/>
  <c r="AP1014" i="13" s="1"/>
  <c r="AP939" i="13" a="1"/>
  <c r="AP939" i="13" s="1"/>
  <c r="AP993" i="13" a="1"/>
  <c r="AP993" i="13" s="1"/>
  <c r="AP1032" i="13" a="1"/>
  <c r="AP1032" i="13" s="1"/>
  <c r="AP912" i="13" a="1"/>
  <c r="AP912" i="13" s="1"/>
  <c r="AP930" i="13" a="1"/>
  <c r="AP930" i="13" s="1"/>
  <c r="AP644" i="13" a="1"/>
  <c r="AP644" i="13" s="1"/>
  <c r="AP551" i="13" a="1"/>
  <c r="AP551" i="13" s="1"/>
  <c r="AP539" i="13" a="1"/>
  <c r="AP539" i="13" s="1"/>
  <c r="AP626" i="13" a="1"/>
  <c r="AP626" i="13" s="1"/>
  <c r="AP605" i="13" a="1"/>
  <c r="AP605" i="13" s="1"/>
  <c r="AP617" i="13" a="1"/>
  <c r="AP617" i="13" s="1"/>
  <c r="AP524" i="13" a="1"/>
  <c r="AP524" i="13" s="1"/>
  <c r="AP542" i="13" a="1"/>
  <c r="AP542" i="13" s="1"/>
  <c r="AP629" i="13" a="1"/>
  <c r="AP629" i="13" s="1"/>
  <c r="AP212" i="13" a="1"/>
  <c r="AP212" i="13" s="1"/>
  <c r="AP200" i="13" a="1"/>
  <c r="AP200" i="13" s="1"/>
  <c r="AP176" i="13" a="1"/>
  <c r="AP176" i="13" s="1"/>
  <c r="AP245" i="13" a="1"/>
  <c r="AP245" i="13" s="1"/>
  <c r="AP221" i="13" a="1"/>
  <c r="AP221" i="13" s="1"/>
  <c r="AP209" i="13" a="1"/>
  <c r="AP209" i="13" s="1"/>
  <c r="AP206" i="13" a="1"/>
  <c r="AP206" i="13" s="1"/>
  <c r="AP194" i="13" a="1"/>
  <c r="AP194" i="13" s="1"/>
  <c r="AP197" i="13" a="1"/>
  <c r="AP197" i="13" s="1"/>
  <c r="AP248" i="13" a="1"/>
  <c r="AP248" i="13" s="1"/>
  <c r="AP224" i="13" a="1"/>
  <c r="AP224" i="13" s="1"/>
  <c r="AP95" i="13" a="1"/>
  <c r="AP95" i="13" s="1"/>
  <c r="AP92" i="13" a="1"/>
  <c r="AP92" i="13" s="1"/>
  <c r="AP71" i="13" a="1"/>
  <c r="AP71" i="13" s="1"/>
  <c r="AP68" i="13" a="1"/>
  <c r="AP68" i="13" s="1"/>
  <c r="AP116" i="13" a="1"/>
  <c r="AP116" i="13" s="1"/>
  <c r="AP65" i="13" a="1"/>
  <c r="AP65" i="13" s="1"/>
  <c r="AP80" i="13" a="1"/>
  <c r="AP80" i="13" s="1"/>
  <c r="AP83" i="13" a="1"/>
  <c r="AP83" i="13" s="1"/>
  <c r="AP47" i="13" a="1"/>
  <c r="AP47" i="13" s="1"/>
  <c r="AP119" i="13" a="1"/>
  <c r="AP119" i="13" s="1"/>
  <c r="AP77" i="13" a="1"/>
  <c r="AP77" i="13" s="1"/>
  <c r="AP519" i="13" a="1"/>
  <c r="AP519" i="13" s="1"/>
  <c r="AP492" i="13" a="1"/>
  <c r="AP492" i="13" s="1"/>
  <c r="AP474" i="13" a="1"/>
  <c r="AP474" i="13" s="1"/>
  <c r="AP513" i="13" a="1"/>
  <c r="AP513" i="13" s="1"/>
  <c r="AP495" i="13" a="1"/>
  <c r="AP495" i="13" s="1"/>
  <c r="AP901" i="13" a="1"/>
  <c r="AP901" i="13" s="1"/>
  <c r="AP883" i="13" a="1"/>
  <c r="AP883" i="13" s="1"/>
  <c r="AP907" i="13" a="1"/>
  <c r="AP907" i="13" s="1"/>
  <c r="AP862" i="13" a="1"/>
  <c r="AP862" i="13" s="1"/>
  <c r="AP880" i="13" a="1"/>
  <c r="AP880" i="13" s="1"/>
  <c r="AP649" i="13" a="1"/>
  <c r="AP649" i="13" s="1"/>
  <c r="AP643" i="13" a="1"/>
  <c r="AP643" i="13" s="1"/>
  <c r="AP604" i="13" a="1"/>
  <c r="AP604" i="13" s="1"/>
  <c r="AP622" i="13" a="1"/>
  <c r="AP622" i="13" s="1"/>
  <c r="AP625" i="13" a="1"/>
  <c r="AP625" i="13" s="1"/>
  <c r="AP750" i="13" a="1"/>
  <c r="AP750" i="13" s="1"/>
  <c r="AP771" i="13" a="1"/>
  <c r="AP771" i="13" s="1"/>
  <c r="AP753" i="13" a="1"/>
  <c r="AP753" i="13" s="1"/>
  <c r="AP732" i="13" a="1"/>
  <c r="AP732" i="13" s="1"/>
  <c r="AP777" i="13" a="1"/>
  <c r="AP777" i="13" s="1"/>
  <c r="AP946" i="13" a="1"/>
  <c r="AP946" i="13" s="1"/>
  <c r="AP1039" i="13" a="1"/>
  <c r="AP1039" i="13" s="1"/>
  <c r="AP964" i="13" a="1"/>
  <c r="AP964" i="13" s="1"/>
  <c r="AP1027" i="13" a="1"/>
  <c r="AP1027" i="13" s="1"/>
  <c r="AP961" i="13" a="1"/>
  <c r="AP961" i="13" s="1"/>
  <c r="AP919" i="13" a="1"/>
  <c r="AP919" i="13" s="1"/>
  <c r="AP916" i="13" a="1"/>
  <c r="AP916" i="13" s="1"/>
  <c r="AP943" i="13" a="1"/>
  <c r="AP943" i="13" s="1"/>
  <c r="AP925" i="13" a="1"/>
  <c r="AP925" i="13" s="1"/>
  <c r="AP979" i="13" a="1"/>
  <c r="AP979" i="13" s="1"/>
  <c r="AP1003" i="13" a="1"/>
  <c r="AP1003" i="13" s="1"/>
  <c r="AP906" i="13" a="1"/>
  <c r="AP906" i="13" s="1"/>
  <c r="AP882" i="13" a="1"/>
  <c r="AP882" i="13" s="1"/>
  <c r="AP861" i="13" a="1"/>
  <c r="AP861" i="13" s="1"/>
  <c r="AP879" i="13" a="1"/>
  <c r="AP879" i="13" s="1"/>
  <c r="AP900" i="13" a="1"/>
  <c r="AP900" i="13" s="1"/>
  <c r="AP1013" i="13" a="1"/>
  <c r="AP1013" i="13" s="1"/>
  <c r="AP1004" i="13" a="1"/>
  <c r="AP1004" i="13" s="1"/>
  <c r="AP992" i="13" a="1"/>
  <c r="AP992" i="13" s="1"/>
  <c r="AP929" i="13" a="1"/>
  <c r="AP929" i="13" s="1"/>
  <c r="AP938" i="13" a="1"/>
  <c r="AP938" i="13" s="1"/>
  <c r="AP911" i="13" a="1"/>
  <c r="AP911" i="13" s="1"/>
  <c r="AP1016" i="13" a="1"/>
  <c r="AP1016" i="13" s="1"/>
  <c r="AP1031" i="13" a="1"/>
  <c r="AP1031" i="13" s="1"/>
  <c r="AP926" i="13" a="1"/>
  <c r="AP926" i="13" s="1"/>
  <c r="AP560" i="13" a="1"/>
  <c r="AP560" i="13" s="1"/>
  <c r="AP566" i="13" a="1"/>
  <c r="AP566" i="13" s="1"/>
  <c r="AP578" i="13" a="1"/>
  <c r="AP578" i="13" s="1"/>
  <c r="AP569" i="13" a="1"/>
  <c r="AP569" i="13" s="1"/>
  <c r="AP32" i="13" a="1"/>
  <c r="AP32" i="13" s="1"/>
  <c r="AP17" i="13" a="1"/>
  <c r="AP17" i="13" s="1"/>
  <c r="AP29" i="13" a="1"/>
  <c r="AP29" i="13" s="1"/>
  <c r="AP678" i="13" a="1"/>
  <c r="AP678" i="13" s="1"/>
  <c r="AP675" i="13" a="1"/>
  <c r="AP675" i="13" s="1"/>
  <c r="AP663" i="13" a="1"/>
  <c r="AP663" i="13" s="1"/>
  <c r="AP393" i="13" a="1"/>
  <c r="AP393" i="13" s="1"/>
  <c r="AP300" i="13" a="1"/>
  <c r="AP300" i="13" s="1"/>
  <c r="AP279" i="13" a="1"/>
  <c r="AP279" i="13" s="1"/>
  <c r="AP273" i="13" a="1"/>
  <c r="AP273" i="13" s="1"/>
  <c r="AP381" i="13" a="1"/>
  <c r="AP381" i="13" s="1"/>
  <c r="AP270" i="13" a="1"/>
  <c r="AP270" i="13" s="1"/>
  <c r="AP318" i="13" a="1"/>
  <c r="AP318" i="13" s="1"/>
  <c r="AP357" i="13" a="1"/>
  <c r="AP357" i="13" s="1"/>
  <c r="AP297" i="13" a="1"/>
  <c r="AP297" i="13" s="1"/>
  <c r="AP333" i="13" a="1"/>
  <c r="AP333" i="13" s="1"/>
  <c r="AP315" i="13" a="1"/>
  <c r="AP315" i="13" s="1"/>
  <c r="AP378" i="13" a="1"/>
  <c r="AP378" i="13" s="1"/>
  <c r="AP354" i="13" a="1"/>
  <c r="AP354" i="13" s="1"/>
  <c r="AP336" i="13" a="1"/>
  <c r="AP336" i="13" s="1"/>
  <c r="AP324" i="13" a="1"/>
  <c r="AP324" i="13" s="1"/>
  <c r="AP330" i="13" a="1"/>
  <c r="AP330" i="13" s="1"/>
  <c r="AP327" i="13" a="1"/>
  <c r="AP327" i="13" s="1"/>
  <c r="AP351" i="13" a="1"/>
  <c r="AP351" i="13" s="1"/>
  <c r="AP342" i="13" a="1"/>
  <c r="AP342" i="13" s="1"/>
  <c r="AP339" i="13" a="1"/>
  <c r="AP339" i="13" s="1"/>
  <c r="AP375" i="13" a="1"/>
  <c r="AP375" i="13" s="1"/>
  <c r="AP306" i="13" a="1"/>
  <c r="AP306" i="13" s="1"/>
  <c r="AP758" i="13" a="1"/>
  <c r="AP758" i="13" s="1"/>
  <c r="AP746" i="13" a="1"/>
  <c r="AP746" i="13" s="1"/>
  <c r="AP734" i="13" a="1"/>
  <c r="AP734" i="13" s="1"/>
  <c r="AP755" i="13" a="1"/>
  <c r="AP755" i="13" s="1"/>
  <c r="AP773" i="13" a="1"/>
  <c r="AP773" i="13" s="1"/>
  <c r="AP653" i="13" a="1"/>
  <c r="AP653" i="13" s="1"/>
  <c r="AP668" i="13" a="1"/>
  <c r="AP668" i="13" s="1"/>
  <c r="AP680" i="13" a="1"/>
  <c r="AP680" i="13" s="1"/>
  <c r="AP671" i="13" a="1"/>
  <c r="AP671" i="13" s="1"/>
  <c r="AP679" i="13" a="1"/>
  <c r="AP679" i="13" s="1"/>
  <c r="AP676" i="13" a="1"/>
  <c r="AP676" i="13" s="1"/>
  <c r="AP664" i="13" a="1"/>
  <c r="AP664" i="13" s="1"/>
  <c r="AP370" i="13" a="1"/>
  <c r="AP370" i="13" s="1"/>
  <c r="AP295" i="13" a="1"/>
  <c r="AP295" i="13" s="1"/>
  <c r="AP283" i="13" a="1"/>
  <c r="AP283" i="13" s="1"/>
  <c r="AP349" i="13" a="1"/>
  <c r="AP349" i="13" s="1"/>
  <c r="AP286" i="13" a="1"/>
  <c r="AP286" i="13" s="1"/>
  <c r="AP361" i="13" a="1"/>
  <c r="AP361" i="13" s="1"/>
  <c r="AP268" i="13" a="1"/>
  <c r="AP268" i="13" s="1"/>
  <c r="AP388" i="13" a="1"/>
  <c r="AP388" i="13" s="1"/>
  <c r="AP373" i="13" a="1"/>
  <c r="AP373" i="13" s="1"/>
  <c r="AP933" i="13" a="1"/>
  <c r="AP933" i="13" s="1"/>
  <c r="AP936" i="13" a="1"/>
  <c r="AP936" i="13" s="1"/>
  <c r="AP921" i="13" a="1"/>
  <c r="AP921" i="13" s="1"/>
  <c r="AP362" i="13" a="1"/>
  <c r="AP362" i="13" s="1"/>
  <c r="AP365" i="13" a="1"/>
  <c r="AP365" i="13" s="1"/>
  <c r="AP344" i="13" a="1"/>
  <c r="AP344" i="13" s="1"/>
  <c r="AP383" i="13" a="1"/>
  <c r="AP383" i="13" s="1"/>
  <c r="AP389" i="13" a="1"/>
  <c r="AP389" i="13" s="1"/>
  <c r="AP986" i="13" a="1"/>
  <c r="AP986" i="13" s="1"/>
  <c r="AP974" i="13" a="1"/>
  <c r="AP974" i="13" s="1"/>
  <c r="AP950" i="13" a="1"/>
  <c r="AP950" i="13" s="1"/>
  <c r="AP980" i="13" a="1"/>
  <c r="AP980" i="13" s="1"/>
  <c r="AP968" i="13" a="1"/>
  <c r="AP968" i="13" s="1"/>
  <c r="AP1022" i="13" a="1"/>
  <c r="AP1022" i="13" s="1"/>
  <c r="AP983" i="13" a="1"/>
  <c r="AP983" i="13" s="1"/>
  <c r="AP1019" i="13" a="1"/>
  <c r="AP1019" i="13" s="1"/>
  <c r="AP998" i="13" a="1"/>
  <c r="AP998" i="13" s="1"/>
  <c r="AP995" i="13" a="1"/>
  <c r="AP995" i="13" s="1"/>
  <c r="AP971" i="13" a="1"/>
  <c r="AP971" i="13" s="1"/>
  <c r="AP160" i="13" a="1"/>
  <c r="AP160" i="13" s="1"/>
  <c r="AP163" i="13" a="1"/>
  <c r="AP163" i="13" s="1"/>
  <c r="AP148" i="13" a="1"/>
  <c r="AP148" i="13" s="1"/>
  <c r="AP610" i="13" a="1"/>
  <c r="AP610" i="13" s="1"/>
  <c r="AP613" i="13" a="1"/>
  <c r="AP613" i="13" s="1"/>
  <c r="AP637" i="13" a="1"/>
  <c r="AP637" i="13" s="1"/>
  <c r="AP589" i="13" a="1"/>
  <c r="AP589" i="13" s="1"/>
  <c r="AP598" i="13" a="1"/>
  <c r="AP598" i="13" s="1"/>
  <c r="AP565" i="13" a="1"/>
  <c r="AP565" i="13" s="1"/>
  <c r="AP586" i="13" a="1"/>
  <c r="AP586" i="13" s="1"/>
  <c r="AP583" i="13" a="1"/>
  <c r="AP583" i="13" s="1"/>
  <c r="AP601" i="13" a="1"/>
  <c r="AP601" i="13" s="1"/>
  <c r="AP634" i="13" a="1"/>
  <c r="AP634" i="13" s="1"/>
  <c r="AP595" i="13" a="1"/>
  <c r="AP595" i="13" s="1"/>
  <c r="AP125" i="13" a="1"/>
  <c r="AP125" i="13" s="1"/>
  <c r="AP86" i="13" a="1"/>
  <c r="AP86" i="13" s="1"/>
  <c r="AP131" i="13" a="1"/>
  <c r="AP131" i="13" s="1"/>
  <c r="AP104" i="13" a="1"/>
  <c r="AP104" i="13" s="1"/>
  <c r="AP107" i="13" a="1"/>
  <c r="AP107" i="13" s="1"/>
  <c r="AP312" i="13" a="1"/>
  <c r="AP312" i="13" s="1"/>
  <c r="AP309" i="13" a="1"/>
  <c r="AP309" i="13" s="1"/>
  <c r="AP321" i="13" a="1"/>
  <c r="AP321" i="13" s="1"/>
  <c r="AP303" i="13" a="1"/>
  <c r="AP303" i="13" s="1"/>
  <c r="AP257" i="13" a="1"/>
  <c r="AP257" i="13" s="1"/>
  <c r="AP239" i="13" a="1"/>
  <c r="AP239" i="13" s="1"/>
  <c r="AP242" i="13" a="1"/>
  <c r="AP242" i="13" s="1"/>
  <c r="AP155" i="13" a="1"/>
  <c r="AP155" i="13" s="1"/>
  <c r="AP164" i="13" a="1"/>
  <c r="AP164" i="13" s="1"/>
  <c r="AP230" i="13" a="1"/>
  <c r="AP230" i="13" s="1"/>
  <c r="AP218" i="13" a="1"/>
  <c r="AP218" i="13" s="1"/>
  <c r="AP152" i="13" a="1"/>
  <c r="AP152" i="13" s="1"/>
  <c r="AP137" i="13" a="1"/>
  <c r="AP137" i="13" s="1"/>
  <c r="AP432" i="13" a="1"/>
  <c r="AP432" i="13" s="1"/>
  <c r="AP438" i="13" a="1"/>
  <c r="AP438" i="13" s="1"/>
  <c r="AP450" i="13" a="1"/>
  <c r="AP450" i="13" s="1"/>
  <c r="AP441" i="13" a="1"/>
  <c r="AP441" i="13" s="1"/>
  <c r="AP247" i="13" a="1"/>
  <c r="AP247" i="13" s="1"/>
  <c r="AP208" i="13" a="1"/>
  <c r="AP208" i="13" s="1"/>
  <c r="AP196" i="13" a="1"/>
  <c r="AP196" i="13" s="1"/>
  <c r="AP211" i="13" a="1"/>
  <c r="AP211" i="13" s="1"/>
  <c r="AP199" i="13" a="1"/>
  <c r="AP199" i="13" s="1"/>
  <c r="AP178" i="13" a="1"/>
  <c r="AP178" i="13" s="1"/>
  <c r="AP226" i="13" a="1"/>
  <c r="AP226" i="13" s="1"/>
  <c r="AP214" i="13" a="1"/>
  <c r="AP214" i="13" s="1"/>
  <c r="AP250" i="13" a="1"/>
  <c r="AP250" i="13" s="1"/>
  <c r="AP223" i="13" a="1"/>
  <c r="AP223" i="13" s="1"/>
  <c r="AP202" i="13" a="1"/>
  <c r="AP202" i="13" s="1"/>
  <c r="AP404" i="13" a="1"/>
  <c r="AP404" i="13" s="1"/>
  <c r="AP416" i="13" a="1"/>
  <c r="AP416" i="13" s="1"/>
  <c r="AP419" i="13" a="1"/>
  <c r="AP419" i="13" s="1"/>
  <c r="AP188" i="13" a="1"/>
  <c r="AP188" i="13" s="1"/>
  <c r="AP263" i="13" a="1"/>
  <c r="AP263" i="13" s="1"/>
  <c r="AP203" i="13" a="1"/>
  <c r="AP203" i="13" s="1"/>
  <c r="AP170" i="13" a="1"/>
  <c r="AP170" i="13" s="1"/>
  <c r="AP251" i="13" a="1"/>
  <c r="AP251" i="13" s="1"/>
  <c r="AP227" i="13" a="1"/>
  <c r="AP227" i="13" s="1"/>
  <c r="AP143" i="13" a="1"/>
  <c r="AP143" i="13" s="1"/>
  <c r="AP140" i="13" a="1"/>
  <c r="AP140" i="13" s="1"/>
  <c r="AP185" i="13" a="1"/>
  <c r="AP185" i="13" s="1"/>
  <c r="AP167" i="13" a="1"/>
  <c r="AP167" i="13" s="1"/>
  <c r="AP149" i="13" a="1"/>
  <c r="AP149" i="13" s="1"/>
  <c r="AP864" i="13" a="1"/>
  <c r="AP864" i="13" s="1"/>
  <c r="AP903" i="13" a="1"/>
  <c r="AP903" i="13" s="1"/>
  <c r="AP888" i="13" a="1"/>
  <c r="AP888" i="13" s="1"/>
  <c r="AP885" i="13" a="1"/>
  <c r="AP885" i="13" s="1"/>
  <c r="AP876" i="13" a="1"/>
  <c r="AP876" i="13" s="1"/>
  <c r="AP783" i="13" a="1"/>
  <c r="AP783" i="13" s="1"/>
  <c r="AP810" i="13" a="1"/>
  <c r="AP810" i="13" s="1"/>
  <c r="AP798" i="13" a="1"/>
  <c r="AP798" i="13" s="1"/>
  <c r="AP801" i="13" a="1"/>
  <c r="AP801" i="13" s="1"/>
  <c r="AP902" i="13" a="1"/>
  <c r="AP902" i="13" s="1"/>
  <c r="AP887" i="13" a="1"/>
  <c r="AP887" i="13" s="1"/>
  <c r="AP863" i="13" a="1"/>
  <c r="AP863" i="13" s="1"/>
  <c r="AP800" i="13" a="1"/>
  <c r="AP800" i="13" s="1"/>
  <c r="AP875" i="13" a="1"/>
  <c r="AP875" i="13" s="1"/>
  <c r="AP782" i="13" a="1"/>
  <c r="AP782" i="13" s="1"/>
  <c r="AP809" i="13" a="1"/>
  <c r="AP809" i="13" s="1"/>
  <c r="AP797" i="13" a="1"/>
  <c r="AP797" i="13" s="1"/>
  <c r="AP884" i="13" a="1"/>
  <c r="AP884" i="13" s="1"/>
  <c r="AP934" i="13" a="1"/>
  <c r="AP934" i="13" s="1"/>
  <c r="AP922" i="13" a="1"/>
  <c r="AP922" i="13" s="1"/>
  <c r="AP937" i="13" a="1"/>
  <c r="AP937" i="13" s="1"/>
  <c r="AP468" i="13" a="1"/>
  <c r="AP468" i="13" s="1"/>
  <c r="AP456" i="13" a="1"/>
  <c r="AP456" i="13" s="1"/>
  <c r="AP480" i="13" a="1"/>
  <c r="AP480" i="13" s="1"/>
  <c r="AP471" i="13" a="1"/>
  <c r="AP471" i="13" s="1"/>
  <c r="AP465" i="13" a="1"/>
  <c r="AP465" i="13" s="1"/>
  <c r="AP504" i="13" a="1"/>
  <c r="AP504" i="13" s="1"/>
  <c r="AP483" i="13" a="1"/>
  <c r="AP483" i="13" s="1"/>
  <c r="AP459" i="13" a="1"/>
  <c r="AP459" i="13" s="1"/>
  <c r="AP453" i="13" a="1"/>
  <c r="AP453" i="13" s="1"/>
  <c r="AP507" i="13" a="1"/>
  <c r="AP507" i="13" s="1"/>
  <c r="AP435" i="13" a="1"/>
  <c r="AP435" i="13" s="1"/>
  <c r="AP830" i="13" a="1"/>
  <c r="AP830" i="13" s="1"/>
  <c r="AP812" i="13" a="1"/>
  <c r="AP812" i="13" s="1"/>
  <c r="AP788" i="13" a="1"/>
  <c r="AP788" i="13" s="1"/>
  <c r="AP833" i="13" a="1"/>
  <c r="AP833" i="13" s="1"/>
  <c r="AP896" i="13" a="1"/>
  <c r="AP896" i="13" s="1"/>
  <c r="AP872" i="13" a="1"/>
  <c r="AP872" i="13" s="1"/>
  <c r="AP815" i="13" a="1"/>
  <c r="AP815" i="13" s="1"/>
  <c r="AP785" i="13" a="1"/>
  <c r="AP785" i="13" s="1"/>
  <c r="AP908" i="13" a="1"/>
  <c r="AP908" i="13" s="1"/>
  <c r="AP848" i="13" a="1"/>
  <c r="AP848" i="13" s="1"/>
  <c r="AP794" i="13" a="1"/>
  <c r="AP794" i="13" s="1"/>
  <c r="AP627" i="13" a="1"/>
  <c r="AP627" i="13" s="1"/>
  <c r="AP606" i="13" a="1"/>
  <c r="AP606" i="13" s="1"/>
  <c r="AP543" i="13" a="1"/>
  <c r="AP543" i="13" s="1"/>
  <c r="AP645" i="13" a="1"/>
  <c r="AP645" i="13" s="1"/>
  <c r="AP540" i="13" a="1"/>
  <c r="AP540" i="13" s="1"/>
  <c r="AP618" i="13" a="1"/>
  <c r="AP618" i="13" s="1"/>
  <c r="AP552" i="13" a="1"/>
  <c r="AP552" i="13" s="1"/>
  <c r="AP525" i="13" a="1"/>
  <c r="AP525" i="13" s="1"/>
  <c r="AP630" i="13" a="1"/>
  <c r="AP630" i="13" s="1"/>
  <c r="AP287" i="13" a="1"/>
  <c r="AP287" i="13" s="1"/>
  <c r="AP275" i="13" a="1"/>
  <c r="AP275" i="13" s="1"/>
  <c r="AP290" i="13" a="1"/>
  <c r="AP290" i="13" s="1"/>
  <c r="AP720" i="13" a="1"/>
  <c r="AP720" i="13" s="1"/>
  <c r="AP768" i="13" a="1"/>
  <c r="AP768" i="13" s="1"/>
  <c r="AP687" i="13" a="1"/>
  <c r="AP687" i="13" s="1"/>
  <c r="AP666" i="13" a="1"/>
  <c r="AP666" i="13" s="1"/>
  <c r="AP780" i="13" a="1"/>
  <c r="AP780" i="13" s="1"/>
  <c r="AP702" i="13" a="1"/>
  <c r="AP702" i="13" s="1"/>
  <c r="AP684" i="13" a="1"/>
  <c r="AP684" i="13" s="1"/>
  <c r="AP705" i="13" a="1"/>
  <c r="AP705" i="13" s="1"/>
  <c r="AP660" i="13" a="1"/>
  <c r="AP660" i="13" s="1"/>
  <c r="AP657" i="13" a="1"/>
  <c r="AP657" i="13" s="1"/>
  <c r="AP744" i="13" a="1"/>
  <c r="AP744" i="13" s="1"/>
  <c r="AP136" i="13" a="1"/>
  <c r="AP136" i="13" s="1"/>
  <c r="AP124" i="13" a="1"/>
  <c r="AP124" i="13" s="1"/>
  <c r="AP40" i="13" a="1"/>
  <c r="AP40" i="13" s="1"/>
  <c r="AP100" i="13" a="1"/>
  <c r="AP100" i="13" s="1"/>
  <c r="AP13" i="13" a="1"/>
  <c r="AP13" i="13" s="1"/>
  <c r="AP58" i="13" a="1"/>
  <c r="AP58" i="13" s="1"/>
  <c r="AP43" i="13" a="1"/>
  <c r="AP43" i="13" s="1"/>
  <c r="AP22" i="13" a="1"/>
  <c r="AP22" i="13" s="1"/>
  <c r="AP16" i="13" a="1"/>
  <c r="AP16" i="13" s="1"/>
  <c r="AP76" i="13" a="1"/>
  <c r="AP76" i="13" s="1"/>
  <c r="AP61" i="13" a="1"/>
  <c r="AP61" i="13" s="1"/>
  <c r="AP448" i="13" a="1"/>
  <c r="AP448" i="13" s="1"/>
  <c r="AP487" i="13" a="1"/>
  <c r="AP487" i="13" s="1"/>
  <c r="AP445" i="13" a="1"/>
  <c r="AP445" i="13" s="1"/>
  <c r="AP511" i="13" a="1"/>
  <c r="AP511" i="13" s="1"/>
  <c r="AP463" i="13" a="1"/>
  <c r="AP463" i="13" s="1"/>
  <c r="AP409" i="13" a="1"/>
  <c r="AP409" i="13" s="1"/>
  <c r="AP403" i="13" a="1"/>
  <c r="AP403" i="13" s="1"/>
  <c r="AP400" i="13" a="1"/>
  <c r="AP400" i="13" s="1"/>
  <c r="AP430" i="13" a="1"/>
  <c r="AP430" i="13" s="1"/>
  <c r="AP523" i="13" a="1"/>
  <c r="AP523" i="13" s="1"/>
  <c r="AP427" i="13" a="1"/>
  <c r="AP427" i="13" s="1"/>
  <c r="AP411" i="13" a="1"/>
  <c r="AP411" i="13" s="1"/>
  <c r="AP423" i="13" a="1"/>
  <c r="AP423" i="13" s="1"/>
  <c r="AP498" i="13" a="1"/>
  <c r="AP498" i="13" s="1"/>
  <c r="AP477" i="13" a="1"/>
  <c r="AP477" i="13" s="1"/>
  <c r="AP414" i="13" a="1"/>
  <c r="AP414" i="13" s="1"/>
  <c r="AP516" i="13" a="1"/>
  <c r="AP516" i="13" s="1"/>
  <c r="AP501" i="13" a="1"/>
  <c r="AP501" i="13" s="1"/>
  <c r="AP489" i="13" a="1"/>
  <c r="AP489" i="13" s="1"/>
  <c r="AP396" i="13" a="1"/>
  <c r="AP396" i="13" s="1"/>
  <c r="AP63" i="13" a="1"/>
  <c r="AP63" i="13" s="1"/>
  <c r="AP54" i="13" a="1"/>
  <c r="AP54" i="13" s="1"/>
  <c r="AP45" i="13" a="1"/>
  <c r="AP45" i="13" s="1"/>
  <c r="AP51" i="13" a="1"/>
  <c r="AP51" i="13" s="1"/>
  <c r="AP217" i="13" a="1"/>
  <c r="AP217" i="13" s="1"/>
  <c r="AP262" i="13" a="1"/>
  <c r="AP262" i="13" s="1"/>
  <c r="AP238" i="13" a="1"/>
  <c r="AP238" i="13" s="1"/>
  <c r="AP256" i="13" a="1"/>
  <c r="AP256" i="13" s="1"/>
  <c r="AP235" i="13" a="1"/>
  <c r="AP235" i="13" s="1"/>
  <c r="AP60" i="13" a="1"/>
  <c r="AP60" i="13" s="1"/>
  <c r="AP57" i="13" a="1"/>
  <c r="AP57" i="13" s="1"/>
  <c r="AP75" i="13" a="1"/>
  <c r="AP75" i="13" s="1"/>
  <c r="AP21" i="13" a="1"/>
  <c r="AP21" i="13" s="1"/>
  <c r="AP12" i="13" a="1"/>
  <c r="AP12" i="13" s="1"/>
  <c r="AP99" i="13" a="1"/>
  <c r="AP99" i="13" s="1"/>
  <c r="AP39" i="13" a="1"/>
  <c r="AP39" i="13" s="1"/>
  <c r="AP123" i="13" a="1"/>
  <c r="AP123" i="13" s="1"/>
  <c r="AP42" i="13" a="1"/>
  <c r="AP42" i="13" s="1"/>
  <c r="AP135" i="13" a="1"/>
  <c r="AP135" i="13" s="1"/>
  <c r="AP15" i="13" a="1"/>
  <c r="AP15" i="13" s="1"/>
  <c r="AP439" i="13" a="1"/>
  <c r="AP439" i="13" s="1"/>
  <c r="AP433" i="13" a="1"/>
  <c r="AP433" i="13" s="1"/>
  <c r="AP451" i="13" a="1"/>
  <c r="AP451" i="13" s="1"/>
  <c r="AP442" i="13" a="1"/>
  <c r="AP442" i="13" s="1"/>
  <c r="AP440" i="13" a="1"/>
  <c r="AP440" i="13" s="1"/>
  <c r="AP431" i="13" a="1"/>
  <c r="AP431" i="13" s="1"/>
  <c r="AP449" i="13" a="1"/>
  <c r="AP449" i="13" s="1"/>
  <c r="AP437" i="13" a="1"/>
  <c r="AP437" i="13" s="1"/>
  <c r="AP472" i="13" a="1"/>
  <c r="AP472" i="13" s="1"/>
  <c r="AP460" i="13" a="1"/>
  <c r="AP460" i="13" s="1"/>
  <c r="AP436" i="13" a="1"/>
  <c r="AP436" i="13" s="1"/>
  <c r="AP505" i="13" a="1"/>
  <c r="AP505" i="13" s="1"/>
  <c r="AP457" i="13" a="1"/>
  <c r="AP457" i="13" s="1"/>
  <c r="AP484" i="13" a="1"/>
  <c r="AP484" i="13" s="1"/>
  <c r="AP454" i="13" a="1"/>
  <c r="AP454" i="13" s="1"/>
  <c r="AP508" i="13" a="1"/>
  <c r="AP508" i="13" s="1"/>
  <c r="AP481" i="13" a="1"/>
  <c r="AP481" i="13" s="1"/>
  <c r="AP469" i="13" a="1"/>
  <c r="AP469" i="13" s="1"/>
  <c r="AP466" i="13" a="1"/>
  <c r="AP466" i="13" s="1"/>
  <c r="AP769" i="13" a="1"/>
  <c r="AP769" i="13" s="1"/>
  <c r="AP688" i="13" a="1"/>
  <c r="AP688" i="13" s="1"/>
  <c r="AP781" i="13" a="1"/>
  <c r="AP781" i="13" s="1"/>
  <c r="AP703" i="13" a="1"/>
  <c r="AP703" i="13" s="1"/>
  <c r="AP706" i="13" a="1"/>
  <c r="AP706" i="13" s="1"/>
  <c r="AP661" i="13" a="1"/>
  <c r="AP661" i="13" s="1"/>
  <c r="AP658" i="13" a="1"/>
  <c r="AP658" i="13" s="1"/>
  <c r="AP667" i="13" a="1"/>
  <c r="AP667" i="13" s="1"/>
  <c r="AP721" i="13" a="1"/>
  <c r="AP721" i="13" s="1"/>
  <c r="AP685" i="13" a="1"/>
  <c r="AP685" i="13" s="1"/>
  <c r="AP745" i="13" a="1"/>
  <c r="AP745" i="13" s="1"/>
  <c r="AP837" i="13" a="1"/>
  <c r="AP837" i="13" s="1"/>
  <c r="AP825" i="13" a="1"/>
  <c r="AP825" i="13" s="1"/>
  <c r="AP828" i="13" a="1"/>
  <c r="AP828" i="13" s="1"/>
  <c r="AP819" i="13" a="1"/>
  <c r="AP819" i="13" s="1"/>
  <c r="AP762" i="13" a="1"/>
  <c r="AP762" i="13" s="1"/>
  <c r="AP738" i="13" a="1"/>
  <c r="AP738" i="13" s="1"/>
  <c r="AP729" i="13" a="1"/>
  <c r="AP729" i="13" s="1"/>
  <c r="AP723" i="13" a="1"/>
  <c r="AP723" i="13" s="1"/>
  <c r="AP711" i="13" a="1"/>
  <c r="AP711" i="13" s="1"/>
  <c r="AP741" i="13" a="1"/>
  <c r="AP741" i="13" s="1"/>
  <c r="AP693" i="13" a="1"/>
  <c r="AP693" i="13" s="1"/>
  <c r="AP714" i="13" a="1"/>
  <c r="AP714" i="13" s="1"/>
  <c r="AP765" i="13" a="1"/>
  <c r="AP765" i="13" s="1"/>
  <c r="AP717" i="13" a="1"/>
  <c r="AP717" i="13" s="1"/>
  <c r="AP726" i="13" a="1"/>
  <c r="AP726" i="13" s="1"/>
  <c r="AP192" i="13" a="1"/>
  <c r="AP192" i="13" s="1"/>
  <c r="AP180" i="13" a="1"/>
  <c r="AP180" i="13" s="1"/>
  <c r="AP183" i="13" a="1"/>
  <c r="AP183" i="13" s="1"/>
  <c r="AP174" i="13" a="1"/>
  <c r="AP174" i="13" s="1"/>
  <c r="AP905" i="13" a="1"/>
  <c r="AP905" i="13" s="1"/>
  <c r="AP899" i="13" a="1"/>
  <c r="AP899" i="13" s="1"/>
  <c r="AP860" i="13" a="1"/>
  <c r="AP860" i="13" s="1"/>
  <c r="AP881" i="13" a="1"/>
  <c r="AP881" i="13" s="1"/>
  <c r="AP878" i="13" a="1"/>
  <c r="AP878" i="13" s="1"/>
  <c r="AP891" i="13" a="1"/>
  <c r="AP891" i="13" s="1"/>
  <c r="AP855" i="13" a="1"/>
  <c r="AP855" i="13" s="1"/>
  <c r="AP846" i="13" a="1"/>
  <c r="AP846" i="13" s="1"/>
  <c r="AP822" i="13" a="1"/>
  <c r="AP822" i="13" s="1"/>
  <c r="AP858" i="13" a="1"/>
  <c r="AP858" i="13" s="1"/>
  <c r="AP840" i="13" a="1"/>
  <c r="AP840" i="13" s="1"/>
  <c r="AP867" i="13" a="1"/>
  <c r="AP867" i="13" s="1"/>
  <c r="AP870" i="13" a="1"/>
  <c r="AP870" i="13" s="1"/>
  <c r="AP852" i="13" a="1"/>
  <c r="AP852" i="13" s="1"/>
  <c r="AP843" i="13" a="1"/>
  <c r="AP843" i="13" s="1"/>
  <c r="AP894" i="13" a="1"/>
  <c r="AP894" i="13" s="1"/>
  <c r="AP50" i="13" a="1"/>
  <c r="AP50" i="13" s="1"/>
  <c r="AP44" i="13" a="1"/>
  <c r="AP44" i="13" s="1"/>
  <c r="AP53" i="13" a="1"/>
  <c r="AP53" i="13" s="1"/>
  <c r="AP62" i="13" a="1"/>
  <c r="AP62" i="13" s="1"/>
  <c r="AP382" i="13" a="1"/>
  <c r="AP382" i="13" s="1"/>
  <c r="AP358" i="13" a="1"/>
  <c r="AP358" i="13" s="1"/>
  <c r="AP271" i="13" a="1"/>
  <c r="AP271" i="13" s="1"/>
  <c r="AP316" i="13" a="1"/>
  <c r="AP316" i="13" s="1"/>
  <c r="AP298" i="13" a="1"/>
  <c r="AP298" i="13" s="1"/>
  <c r="AP394" i="13" a="1"/>
  <c r="AP394" i="13" s="1"/>
  <c r="AP280" i="13" a="1"/>
  <c r="AP280" i="13" s="1"/>
  <c r="AP274" i="13" a="1"/>
  <c r="AP274" i="13" s="1"/>
  <c r="AP319" i="13" a="1"/>
  <c r="AP319" i="13" s="1"/>
  <c r="AP301" i="13" a="1"/>
  <c r="AP301" i="13" s="1"/>
  <c r="AP334" i="13" a="1"/>
  <c r="AP334" i="13" s="1"/>
  <c r="AP292" i="13" a="1"/>
  <c r="AP292" i="13" s="1"/>
  <c r="AP289" i="13" a="1"/>
  <c r="AP289" i="13" s="1"/>
  <c r="AP277" i="13" a="1"/>
  <c r="AP277" i="13" s="1"/>
  <c r="AP636" i="13" a="1"/>
  <c r="AP636" i="13" s="1"/>
  <c r="AP633" i="13" a="1"/>
  <c r="AP633" i="13" s="1"/>
  <c r="AP600" i="13" a="1"/>
  <c r="AP600" i="13" s="1"/>
  <c r="AP588" i="13" a="1"/>
  <c r="AP588" i="13" s="1"/>
  <c r="AP564" i="13" a="1"/>
  <c r="AP564" i="13" s="1"/>
  <c r="AP609" i="13" a="1"/>
  <c r="AP609" i="13" s="1"/>
  <c r="AP594" i="13" a="1"/>
  <c r="AP594" i="13" s="1"/>
  <c r="AP597" i="13" a="1"/>
  <c r="AP597" i="13" s="1"/>
  <c r="AP612" i="13" a="1"/>
  <c r="AP612" i="13" s="1"/>
  <c r="AP585" i="13" a="1"/>
  <c r="AP585" i="13" s="1"/>
  <c r="AP582" i="13" a="1"/>
  <c r="AP582" i="13" s="1"/>
  <c r="AP120" i="13" a="1"/>
  <c r="AP120" i="13" s="1"/>
  <c r="AP78" i="13" a="1"/>
  <c r="AP78" i="13" s="1"/>
  <c r="AP117" i="13" a="1"/>
  <c r="AP117" i="13" s="1"/>
  <c r="AP81" i="13" a="1"/>
  <c r="AP81" i="13" s="1"/>
  <c r="AP66" i="13" a="1"/>
  <c r="AP66" i="13" s="1"/>
  <c r="AP48" i="13" a="1"/>
  <c r="AP48" i="13" s="1"/>
  <c r="AP72" i="13" a="1"/>
  <c r="AP72" i="13" s="1"/>
  <c r="AP84" i="13" a="1"/>
  <c r="AP84" i="13" s="1"/>
  <c r="AP69" i="13" a="1"/>
  <c r="AP69" i="13" s="1"/>
  <c r="AP93" i="13" a="1"/>
  <c r="AP93" i="13" s="1"/>
  <c r="AP96" i="13" a="1"/>
  <c r="AP96" i="13" s="1"/>
  <c r="AP850" i="13" a="1"/>
  <c r="AP850" i="13" s="1"/>
  <c r="AP796" i="13" a="1"/>
  <c r="AP796" i="13" s="1"/>
  <c r="AP910" i="13" a="1"/>
  <c r="AP910" i="13" s="1"/>
  <c r="AP898" i="13" a="1"/>
  <c r="AP898" i="13" s="1"/>
  <c r="AP874" i="13" a="1"/>
  <c r="AP874" i="13" s="1"/>
  <c r="AP817" i="13" a="1"/>
  <c r="AP817" i="13" s="1"/>
  <c r="AP835" i="13" a="1"/>
  <c r="AP835" i="13" s="1"/>
  <c r="AP814" i="13" a="1"/>
  <c r="AP814" i="13" s="1"/>
  <c r="AP787" i="13" a="1"/>
  <c r="AP787" i="13" s="1"/>
  <c r="AP790" i="13" a="1"/>
  <c r="AP790" i="13" s="1"/>
  <c r="AP832" i="13" a="1"/>
  <c r="AP832" i="13" s="1"/>
  <c r="AP374" i="13" a="1"/>
  <c r="AP374" i="13" s="1"/>
  <c r="AP350" i="13" a="1"/>
  <c r="AP350" i="13" s="1"/>
  <c r="AP329" i="13" a="1"/>
  <c r="AP329" i="13" s="1"/>
  <c r="AP326" i="13" a="1"/>
  <c r="AP326" i="13" s="1"/>
  <c r="AP377" i="13" a="1"/>
  <c r="AP377" i="13" s="1"/>
  <c r="AP341" i="13" a="1"/>
  <c r="AP341" i="13" s="1"/>
  <c r="AP323" i="13" a="1"/>
  <c r="AP323" i="13" s="1"/>
  <c r="AP353" i="13" a="1"/>
  <c r="AP353" i="13" s="1"/>
  <c r="AP338" i="13" a="1"/>
  <c r="AP338" i="13" s="1"/>
  <c r="AP305" i="13" a="1"/>
  <c r="AP305" i="13" s="1"/>
  <c r="AP335" i="13" a="1"/>
  <c r="AP335" i="13" s="1"/>
  <c r="AP804" i="13" a="1"/>
  <c r="AP804" i="13" s="1"/>
  <c r="AP792" i="13" a="1"/>
  <c r="AP792" i="13" s="1"/>
  <c r="AP807" i="13" a="1"/>
  <c r="AP807" i="13" s="1"/>
  <c r="AP261" i="13" a="1"/>
  <c r="AP261" i="13" s="1"/>
  <c r="AP234" i="13" a="1"/>
  <c r="AP234" i="13" s="1"/>
  <c r="AP216" i="13" a="1"/>
  <c r="AP216" i="13" s="1"/>
  <c r="AP237" i="13" a="1"/>
  <c r="AP237" i="13" s="1"/>
  <c r="AP255" i="13" a="1"/>
  <c r="AP255" i="13" s="1"/>
  <c r="AP1033" i="13" a="1"/>
  <c r="AP1033" i="13" s="1"/>
  <c r="AP1006" i="13" a="1"/>
  <c r="AP1006" i="13" s="1"/>
  <c r="AP1015" i="13" a="1"/>
  <c r="AP1015" i="13" s="1"/>
  <c r="AP994" i="13" a="1"/>
  <c r="AP994" i="13" s="1"/>
  <c r="AP1018" i="13" a="1"/>
  <c r="AP1018" i="13" s="1"/>
  <c r="AP931" i="13" a="1"/>
  <c r="AP931" i="13" s="1"/>
  <c r="AP940" i="13" a="1"/>
  <c r="AP940" i="13" s="1"/>
  <c r="AP913" i="13" a="1"/>
  <c r="AP913" i="13" s="1"/>
  <c r="AP928" i="13" a="1"/>
  <c r="AP928" i="13" s="1"/>
  <c r="AP704" i="13" a="1"/>
  <c r="AP704" i="13" s="1"/>
  <c r="AP743" i="13" a="1"/>
  <c r="AP743" i="13" s="1"/>
  <c r="AP719" i="13" a="1"/>
  <c r="AP719" i="13" s="1"/>
  <c r="AP686" i="13" a="1"/>
  <c r="AP686" i="13" s="1"/>
  <c r="AP701" i="13" a="1"/>
  <c r="AP701" i="13" s="1"/>
  <c r="AP683" i="13" a="1"/>
  <c r="AP683" i="13" s="1"/>
  <c r="AP665" i="13" a="1"/>
  <c r="AP665" i="13" s="1"/>
  <c r="AP656" i="13" a="1"/>
  <c r="AP656" i="13" s="1"/>
  <c r="AP659" i="13" a="1"/>
  <c r="AP659" i="13" s="1"/>
  <c r="AP767" i="13" a="1"/>
  <c r="AP767" i="13" s="1"/>
  <c r="AP779" i="13" a="1"/>
  <c r="AP779" i="13" s="1"/>
  <c r="AP424" i="13" a="1"/>
  <c r="AP424" i="13" s="1"/>
  <c r="AP517" i="13" a="1"/>
  <c r="AP517" i="13" s="1"/>
  <c r="AP499" i="13" a="1"/>
  <c r="AP499" i="13" s="1"/>
  <c r="AP397" i="13" a="1"/>
  <c r="AP397" i="13" s="1"/>
  <c r="AP490" i="13" a="1"/>
  <c r="AP490" i="13" s="1"/>
  <c r="AP478" i="13" a="1"/>
  <c r="AP478" i="13" s="1"/>
  <c r="AP415" i="13" a="1"/>
  <c r="AP415" i="13" s="1"/>
  <c r="AP412" i="13" a="1"/>
  <c r="AP412" i="13" s="1"/>
  <c r="AP502" i="13" a="1"/>
  <c r="AP502" i="13" s="1"/>
  <c r="AP778" i="13" a="1"/>
  <c r="AP778" i="13" s="1"/>
  <c r="AP754" i="13" a="1"/>
  <c r="AP754" i="13" s="1"/>
  <c r="AP772" i="13" a="1"/>
  <c r="AP772" i="13" s="1"/>
  <c r="AP751" i="13" a="1"/>
  <c r="AP751" i="13" s="1"/>
  <c r="AP733" i="13" a="1"/>
  <c r="AP733" i="13" s="1"/>
  <c r="AU11" i="13"/>
  <c r="AP958" i="13" a="1"/>
  <c r="AP958" i="13" s="1"/>
  <c r="AP967" i="13" a="1"/>
  <c r="AP967" i="13" s="1"/>
  <c r="AP955" i="13" a="1"/>
  <c r="AP955" i="13" s="1"/>
  <c r="AP949" i="13" a="1"/>
  <c r="AP949" i="13" s="1"/>
  <c r="AP580" i="13" a="1"/>
  <c r="AP580" i="13" s="1"/>
  <c r="AP568" i="13" a="1"/>
  <c r="AP568" i="13" s="1"/>
  <c r="AP562" i="13" a="1"/>
  <c r="AP562" i="13" s="1"/>
  <c r="AP571" i="13" a="1"/>
  <c r="AP571" i="13" s="1"/>
  <c r="AP555" i="13" a="1"/>
  <c r="AP555" i="13" s="1"/>
  <c r="AP531" i="13" a="1"/>
  <c r="AP531" i="13" s="1"/>
  <c r="AP639" i="13" a="1"/>
  <c r="AP639" i="13" s="1"/>
  <c r="AP576" i="13" a="1"/>
  <c r="AP576" i="13" s="1"/>
  <c r="AP651" i="13" a="1"/>
  <c r="AP651" i="13" s="1"/>
  <c r="AP615" i="13" a="1"/>
  <c r="AP615" i="13" s="1"/>
  <c r="AP528" i="13" a="1"/>
  <c r="AP528" i="13" s="1"/>
  <c r="AP591" i="13" a="1"/>
  <c r="AP591" i="13" s="1"/>
  <c r="AP537" i="13" a="1"/>
  <c r="AP537" i="13" s="1"/>
  <c r="AP573" i="13" a="1"/>
  <c r="AP573" i="13" s="1"/>
  <c r="AP558" i="13" a="1"/>
  <c r="AP558" i="13" s="1"/>
  <c r="AP191" i="13" a="1"/>
  <c r="AP191" i="13" s="1"/>
  <c r="AP179" i="13" a="1"/>
  <c r="AP179" i="13" s="1"/>
  <c r="AP173" i="13" a="1"/>
  <c r="AP173" i="13" s="1"/>
  <c r="AP182" i="13" a="1"/>
  <c r="AP182" i="13" s="1"/>
  <c r="AP648" i="13" a="1"/>
  <c r="AP648" i="13" s="1"/>
  <c r="AP624" i="13" a="1"/>
  <c r="AP624" i="13" s="1"/>
  <c r="AP621" i="13" a="1"/>
  <c r="AP621" i="13" s="1"/>
  <c r="AP603" i="13" a="1"/>
  <c r="AP603" i="13" s="1"/>
  <c r="AP642" i="13" a="1"/>
  <c r="AP642" i="13" s="1"/>
  <c r="AP444" i="13" a="1"/>
  <c r="AP444" i="13" s="1"/>
  <c r="AP486" i="13" a="1"/>
  <c r="AP486" i="13" s="1"/>
  <c r="AP402" i="13" a="1"/>
  <c r="AP402" i="13" s="1"/>
  <c r="AP408" i="13" a="1"/>
  <c r="AP408" i="13" s="1"/>
  <c r="AP447" i="13" a="1"/>
  <c r="AP447" i="13" s="1"/>
  <c r="AP426" i="13" a="1"/>
  <c r="AP426" i="13" s="1"/>
  <c r="AP399" i="13" a="1"/>
  <c r="AP399" i="13" s="1"/>
  <c r="AP429" i="13" a="1"/>
  <c r="AP429" i="13" s="1"/>
  <c r="AP522" i="13" a="1"/>
  <c r="AP522" i="13" s="1"/>
  <c r="AP462" i="13" a="1"/>
  <c r="AP462" i="13" s="1"/>
  <c r="AP510" i="13" a="1"/>
  <c r="AP510" i="13" s="1"/>
  <c r="AP233" i="13" a="1"/>
  <c r="AP233" i="13" s="1"/>
  <c r="AP260" i="13" a="1"/>
  <c r="AP260" i="13" s="1"/>
  <c r="AP215" i="13" a="1"/>
  <c r="AP215" i="13" s="1"/>
  <c r="AP254" i="13" a="1"/>
  <c r="AP254" i="13" s="1"/>
  <c r="AP236" i="13" a="1"/>
  <c r="AP236" i="13" s="1"/>
  <c r="AP340" i="13" a="1"/>
  <c r="AP340" i="13" s="1"/>
  <c r="AP328" i="13" a="1"/>
  <c r="AP328" i="13" s="1"/>
  <c r="AP355" i="13" a="1"/>
  <c r="AP355" i="13" s="1"/>
  <c r="AP352" i="13" a="1"/>
  <c r="AP352" i="13" s="1"/>
  <c r="AP343" i="13" a="1"/>
  <c r="AP343" i="13" s="1"/>
  <c r="AP325" i="13" a="1"/>
  <c r="AP325" i="13" s="1"/>
  <c r="AP307" i="13" a="1"/>
  <c r="AP307" i="13" s="1"/>
  <c r="AP376" i="13" a="1"/>
  <c r="AP376" i="13" s="1"/>
  <c r="AP331" i="13" a="1"/>
  <c r="AP331" i="13" s="1"/>
  <c r="AP379" i="13" a="1"/>
  <c r="AP379" i="13" s="1"/>
  <c r="AP337" i="13" a="1"/>
  <c r="AP337" i="13" s="1"/>
  <c r="AP766" i="13" a="1"/>
  <c r="AP766" i="13" s="1"/>
  <c r="AP742" i="13" a="1"/>
  <c r="AP742" i="13" s="1"/>
  <c r="AP763" i="13" a="1"/>
  <c r="AP763" i="13" s="1"/>
  <c r="AP724" i="13" a="1"/>
  <c r="AP724" i="13" s="1"/>
  <c r="AP712" i="13" a="1"/>
  <c r="AP712" i="13" s="1"/>
  <c r="AP727" i="13" a="1"/>
  <c r="AP727" i="13" s="1"/>
  <c r="AP715" i="13" a="1"/>
  <c r="AP715" i="13" s="1"/>
  <c r="AP694" i="13" a="1"/>
  <c r="AP694" i="13" s="1"/>
  <c r="AP718" i="13" a="1"/>
  <c r="AP718" i="13" s="1"/>
  <c r="AP739" i="13" a="1"/>
  <c r="AP739" i="13" s="1"/>
  <c r="AP730" i="13" a="1"/>
  <c r="AP730" i="13" s="1"/>
  <c r="AP166" i="13" a="1"/>
  <c r="AP166" i="13" s="1"/>
  <c r="AP154" i="13" a="1"/>
  <c r="AP154" i="13" s="1"/>
  <c r="AP232" i="13" a="1"/>
  <c r="AP232" i="13" s="1"/>
  <c r="AP259" i="13" a="1"/>
  <c r="AP259" i="13" s="1"/>
  <c r="AP139" i="13" a="1"/>
  <c r="AP139" i="13" s="1"/>
  <c r="AP244" i="13" a="1"/>
  <c r="AP244" i="13" s="1"/>
  <c r="AP241" i="13" a="1"/>
  <c r="AP241" i="13" s="1"/>
  <c r="AP220" i="13" a="1"/>
  <c r="AP220" i="13" s="1"/>
  <c r="AP157" i="13" a="1"/>
  <c r="AP157" i="13" s="1"/>
  <c r="AP909" i="13" a="1"/>
  <c r="AP909" i="13" s="1"/>
  <c r="AP834" i="13" a="1"/>
  <c r="AP834" i="13" s="1"/>
  <c r="AP849" i="13" a="1"/>
  <c r="AP849" i="13" s="1"/>
  <c r="AP831" i="13" a="1"/>
  <c r="AP831" i="13" s="1"/>
  <c r="AP816" i="13" a="1"/>
  <c r="AP816" i="13" s="1"/>
  <c r="AP813" i="13" a="1"/>
  <c r="AP813" i="13" s="1"/>
  <c r="AP786" i="13" a="1"/>
  <c r="AP786" i="13" s="1"/>
  <c r="AP789" i="13" a="1"/>
  <c r="AP789" i="13" s="1"/>
  <c r="AP873" i="13" a="1"/>
  <c r="AP873" i="13" s="1"/>
  <c r="AP795" i="13" a="1"/>
  <c r="AP795" i="13" s="1"/>
  <c r="AP897" i="13" a="1"/>
  <c r="AP897" i="13" s="1"/>
  <c r="AP304" i="13" a="1"/>
  <c r="AP304" i="13" s="1"/>
  <c r="AP313" i="13" a="1"/>
  <c r="AP313" i="13" s="1"/>
  <c r="AP310" i="13" a="1"/>
  <c r="AP310" i="13" s="1"/>
  <c r="AP322" i="13" a="1"/>
  <c r="AP322" i="13" s="1"/>
  <c r="AP632" i="13" a="1"/>
  <c r="AP632" i="13" s="1"/>
  <c r="AP596" i="13" a="1"/>
  <c r="AP596" i="13" s="1"/>
  <c r="AP584" i="13" a="1"/>
  <c r="AP584" i="13" s="1"/>
  <c r="AP635" i="13" a="1"/>
  <c r="AP635" i="13" s="1"/>
  <c r="AP599" i="13" a="1"/>
  <c r="AP599" i="13" s="1"/>
  <c r="AP593" i="13" a="1"/>
  <c r="AP593" i="13" s="1"/>
  <c r="AP611" i="13" a="1"/>
  <c r="AP611" i="13" s="1"/>
  <c r="AP587" i="13" a="1"/>
  <c r="AP587" i="13" s="1"/>
  <c r="AP563" i="13" a="1"/>
  <c r="AP563" i="13" s="1"/>
  <c r="AP608" i="13" a="1"/>
  <c r="AP608" i="13" s="1"/>
  <c r="AP581" i="13" a="1"/>
  <c r="AP581" i="13" s="1"/>
  <c r="AP546" i="13" a="1"/>
  <c r="AP546" i="13" s="1"/>
  <c r="AP534" i="13" a="1"/>
  <c r="AP534" i="13" s="1"/>
  <c r="AP549" i="13" a="1"/>
  <c r="AP549" i="13" s="1"/>
  <c r="AP386" i="13" a="1"/>
  <c r="AP386" i="13" s="1"/>
  <c r="AP266" i="13" a="1"/>
  <c r="AP266" i="13" s="1"/>
  <c r="AP371" i="13" a="1"/>
  <c r="AP371" i="13" s="1"/>
  <c r="AP368" i="13" a="1"/>
  <c r="AP368" i="13" s="1"/>
  <c r="AP293" i="13" a="1"/>
  <c r="AP293" i="13" s="1"/>
  <c r="AP284" i="13" a="1"/>
  <c r="AP284" i="13" s="1"/>
  <c r="AP359" i="13" a="1"/>
  <c r="AP359" i="13" s="1"/>
  <c r="AP281" i="13" a="1"/>
  <c r="AP281" i="13" s="1"/>
  <c r="AP347" i="13" a="1"/>
  <c r="AP347" i="13" s="1"/>
  <c r="AP857" i="13" a="1"/>
  <c r="AP857" i="13" s="1"/>
  <c r="AP842" i="13" a="1"/>
  <c r="AP842" i="13" s="1"/>
  <c r="AP869" i="13" a="1"/>
  <c r="AP869" i="13" s="1"/>
  <c r="AP854" i="13" a="1"/>
  <c r="AP854" i="13" s="1"/>
  <c r="AP845" i="13" a="1"/>
  <c r="AP845" i="13" s="1"/>
  <c r="AP821" i="13" a="1"/>
  <c r="AP821" i="13" s="1"/>
  <c r="AP866" i="13" a="1"/>
  <c r="AP866" i="13" s="1"/>
  <c r="AP839" i="13" a="1"/>
  <c r="AP839" i="13" s="1"/>
  <c r="AP851" i="13" a="1"/>
  <c r="AP851" i="13" s="1"/>
  <c r="AP893" i="13" a="1"/>
  <c r="AP893" i="13" s="1"/>
  <c r="AP890" i="13" a="1"/>
  <c r="AP890" i="13" s="1"/>
  <c r="AP134" i="13" a="1"/>
  <c r="AP134" i="13" s="1"/>
  <c r="AP98" i="13" a="1"/>
  <c r="AP98" i="13" s="1"/>
  <c r="AP74" i="13" a="1"/>
  <c r="AP74" i="13" s="1"/>
  <c r="AP14" i="13" a="1"/>
  <c r="AP14" i="13" s="1"/>
  <c r="AP122" i="13" a="1"/>
  <c r="AP122" i="13" s="1"/>
  <c r="AP38" i="13" a="1"/>
  <c r="AP38" i="13" s="1"/>
  <c r="AP56" i="13" a="1"/>
  <c r="AP56" i="13" s="1"/>
  <c r="AP59" i="13" a="1"/>
  <c r="AP59" i="13" s="1"/>
  <c r="AP41" i="13" a="1"/>
  <c r="AP41" i="13" s="1"/>
  <c r="AP20" i="13" a="1"/>
  <c r="AP20" i="13" s="1"/>
  <c r="AP11" i="13" a="1"/>
  <c r="AP11" i="13" s="1"/>
  <c r="AP808" i="13" a="1"/>
  <c r="AP808" i="13" s="1"/>
  <c r="AP805" i="13" a="1"/>
  <c r="AP805" i="13" s="1"/>
  <c r="AP793" i="13" a="1"/>
  <c r="AP793" i="13" s="1"/>
  <c r="AP700" i="13" a="1"/>
  <c r="AP700" i="13" s="1"/>
  <c r="AP691" i="13" a="1"/>
  <c r="AP691" i="13" s="1"/>
  <c r="AP697" i="13" a="1"/>
  <c r="AP697" i="13" s="1"/>
  <c r="AP709" i="13" a="1"/>
  <c r="AP709" i="13" s="1"/>
  <c r="AP162" i="13" a="1"/>
  <c r="AP162" i="13" s="1"/>
  <c r="AP159" i="13" a="1"/>
  <c r="AP159" i="13" s="1"/>
  <c r="AP147" i="13" a="1"/>
  <c r="AP147" i="13" s="1"/>
  <c r="AP886" i="13" a="1"/>
  <c r="AP886" i="13" s="1"/>
  <c r="AP904" i="13" a="1"/>
  <c r="AP904" i="13" s="1"/>
  <c r="AP784" i="13" a="1"/>
  <c r="AP784" i="13" s="1"/>
  <c r="AP799" i="13" a="1"/>
  <c r="AP799" i="13" s="1"/>
  <c r="AP889" i="13" a="1"/>
  <c r="AP889" i="13" s="1"/>
  <c r="AP802" i="13" a="1"/>
  <c r="AP802" i="13" s="1"/>
  <c r="AP865" i="13" a="1"/>
  <c r="AP865" i="13" s="1"/>
  <c r="AP877" i="13" a="1"/>
  <c r="AP877" i="13" s="1"/>
  <c r="AP811" i="13" a="1"/>
  <c r="AP811" i="13" s="1"/>
  <c r="AP410" i="13" a="1"/>
  <c r="AP410" i="13" s="1"/>
  <c r="AP422" i="13" a="1"/>
  <c r="AP422" i="13" s="1"/>
  <c r="AP497" i="13" a="1"/>
  <c r="AP497" i="13" s="1"/>
  <c r="AP515" i="13" a="1"/>
  <c r="AP515" i="13" s="1"/>
  <c r="AP488" i="13" a="1"/>
  <c r="AP488" i="13" s="1"/>
  <c r="AP476" i="13" a="1"/>
  <c r="AP476" i="13" s="1"/>
  <c r="AP500" i="13" a="1"/>
  <c r="AP500" i="13" s="1"/>
  <c r="AP413" i="13" a="1"/>
  <c r="AP413" i="13" s="1"/>
  <c r="AP395" i="13" a="1"/>
  <c r="AP395" i="13" s="1"/>
  <c r="AP791" i="13" a="1"/>
  <c r="AP791" i="13" s="1"/>
  <c r="AP806" i="13" a="1"/>
  <c r="AP806" i="13" s="1"/>
  <c r="AP803" i="13" a="1"/>
  <c r="AP803" i="13" s="1"/>
  <c r="AP978" i="13" a="1"/>
  <c r="AP978" i="13" s="1"/>
  <c r="AP1038" i="13" a="1"/>
  <c r="AP1038" i="13" s="1"/>
  <c r="AP960" i="13" a="1"/>
  <c r="AP960" i="13" s="1"/>
  <c r="AP918" i="13" a="1"/>
  <c r="AP918" i="13" s="1"/>
  <c r="AP963" i="13" a="1"/>
  <c r="AP963" i="13" s="1"/>
  <c r="AP1026" i="13" a="1"/>
  <c r="AP1026" i="13" s="1"/>
  <c r="AP942" i="13" a="1"/>
  <c r="AP942" i="13" s="1"/>
  <c r="AP945" i="13" a="1"/>
  <c r="AP945" i="13" s="1"/>
  <c r="AP924" i="13" a="1"/>
  <c r="AP924" i="13" s="1"/>
  <c r="AP1002" i="13" a="1"/>
  <c r="AP1002" i="13" s="1"/>
  <c r="AP915" i="13" a="1"/>
  <c r="AP915" i="13" s="1"/>
  <c r="AP614" i="13" a="1"/>
  <c r="AP614" i="13" s="1"/>
  <c r="AP527" i="13" a="1"/>
  <c r="AP527" i="13" s="1"/>
  <c r="AP572" i="13" a="1"/>
  <c r="AP572" i="13" s="1"/>
  <c r="AP638" i="13" a="1"/>
  <c r="AP638" i="13" s="1"/>
  <c r="AP554" i="13" a="1"/>
  <c r="AP554" i="13" s="1"/>
  <c r="AP650" i="13" a="1"/>
  <c r="AP650" i="13" s="1"/>
  <c r="AP575" i="13" a="1"/>
  <c r="AP575" i="13" s="1"/>
  <c r="AP590" i="13" a="1"/>
  <c r="AP590" i="13" s="1"/>
  <c r="AP557" i="13" a="1"/>
  <c r="AP557" i="13" s="1"/>
  <c r="AP536" i="13" a="1"/>
  <c r="AP536" i="13" s="1"/>
  <c r="AP530" i="13" a="1"/>
  <c r="AP530" i="13" s="1"/>
  <c r="AP982" i="13" a="1"/>
  <c r="AP982" i="13" s="1"/>
  <c r="AP970" i="13" a="1"/>
  <c r="AP970" i="13" s="1"/>
  <c r="AP988" i="13" a="1"/>
  <c r="AP988" i="13" s="1"/>
  <c r="AP976" i="13" a="1"/>
  <c r="AP976" i="13" s="1"/>
  <c r="AP952" i="13" a="1"/>
  <c r="AP952" i="13" s="1"/>
  <c r="AP1021" i="13" a="1"/>
  <c r="AP1021" i="13" s="1"/>
  <c r="AP985" i="13" a="1"/>
  <c r="AP985" i="13" s="1"/>
  <c r="AP997" i="13" a="1"/>
  <c r="AP997" i="13" s="1"/>
  <c r="AP973" i="13" a="1"/>
  <c r="AP973" i="13" s="1"/>
  <c r="AP1000" i="13" a="1"/>
  <c r="AP1000" i="13" s="1"/>
  <c r="AP1024" i="13" a="1"/>
  <c r="AP1024" i="13" s="1"/>
  <c r="AP387" i="13" a="1"/>
  <c r="AP387" i="13" s="1"/>
  <c r="AP348" i="13" a="1"/>
  <c r="AP348" i="13" s="1"/>
  <c r="AP285" i="13" a="1"/>
  <c r="AP285" i="13" s="1"/>
  <c r="AP282" i="13" a="1"/>
  <c r="AP282" i="13" s="1"/>
  <c r="AP267" i="13" a="1"/>
  <c r="AP267" i="13" s="1"/>
  <c r="AP369" i="13" a="1"/>
  <c r="AP369" i="13" s="1"/>
  <c r="AP294" i="13" a="1"/>
  <c r="AP294" i="13" s="1"/>
  <c r="AP360" i="13" a="1"/>
  <c r="AP360" i="13" s="1"/>
  <c r="AP372" i="13" a="1"/>
  <c r="AP372" i="13" s="1"/>
  <c r="AP406" i="13" a="1"/>
  <c r="AP406" i="13" s="1"/>
  <c r="AP421" i="13" a="1"/>
  <c r="AP421" i="13" s="1"/>
  <c r="AP418" i="13" a="1"/>
  <c r="AP418" i="13" s="1"/>
  <c r="AP332" i="13" a="1"/>
  <c r="AP332" i="13" s="1"/>
  <c r="AP299" i="13" a="1"/>
  <c r="AP299" i="13" s="1"/>
  <c r="AP314" i="13" a="1"/>
  <c r="AP314" i="13" s="1"/>
  <c r="AP380" i="13" a="1"/>
  <c r="AP380" i="13" s="1"/>
  <c r="AP272" i="13" a="1"/>
  <c r="AP272" i="13" s="1"/>
  <c r="AP269" i="13" a="1"/>
  <c r="AP269" i="13" s="1"/>
  <c r="AP317" i="13" a="1"/>
  <c r="AP317" i="13" s="1"/>
  <c r="AP356" i="13" a="1"/>
  <c r="AP356" i="13" s="1"/>
  <c r="AP296" i="13" a="1"/>
  <c r="AP296" i="13" s="1"/>
  <c r="AP278" i="13" a="1"/>
  <c r="AP278" i="13" s="1"/>
  <c r="AP392" i="13" a="1"/>
  <c r="AP392" i="13" s="1"/>
  <c r="AP514" i="13" a="1"/>
  <c r="AP514" i="13" s="1"/>
  <c r="AP493" i="13" a="1"/>
  <c r="AP493" i="13" s="1"/>
  <c r="AP496" i="13" a="1"/>
  <c r="AP496" i="13" s="1"/>
  <c r="AP475" i="13" a="1"/>
  <c r="AP475" i="13" s="1"/>
  <c r="AP520" i="13" a="1"/>
  <c r="AP520" i="13" s="1"/>
  <c r="AP132" i="13" a="1"/>
  <c r="AP132" i="13" s="1"/>
  <c r="AP105" i="13" a="1"/>
  <c r="AP105" i="13" s="1"/>
  <c r="AP108" i="13" a="1"/>
  <c r="AP108" i="13" s="1"/>
  <c r="AP126" i="13" a="1"/>
  <c r="AP126" i="13" s="1"/>
  <c r="AP87" i="13" a="1"/>
  <c r="AP87" i="13" s="1"/>
  <c r="AP133" i="13" a="1"/>
  <c r="AP133" i="13" s="1"/>
  <c r="AP106" i="13" a="1"/>
  <c r="AP106" i="13" s="1"/>
  <c r="AP109" i="13" a="1"/>
  <c r="AP109" i="13" s="1"/>
  <c r="AP127" i="13" a="1"/>
  <c r="AP127" i="13" s="1"/>
  <c r="AP88" i="13" a="1"/>
  <c r="AP88" i="13" s="1"/>
  <c r="AP956" i="13" a="1"/>
  <c r="AP956" i="13" s="1"/>
  <c r="AP953" i="13" a="1"/>
  <c r="AP953" i="13" s="1"/>
  <c r="AP965" i="13" a="1"/>
  <c r="AP965" i="13" s="1"/>
  <c r="AP947" i="13" a="1"/>
  <c r="AP947" i="13" s="1"/>
  <c r="AP417" i="13" a="1"/>
  <c r="AP417" i="13" s="1"/>
  <c r="AP405" i="13" a="1"/>
  <c r="AP405" i="13" s="1"/>
  <c r="AP420" i="13" a="1"/>
  <c r="AP420" i="13" s="1"/>
  <c r="AP1009" i="13" a="1"/>
  <c r="AP1009" i="13" s="1"/>
  <c r="AP1036" i="13" a="1"/>
  <c r="AP1036" i="13" s="1"/>
  <c r="AP1012" i="13" a="1"/>
  <c r="AP1012" i="13" s="1"/>
  <c r="AP1030" i="13" a="1"/>
  <c r="AP1030" i="13" s="1"/>
  <c r="AP991" i="13" a="1"/>
  <c r="AP991" i="13" s="1"/>
  <c r="AP775" i="13" a="1"/>
  <c r="AP775" i="13" s="1"/>
  <c r="AP736" i="13" a="1"/>
  <c r="AP736" i="13" s="1"/>
  <c r="AP682" i="13" a="1"/>
  <c r="AP682" i="13" s="1"/>
  <c r="AP670" i="13" a="1"/>
  <c r="AP670" i="13" s="1"/>
  <c r="AP748" i="13" a="1"/>
  <c r="AP748" i="13" s="1"/>
  <c r="AP757" i="13" a="1"/>
  <c r="AP757" i="13" s="1"/>
  <c r="AP760" i="13" a="1"/>
  <c r="AP760" i="13" s="1"/>
  <c r="AP655" i="13" a="1"/>
  <c r="AP655" i="13" s="1"/>
  <c r="AP673" i="13" a="1"/>
  <c r="AP673" i="13" s="1"/>
  <c r="AP838" i="13" a="1"/>
  <c r="AP838" i="13" s="1"/>
  <c r="AP826" i="13" a="1"/>
  <c r="AP826" i="13" s="1"/>
  <c r="AP829" i="13" a="1"/>
  <c r="AP829" i="13" s="1"/>
  <c r="AP820" i="13" a="1"/>
  <c r="AP820" i="13" s="1"/>
  <c r="AP984" i="13" a="1"/>
  <c r="AP984" i="13" s="1"/>
  <c r="AP972" i="13" a="1"/>
  <c r="AP972" i="13" s="1"/>
  <c r="AP1020" i="13" a="1"/>
  <c r="AP1020" i="13" s="1"/>
  <c r="AP969" i="13" a="1"/>
  <c r="AP969" i="13" s="1"/>
  <c r="AP951" i="13" a="1"/>
  <c r="AP951" i="13" s="1"/>
  <c r="AP999" i="13" a="1"/>
  <c r="AP999" i="13" s="1"/>
  <c r="AP1023" i="13" a="1"/>
  <c r="AP1023" i="13" s="1"/>
  <c r="AP975" i="13" a="1"/>
  <c r="AP975" i="13" s="1"/>
  <c r="AP996" i="13" a="1"/>
  <c r="AP996" i="13" s="1"/>
  <c r="AP981" i="13" a="1"/>
  <c r="AP981" i="13" s="1"/>
  <c r="AP987" i="13" a="1"/>
  <c r="AP987" i="13" s="1"/>
  <c r="AP184" i="13" a="1"/>
  <c r="AP184" i="13" s="1"/>
  <c r="AP175" i="13" a="1"/>
  <c r="AP175" i="13" s="1"/>
  <c r="AP181" i="13" a="1"/>
  <c r="AP181" i="13" s="1"/>
  <c r="AP193" i="13" a="1"/>
  <c r="AP193" i="13" s="1"/>
  <c r="AP707" i="13" a="1"/>
  <c r="AP707" i="13" s="1"/>
  <c r="AP695" i="13" a="1"/>
  <c r="AP695" i="13" s="1"/>
  <c r="AP698" i="13" a="1"/>
  <c r="AP698" i="13" s="1"/>
  <c r="AP689" i="13" a="1"/>
  <c r="AP689" i="13" s="1"/>
  <c r="AP895" i="13" a="1"/>
  <c r="AP895" i="13" s="1"/>
  <c r="AP853" i="13" a="1"/>
  <c r="AP853" i="13" s="1"/>
  <c r="AP841" i="13" a="1"/>
  <c r="AP841" i="13" s="1"/>
  <c r="AP871" i="13" a="1"/>
  <c r="AP871" i="13" s="1"/>
  <c r="AP859" i="13" a="1"/>
  <c r="AP859" i="13" s="1"/>
  <c r="AP856" i="13" a="1"/>
  <c r="AP856" i="13" s="1"/>
  <c r="AP844" i="13" a="1"/>
  <c r="AP844" i="13" s="1"/>
  <c r="AP868" i="13" a="1"/>
  <c r="AP868" i="13" s="1"/>
  <c r="AP892" i="13" a="1"/>
  <c r="AP892" i="13" s="1"/>
  <c r="AP823" i="13" a="1"/>
  <c r="AP823" i="13" s="1"/>
  <c r="AP847" i="13" a="1"/>
  <c r="AP847" i="13" s="1"/>
  <c r="AP512" i="13" a="1"/>
  <c r="AP512" i="13" s="1"/>
  <c r="AP518" i="13" a="1"/>
  <c r="AP518" i="13" s="1"/>
  <c r="AP491" i="13" a="1"/>
  <c r="AP491" i="13" s="1"/>
  <c r="AP473" i="13" a="1"/>
  <c r="AP473" i="13" s="1"/>
  <c r="AP494" i="13" a="1"/>
  <c r="AP494" i="13" s="1"/>
  <c r="AP31" i="13" a="1"/>
  <c r="AP31" i="13" s="1"/>
  <c r="AP34" i="13" a="1"/>
  <c r="AP34" i="13" s="1"/>
  <c r="AP19" i="13" a="1"/>
  <c r="AP19" i="13" s="1"/>
  <c r="AY15" i="9"/>
  <c r="AP561" i="9" s="1" a="1"/>
  <c r="AP561" i="9" s="1"/>
  <c r="BA9" i="9"/>
  <c r="AP818" i="9" s="1" a="1"/>
  <c r="AP818" i="9" s="1"/>
  <c r="BB9" i="9"/>
  <c r="AP947" i="9" s="1" a="1"/>
  <c r="AP947" i="9" s="1"/>
  <c r="AZ15" i="9"/>
  <c r="AP699" i="9" s="1" a="1"/>
  <c r="AP699" i="9" s="1"/>
  <c r="AV21" i="9"/>
  <c r="AP175" i="9" s="1" a="1"/>
  <c r="AP175" i="9" s="1"/>
  <c r="AZ9" i="9"/>
  <c r="AP698" i="9" s="1" a="1"/>
  <c r="AP698" i="9" s="1"/>
  <c r="AY9" i="9"/>
  <c r="AP578" i="9" s="1" a="1"/>
  <c r="AP578" i="9" s="1"/>
  <c r="AW22" i="9"/>
  <c r="AP367" i="9" s="1" a="1"/>
  <c r="AP367" i="9" s="1"/>
  <c r="AU8" i="9"/>
  <c r="AP32" i="9" s="1" a="1"/>
  <c r="AP32" i="9" s="1"/>
  <c r="AZ22" i="9"/>
  <c r="AP778" i="9" s="1" a="1"/>
  <c r="AP778" i="9" s="1"/>
  <c r="AZ14" i="9"/>
  <c r="AP678" i="9" s="1" a="1"/>
  <c r="AP678" i="9" s="1"/>
  <c r="AY10" i="9"/>
  <c r="AP602" i="9" s="1" a="1"/>
  <c r="AP602" i="9" s="1"/>
  <c r="AW16" i="9"/>
  <c r="AP345" i="9" s="1" a="1"/>
  <c r="AP345" i="9" s="1"/>
  <c r="AW15" i="9"/>
  <c r="AP309" i="9" s="1" a="1"/>
  <c r="AP309" i="9" s="1"/>
  <c r="AY14" i="9"/>
  <c r="AP534" i="9" s="1" a="1"/>
  <c r="AP534" i="9" s="1"/>
  <c r="AV14" i="9"/>
  <c r="AP147" i="9" s="1" a="1"/>
  <c r="AP147" i="9" s="1"/>
  <c r="BB16" i="9"/>
  <c r="AP1011" i="9" s="1" a="1"/>
  <c r="AP1011" i="9" s="1"/>
  <c r="AV19" i="9"/>
  <c r="AP141" i="9" s="1" a="1"/>
  <c r="AP141" i="9" s="1"/>
  <c r="AV16" i="9"/>
  <c r="AP255" i="9" s="1" a="1"/>
  <c r="AP255" i="9" s="1"/>
  <c r="AW9" i="9"/>
  <c r="AP311" i="9" s="1" a="1"/>
  <c r="AP311" i="9" s="1"/>
  <c r="BA14" i="9"/>
  <c r="AP807" i="9" s="1" a="1"/>
  <c r="AP807" i="9" s="1"/>
  <c r="AV10" i="9"/>
  <c r="AP233" i="9" s="1" a="1"/>
  <c r="AP233" i="9" s="1"/>
  <c r="AZ21" i="9"/>
  <c r="AP700" i="9" s="1" a="1"/>
  <c r="AP700" i="9" s="1"/>
  <c r="AV13" i="9"/>
  <c r="AP227" i="9" s="1" a="1"/>
  <c r="AP227" i="9" s="1"/>
  <c r="AU15" i="9"/>
  <c r="AP54" i="9" s="1" a="1"/>
  <c r="AP54" i="9" s="1"/>
  <c r="AU9" i="9"/>
  <c r="AP50" i="9" s="1" a="1"/>
  <c r="AP50" i="9" s="1"/>
  <c r="AZ20" i="9"/>
  <c r="AP664" i="9" s="1" a="1"/>
  <c r="AP664" i="9" s="1"/>
  <c r="AZ10" i="9"/>
  <c r="AP731" i="9" s="1" a="1"/>
  <c r="AP731" i="9" s="1"/>
  <c r="AU14" i="9"/>
  <c r="AP30" i="9" s="1" a="1"/>
  <c r="AP30" i="9" s="1"/>
  <c r="BA20" i="9"/>
  <c r="AP808" i="9" s="1" a="1"/>
  <c r="AP808" i="9" s="1"/>
  <c r="AV20" i="9"/>
  <c r="AP148" i="9" s="1" a="1"/>
  <c r="AP148" i="9" s="1"/>
  <c r="AX16" i="9"/>
  <c r="AP492" i="9" s="1" a="1"/>
  <c r="AP492" i="9" s="1"/>
  <c r="BB10" i="9"/>
  <c r="AP989" i="9" s="1" a="1"/>
  <c r="AP989" i="9" s="1"/>
  <c r="AX19" i="9"/>
  <c r="AP486" i="9" s="1" a="1"/>
  <c r="AP486" i="9" s="1"/>
  <c r="AU10" i="9"/>
  <c r="AP125" i="9" s="1" a="1"/>
  <c r="AP125" i="9" s="1"/>
  <c r="AW14" i="9"/>
  <c r="AP288" i="9" s="1" a="1"/>
  <c r="AP288" i="9" s="1"/>
  <c r="AX18" i="9"/>
  <c r="AP453" i="9" s="1" a="1"/>
  <c r="AP453" i="9" s="1"/>
  <c r="BA18" i="9"/>
  <c r="AP891" i="9" s="1" a="1"/>
  <c r="AP891" i="9" s="1"/>
  <c r="AU20" i="9"/>
  <c r="AP31" i="9" s="1" a="1"/>
  <c r="AP31" i="9" s="1"/>
  <c r="AW20" i="9"/>
  <c r="AP277" i="9" s="1" a="1"/>
  <c r="AP277" i="9" s="1"/>
  <c r="AV8" i="9"/>
  <c r="AP146" i="9" s="1" a="1"/>
  <c r="AP146" i="9" s="1"/>
  <c r="BB14" i="9"/>
  <c r="AP933" i="9" s="1" a="1"/>
  <c r="AP933" i="9" s="1"/>
  <c r="AW25" i="9"/>
  <c r="AP358" i="9" s="1" a="1"/>
  <c r="AP358" i="9" s="1"/>
  <c r="BA21" i="9"/>
  <c r="AP826" i="9" s="1" a="1"/>
  <c r="AP826" i="9" s="1"/>
  <c r="AZ19" i="9"/>
  <c r="AP702" i="9" s="1" a="1"/>
  <c r="AP702" i="9" s="1"/>
  <c r="AW23" i="9"/>
  <c r="AP373" i="9" s="1" a="1"/>
  <c r="AP373" i="9" s="1"/>
  <c r="BA15" i="9"/>
  <c r="AP819" i="9" s="1" a="1"/>
  <c r="AP819" i="9" s="1"/>
  <c r="BB11" i="9"/>
  <c r="AP1016" i="9" s="1" a="1"/>
  <c r="AP1016" i="9" s="1"/>
  <c r="BA8" i="9"/>
  <c r="AP803" i="9" s="1" a="1"/>
  <c r="AP803" i="9" s="1"/>
  <c r="AX24" i="9"/>
  <c r="AP454" i="9" s="1" a="1"/>
  <c r="AP454" i="9" s="1"/>
  <c r="AW24" i="9"/>
  <c r="AP376" i="9" s="1" a="1"/>
  <c r="AP376" i="9" s="1"/>
  <c r="AU25" i="9"/>
  <c r="AP58" i="9" s="1" a="1"/>
  <c r="AP58" i="9" s="1"/>
  <c r="BB8" i="9"/>
  <c r="AP935" i="9" s="1" a="1"/>
  <c r="AP935" i="9" s="1"/>
  <c r="AY25" i="9"/>
  <c r="AP592" i="9" s="1" a="1"/>
  <c r="AP592" i="9" s="1"/>
  <c r="AW21" i="9"/>
  <c r="AP310" i="9" s="1" a="1"/>
  <c r="AP310" i="9" s="1"/>
  <c r="AW19" i="9"/>
  <c r="AP300" i="9" s="1" a="1"/>
  <c r="AP300" i="9" s="1"/>
  <c r="AY13" i="9"/>
  <c r="AP530" i="9" s="1" a="1"/>
  <c r="AP530" i="9" s="1"/>
  <c r="AW10" i="9"/>
  <c r="AP383" i="9" s="1" a="1"/>
  <c r="AP383" i="9" s="1"/>
  <c r="BA11" i="9"/>
  <c r="AP863" i="9" s="1" a="1"/>
  <c r="AP863" i="9" s="1"/>
  <c r="BA16" i="9"/>
  <c r="AP879" i="9" s="1" a="1"/>
  <c r="AP879" i="9" s="1"/>
  <c r="BA17" i="9"/>
  <c r="AP888" i="9" s="1" a="1"/>
  <c r="AP888" i="9" s="1"/>
  <c r="AW18" i="9"/>
  <c r="AP375" i="9" s="1" a="1"/>
  <c r="AP375" i="9" s="1"/>
  <c r="BA23" i="9"/>
  <c r="AP877" i="9" s="1" a="1"/>
  <c r="AP877" i="9" s="1"/>
  <c r="AW13" i="9"/>
  <c r="AP296" i="9" s="1" a="1"/>
  <c r="AP296" i="9" s="1"/>
  <c r="AW12" i="9"/>
  <c r="AP374" i="9" s="1" a="1"/>
  <c r="AP374" i="9" s="1"/>
  <c r="BB15" i="9"/>
  <c r="AP948" i="9" s="1" a="1"/>
  <c r="AP948" i="9" s="1"/>
  <c r="AY18" i="9"/>
  <c r="AP594" i="9" s="1" a="1"/>
  <c r="AP594" i="9" s="1"/>
  <c r="AU16" i="9"/>
  <c r="AP132" i="9" s="1" a="1"/>
  <c r="AP132" i="9" s="1"/>
  <c r="AZ25" i="9"/>
  <c r="AP703" i="9" s="1" a="1"/>
  <c r="AP703" i="9" s="1"/>
  <c r="AU12" i="9"/>
  <c r="AP119" i="9" s="1" a="1"/>
  <c r="AP119" i="9" s="1"/>
  <c r="BA12" i="9"/>
  <c r="AP845" i="9" s="1" a="1"/>
  <c r="AP845" i="9" s="1"/>
  <c r="AV9" i="9"/>
  <c r="AP182" i="9" s="1" a="1"/>
  <c r="AP182" i="9" s="1"/>
  <c r="AX12" i="9"/>
  <c r="AP455" i="9" s="1" a="1"/>
  <c r="AP455" i="9" s="1"/>
  <c r="AU17" i="9"/>
  <c r="AP90" i="9" s="1" a="1"/>
  <c r="AP90" i="9" s="1"/>
  <c r="AU23" i="9"/>
  <c r="AP130" i="9" s="1" a="1"/>
  <c r="AP130" i="9" s="1"/>
  <c r="AV24" i="9"/>
  <c r="AP226" i="9" s="1" a="1"/>
  <c r="AP226" i="9" s="1"/>
  <c r="AY16" i="9"/>
  <c r="AP603" i="9" s="1" a="1"/>
  <c r="AP603" i="9" s="1"/>
  <c r="AY8" i="9"/>
  <c r="AP548" i="9" s="1" a="1"/>
  <c r="AP548" i="9" s="1"/>
  <c r="AY17" i="9"/>
  <c r="AP630" i="9" s="1" a="1"/>
  <c r="AP630" i="9" s="1"/>
  <c r="BB19" i="9"/>
  <c r="AP945" i="9" s="1" a="1"/>
  <c r="AP945" i="9" s="1"/>
  <c r="AX15" i="9"/>
  <c r="AP432" i="9" s="1" a="1"/>
  <c r="AP432" i="9" s="1"/>
  <c r="AV17" i="9"/>
  <c r="AP243" i="9" s="1" a="1"/>
  <c r="AP243" i="9" s="1"/>
  <c r="AV11" i="9"/>
  <c r="AP239" i="9" s="1" a="1"/>
  <c r="AP239" i="9" s="1"/>
  <c r="AZ18" i="9"/>
  <c r="AP738" i="9" s="1" a="1"/>
  <c r="AP738" i="9" s="1"/>
  <c r="AU24" i="9"/>
  <c r="AP121" i="9" s="1" a="1"/>
  <c r="AP121" i="9" s="1"/>
  <c r="AU19" i="9"/>
  <c r="AP57" i="9" s="1" a="1"/>
  <c r="AP57" i="9" s="1"/>
  <c r="AY24" i="9"/>
  <c r="AP598" i="9" s="1" a="1"/>
  <c r="AP598" i="9" s="1"/>
  <c r="BA19" i="9"/>
  <c r="AP816" i="9" s="1" a="1"/>
  <c r="AP816" i="9" s="1"/>
  <c r="AZ24" i="9"/>
  <c r="AP727" i="9" s="1" a="1"/>
  <c r="AP727" i="9" s="1"/>
  <c r="BB24" i="9"/>
  <c r="AP988" i="9" s="1" a="1"/>
  <c r="AP988" i="9" s="1"/>
  <c r="AW17" i="9"/>
  <c r="AP387" i="9" s="1" a="1"/>
  <c r="AP387" i="9" s="1"/>
  <c r="BA10" i="9"/>
  <c r="AP881" i="9" s="1" a="1"/>
  <c r="AP881" i="9" s="1"/>
  <c r="AZ17" i="9"/>
  <c r="AP654" i="9" s="1" a="1"/>
  <c r="AP654" i="9" s="1"/>
  <c r="AX9" i="9"/>
  <c r="AP431" i="9" s="1" a="1"/>
  <c r="AP431" i="9" s="1"/>
  <c r="BA24" i="9"/>
  <c r="AP868" i="9" s="1" a="1"/>
  <c r="AP868" i="9" s="1"/>
  <c r="AY11" i="9"/>
  <c r="AP551" i="9" s="1" a="1"/>
  <c r="AP551" i="9" s="1"/>
  <c r="AZ12" i="9"/>
  <c r="AP710" i="9" s="1" a="1"/>
  <c r="AP710" i="9" s="1"/>
  <c r="AV23" i="9"/>
  <c r="AP157" i="9" s="1" a="1"/>
  <c r="AP157" i="9" s="1"/>
  <c r="AX22" i="9"/>
  <c r="AP514" i="9" s="1" a="1"/>
  <c r="AP514" i="9" s="1"/>
  <c r="AU18" i="9"/>
  <c r="AP96" i="9" s="1" a="1"/>
  <c r="AP96" i="9" s="1"/>
  <c r="AU22" i="9"/>
  <c r="AP88" i="9" s="1" a="1"/>
  <c r="AP88" i="9" s="1"/>
  <c r="AZ11" i="9"/>
  <c r="AP746" i="9" s="1" a="1"/>
  <c r="AP746" i="9" s="1"/>
  <c r="AZ23" i="9"/>
  <c r="AP748" i="9" s="1" a="1"/>
  <c r="AP748" i="9" s="1"/>
  <c r="AV12" i="9"/>
  <c r="AP245" i="9" s="1" a="1"/>
  <c r="AP245" i="9" s="1"/>
  <c r="AX25" i="9"/>
  <c r="AP430" i="9" s="1" a="1"/>
  <c r="AP430" i="9" s="1"/>
  <c r="BB18" i="9"/>
  <c r="AP987" i="9" s="1" a="1"/>
  <c r="AP987" i="9" s="1"/>
  <c r="AX11" i="9"/>
  <c r="AP422" i="9" s="1" a="1"/>
  <c r="AP422" i="9" s="1"/>
  <c r="BA25" i="9"/>
  <c r="AP817" i="9" s="1" a="1"/>
  <c r="AP817" i="9" s="1"/>
  <c r="BA13" i="9"/>
  <c r="AP848" i="9" s="1" a="1"/>
  <c r="AP848" i="9" s="1"/>
  <c r="AV25" i="9"/>
  <c r="AP205" i="9" s="1" a="1"/>
  <c r="AP205" i="9" s="1"/>
  <c r="AZ13" i="9"/>
  <c r="AP659" i="9" s="1" a="1"/>
  <c r="AP659" i="9" s="1"/>
  <c r="AX23" i="9"/>
  <c r="AP502" i="9" s="1" a="1"/>
  <c r="AP502" i="9" s="1"/>
  <c r="AY21" i="9"/>
  <c r="AP580" i="9" s="1" a="1"/>
  <c r="AP580" i="9" s="1"/>
  <c r="AU13" i="9"/>
  <c r="AP74" i="9" s="1" a="1"/>
  <c r="AP74" i="9" s="1"/>
  <c r="AY19" i="9"/>
  <c r="AP651" i="9" s="1" a="1"/>
  <c r="AP651" i="9" s="1"/>
  <c r="AW11" i="9"/>
  <c r="AP371" i="9" s="1" a="1"/>
  <c r="AP371" i="9" s="1"/>
  <c r="AV15" i="9"/>
  <c r="AP180" i="9" s="1" a="1"/>
  <c r="AP180" i="9" s="1"/>
  <c r="AY12" i="9"/>
  <c r="AP599" i="9" s="1" a="1"/>
  <c r="AP599" i="9" s="1"/>
  <c r="AV18" i="9"/>
  <c r="AP195" i="9" s="1" a="1"/>
  <c r="AP195" i="9" s="1"/>
  <c r="AX13" i="9"/>
  <c r="AP443" i="9" s="1" a="1"/>
  <c r="AP443" i="9" s="1"/>
  <c r="AX17" i="9"/>
  <c r="AP423" i="9" s="1" a="1"/>
  <c r="AP423" i="9" s="1"/>
  <c r="BB25" i="9"/>
  <c r="AP1039" i="9" s="1" a="1"/>
  <c r="AP1039" i="9" s="1"/>
  <c r="AY23" i="9"/>
  <c r="AP526" i="9" s="1" a="1"/>
  <c r="AP526" i="9" s="1"/>
  <c r="BA22" i="9"/>
  <c r="AP862" i="9" s="1" a="1"/>
  <c r="AP862" i="9" s="1"/>
  <c r="BB22" i="9"/>
  <c r="AP1012" i="9" s="1" a="1"/>
  <c r="AP1012" i="9" s="1"/>
  <c r="BB17" i="9"/>
  <c r="AP1032" i="9" s="1" a="1"/>
  <c r="AP1032" i="9" s="1"/>
  <c r="BB12" i="9"/>
  <c r="AP995" i="9" s="1" a="1"/>
  <c r="AP995" i="9" s="1"/>
  <c r="BB13" i="9"/>
  <c r="AP1025" i="9" s="1" a="1"/>
  <c r="AP1025" i="9" s="1"/>
  <c r="BB23" i="9"/>
  <c r="AP913" i="9" s="1" a="1"/>
  <c r="AP913" i="9" s="1"/>
  <c r="AP118" i="9" a="1"/>
  <c r="AP118" i="9" s="1"/>
  <c r="AP512" i="9" a="1"/>
  <c r="AP512" i="9" s="1"/>
  <c r="AP622" i="9" a="1"/>
  <c r="AP622" i="9" s="1"/>
  <c r="AP754" i="9" a="1"/>
  <c r="AP754" i="9" s="1"/>
  <c r="AP954" i="9" a="1"/>
  <c r="AP954" i="9" s="1"/>
  <c r="AP643" i="9" a="1"/>
  <c r="AP643" i="9" s="1"/>
  <c r="AP625" i="9" a="1"/>
  <c r="AP625" i="9" s="1"/>
  <c r="AP649" i="9" a="1"/>
  <c r="AP649" i="9" s="1"/>
  <c r="AP657" i="9" a="1"/>
  <c r="AP657" i="9" s="1"/>
  <c r="AP298" i="9" a="1"/>
  <c r="AP298" i="9" s="1"/>
  <c r="AP256" i="9" a="1"/>
  <c r="AP256" i="9" s="1"/>
  <c r="AP685" i="9" a="1"/>
  <c r="AP685" i="9" s="1"/>
  <c r="AP708" i="9" a="1"/>
  <c r="AP708" i="9" s="1"/>
  <c r="AP264" i="9" a="1"/>
  <c r="AP264" i="9" s="1"/>
  <c r="AP184" i="9" a="1"/>
  <c r="AP184" i="9" s="1"/>
  <c r="AP150" i="9" a="1"/>
  <c r="AP150" i="9" s="1"/>
  <c r="AP168" i="9" a="1"/>
  <c r="AP168" i="9" s="1"/>
  <c r="AP252" i="9" a="1"/>
  <c r="AP252" i="9" s="1"/>
  <c r="AP181" i="9" a="1"/>
  <c r="AP181" i="9" s="1"/>
  <c r="AP193" i="9" a="1"/>
  <c r="AP193" i="9" s="1"/>
  <c r="AP275" i="9" a="1"/>
  <c r="AP275" i="9" s="1"/>
  <c r="AP228" i="9" a="1"/>
  <c r="AP228" i="9" s="1"/>
  <c r="AP189" i="9" a="1"/>
  <c r="AP189" i="9" s="1"/>
  <c r="AP953" i="9" a="1"/>
  <c r="AP953" i="9" s="1"/>
  <c r="AP550" i="9" a="1"/>
  <c r="AP550" i="9" s="1"/>
  <c r="AP186" i="9" a="1"/>
  <c r="AP186" i="9" s="1"/>
  <c r="AP417" i="9" a="1"/>
  <c r="AP417" i="9" s="1"/>
  <c r="AP535" i="9" a="1"/>
  <c r="AP535" i="9" s="1"/>
  <c r="AP696" i="9" a="1"/>
  <c r="AP696" i="9" s="1"/>
  <c r="AP144" i="9" a="1"/>
  <c r="AP144" i="9" s="1"/>
  <c r="AP420" i="9" a="1"/>
  <c r="AP420" i="9" s="1"/>
  <c r="AP171" i="9" a="1"/>
  <c r="AP171" i="9" s="1"/>
  <c r="AP965" i="9" a="1"/>
  <c r="AP965" i="9" s="1"/>
  <c r="AP287" i="9" a="1"/>
  <c r="AP287" i="9" s="1"/>
  <c r="AP204" i="9" a="1"/>
  <c r="AP204" i="9" s="1"/>
  <c r="AP956" i="9" a="1"/>
  <c r="AP956" i="9" s="1"/>
  <c r="AP690" i="9" a="1"/>
  <c r="AP690" i="9" s="1"/>
  <c r="AP662" i="9" a="1"/>
  <c r="AP662" i="9" s="1"/>
  <c r="AP238" i="9" a="1"/>
  <c r="AP238" i="9" s="1"/>
  <c r="AP677" i="9" a="1"/>
  <c r="AP677" i="9" s="1"/>
  <c r="AP660" i="9" a="1"/>
  <c r="AP660" i="9" s="1"/>
  <c r="AP262" i="9" a="1"/>
  <c r="AP262" i="9" s="1"/>
  <c r="AP334" i="9" a="1"/>
  <c r="AP334" i="9" s="1"/>
  <c r="AP217" i="9" a="1"/>
  <c r="AP217" i="9" s="1"/>
  <c r="AP768" i="9" a="1"/>
  <c r="AP768" i="9" s="1"/>
  <c r="AP824" i="9" a="1"/>
  <c r="AP824" i="9" s="1"/>
  <c r="AP408" i="9" a="1"/>
  <c r="AP408" i="9" s="1"/>
  <c r="AP433" i="9" a="1"/>
  <c r="AP433" i="9" s="1"/>
  <c r="AP426" i="9" a="1"/>
  <c r="AP426" i="9" s="1"/>
  <c r="AP385" i="9" a="1"/>
  <c r="AP385" i="9" s="1"/>
  <c r="AP112" i="9" a="1"/>
  <c r="AP112" i="9" s="1"/>
  <c r="AP343" i="9" a="1"/>
  <c r="AP343" i="9" s="1"/>
  <c r="AP481" i="9" a="1"/>
  <c r="AP481" i="9" s="1"/>
  <c r="AP836" i="9" a="1"/>
  <c r="AP836" i="9" s="1"/>
  <c r="AP451" i="9" a="1"/>
  <c r="AP451" i="9" s="1"/>
  <c r="AP827" i="9" a="1"/>
  <c r="AP827" i="9" s="1"/>
  <c r="AP439" i="9" a="1"/>
  <c r="AP439" i="9" s="1"/>
  <c r="AP852" i="9" a="1"/>
  <c r="AP852" i="9" s="1"/>
  <c r="AP418" i="9" a="1"/>
  <c r="AP418" i="9" s="1"/>
  <c r="AP491" i="9" a="1"/>
  <c r="AP491" i="9" s="1"/>
  <c r="AP733" i="9" a="1"/>
  <c r="AP733" i="9" s="1"/>
  <c r="AP473" i="9" a="1"/>
  <c r="AP473" i="9" s="1"/>
  <c r="AP751" i="9" a="1"/>
  <c r="AP751" i="9" s="1"/>
  <c r="AP494" i="9" a="1"/>
  <c r="AP494" i="9" s="1"/>
  <c r="AP772" i="9" a="1"/>
  <c r="AP772" i="9" s="1"/>
  <c r="AP782" i="9" a="1"/>
  <c r="AP782" i="9" s="1"/>
  <c r="AP102" i="9" a="1"/>
  <c r="AP102" i="9" s="1"/>
  <c r="AP416" i="9" a="1"/>
  <c r="AP416" i="9" s="1"/>
  <c r="AP419" i="9" a="1"/>
  <c r="AP419" i="9" s="1"/>
  <c r="AU11" i="9"/>
  <c r="AP101" i="9" s="1" a="1"/>
  <c r="AP101" i="9" s="1"/>
  <c r="AP185" i="9" a="1"/>
  <c r="AP185" i="9" s="1"/>
  <c r="AP389" i="9" a="1"/>
  <c r="AP389" i="9" s="1"/>
  <c r="AP934" i="9" a="1"/>
  <c r="AP934" i="9" s="1"/>
  <c r="AP64" i="9" a="1"/>
  <c r="AP64" i="9" s="1"/>
  <c r="AP922" i="9" a="1"/>
  <c r="AP922" i="9" s="1"/>
  <c r="AP55" i="9" a="1"/>
  <c r="AP55" i="9" s="1"/>
  <c r="AP52" i="9" a="1"/>
  <c r="AP52" i="9" s="1"/>
  <c r="AP750" i="9" a="1"/>
  <c r="AP750" i="9" s="1"/>
  <c r="AP640" i="9" a="1"/>
  <c r="AP640" i="9" s="1"/>
  <c r="AP17" i="9" a="1"/>
  <c r="AP17" i="9" s="1"/>
  <c r="AP771" i="9" a="1"/>
  <c r="AP771" i="9" s="1"/>
  <c r="AP777" i="9" a="1"/>
  <c r="AP777" i="9" s="1"/>
  <c r="AP92" i="9" a="1"/>
  <c r="AP92" i="9" s="1"/>
  <c r="AP753" i="9" a="1"/>
  <c r="AP753" i="9" s="1"/>
  <c r="AP421" i="9" a="1"/>
  <c r="AP421" i="9" s="1"/>
  <c r="AP29" i="9" a="1"/>
  <c r="AP29" i="9" s="1"/>
  <c r="AP1008" i="9" a="1"/>
  <c r="AP1008" i="9" s="1"/>
  <c r="AP357" i="9" a="1"/>
  <c r="AP357" i="9" s="1"/>
  <c r="AP967" i="9" a="1"/>
  <c r="AP967" i="9" s="1"/>
  <c r="AP328" i="9" a="1"/>
  <c r="AP328" i="9" s="1"/>
  <c r="AP990" i="9" a="1"/>
  <c r="AP990" i="9" s="1"/>
  <c r="AP1029" i="9" a="1"/>
  <c r="AP1029" i="9" s="1"/>
  <c r="AP379" i="9" a="1"/>
  <c r="AP379" i="9" s="1"/>
  <c r="AP958" i="9" a="1"/>
  <c r="AP958" i="9" s="1"/>
  <c r="AP1035" i="9" a="1"/>
  <c r="AP1035" i="9" s="1"/>
  <c r="AP949" i="9" a="1"/>
  <c r="AP949" i="9" s="1"/>
  <c r="AP128" i="13" l="1" a="1"/>
  <c r="AP128" i="13" s="1"/>
  <c r="AP110" i="13" a="1"/>
  <c r="AP110" i="13" s="1"/>
  <c r="AP113" i="13" a="1"/>
  <c r="AP113" i="13" s="1"/>
  <c r="AP101" i="13" a="1"/>
  <c r="AP101" i="13" s="1"/>
  <c r="AP35" i="13" a="1"/>
  <c r="AP35" i="13" s="1"/>
  <c r="AP8" i="13" a="1"/>
  <c r="AP8" i="13" s="1"/>
  <c r="AP89" i="13" a="1"/>
  <c r="AP89" i="13" s="1"/>
  <c r="AP26" i="13" a="1"/>
  <c r="AP26" i="13" s="1"/>
  <c r="AP23" i="13" a="1"/>
  <c r="AP23" i="13" s="1"/>
  <c r="AP3" i="13"/>
  <c r="B4" i="13" s="1"/>
  <c r="AP167" i="9" a="1"/>
  <c r="AP167" i="9" s="1"/>
  <c r="AP45" i="9" a="1"/>
  <c r="AP45" i="9" s="1"/>
  <c r="AP315" i="9" a="1"/>
  <c r="AP315" i="9" s="1"/>
  <c r="AP161" i="9" a="1"/>
  <c r="AP161" i="9" s="1"/>
  <c r="AP1034" i="9" a="1"/>
  <c r="AP1034" i="9" s="1"/>
  <c r="AP572" i="9" a="1"/>
  <c r="AP572" i="9" s="1"/>
  <c r="AP926" i="9" a="1"/>
  <c r="AP926" i="9" s="1"/>
  <c r="AP391" i="9" a="1"/>
  <c r="AP391" i="9" s="1"/>
  <c r="AP364" i="9" a="1"/>
  <c r="AP364" i="9" s="1"/>
  <c r="AP346" i="9" a="1"/>
  <c r="AP346" i="9" s="1"/>
  <c r="AP313" i="9" a="1"/>
  <c r="AP313" i="9" s="1"/>
  <c r="AP566" i="9" a="1"/>
  <c r="AP566" i="9" s="1"/>
  <c r="AP842" i="9" a="1"/>
  <c r="AP842" i="9" s="1"/>
  <c r="AP234" i="9" a="1"/>
  <c r="AP234" i="9" s="1"/>
  <c r="AP312" i="9" a="1"/>
  <c r="AP312" i="9" s="1"/>
  <c r="AP519" i="9" a="1"/>
  <c r="AP519" i="9" s="1"/>
  <c r="AP459" i="9" a="1"/>
  <c r="AP459" i="9" s="1"/>
  <c r="AP570" i="9" a="1"/>
  <c r="AP570" i="9" s="1"/>
  <c r="AP579" i="9" a="1"/>
  <c r="AP579" i="9" s="1"/>
  <c r="AP567" i="9" a="1"/>
  <c r="AP567" i="9" s="1"/>
  <c r="AP549" i="9" a="1"/>
  <c r="AP549" i="9" s="1"/>
  <c r="AP675" i="9" a="1"/>
  <c r="AP675" i="9" s="1"/>
  <c r="AP792" i="9" a="1"/>
  <c r="AP792" i="9" s="1"/>
  <c r="AP162" i="9" a="1"/>
  <c r="AP162" i="9" s="1"/>
  <c r="AP159" i="9" a="1"/>
  <c r="AP159" i="9" s="1"/>
  <c r="AP866" i="9" a="1"/>
  <c r="AP866" i="9" s="1"/>
  <c r="AP757" i="9" a="1"/>
  <c r="AP757" i="9" s="1"/>
  <c r="AP546" i="9" a="1"/>
  <c r="AP546" i="9" s="1"/>
  <c r="AP569" i="9" a="1"/>
  <c r="AP569" i="9" s="1"/>
  <c r="AP610" i="9" a="1"/>
  <c r="AP610" i="9" s="1"/>
  <c r="AP560" i="9" a="1"/>
  <c r="AP560" i="9" s="1"/>
  <c r="AP163" i="9" a="1"/>
  <c r="AP163" i="9" s="1"/>
  <c r="AP325" i="9" a="1"/>
  <c r="AP325" i="9" s="1"/>
  <c r="AP797" i="9" a="1"/>
  <c r="AP797" i="9" s="1"/>
  <c r="AP86" i="9" a="1"/>
  <c r="AP86" i="9" s="1"/>
  <c r="AP307" i="9" a="1"/>
  <c r="AP307" i="9" s="1"/>
  <c r="AP800" i="9" a="1"/>
  <c r="AP800" i="9" s="1"/>
  <c r="AP597" i="9" a="1"/>
  <c r="AP597" i="9" s="1"/>
  <c r="AP271" i="9" a="1"/>
  <c r="AP271" i="9" s="1"/>
  <c r="AP340" i="9" a="1"/>
  <c r="AP340" i="9" s="1"/>
  <c r="AP337" i="9" a="1"/>
  <c r="AP337" i="9" s="1"/>
  <c r="AP372" i="9" a="1"/>
  <c r="AP372" i="9" s="1"/>
  <c r="AP636" i="9" a="1"/>
  <c r="AP636" i="9" s="1"/>
  <c r="AP87" i="9" a="1"/>
  <c r="AP87" i="9" s="1"/>
  <c r="AP316" i="9" a="1"/>
  <c r="AP316" i="9" s="1"/>
  <c r="AP280" i="9" a="1"/>
  <c r="AP280" i="9" s="1"/>
  <c r="AP216" i="9" a="1"/>
  <c r="AP216" i="9" s="1"/>
  <c r="AP679" i="9" a="1"/>
  <c r="AP679" i="9" s="1"/>
  <c r="AP352" i="9" a="1"/>
  <c r="AP352" i="9" s="1"/>
  <c r="AP107" i="9" a="1"/>
  <c r="AP107" i="9" s="1"/>
  <c r="AP257" i="9" a="1"/>
  <c r="AP257" i="9" s="1"/>
  <c r="AP663" i="9" a="1"/>
  <c r="AP663" i="9" s="1"/>
  <c r="AP410" i="9" a="1"/>
  <c r="AP410" i="9" s="1"/>
  <c r="AP809" i="9" a="1"/>
  <c r="AP809" i="9" s="1"/>
  <c r="AP25" i="9" a="1"/>
  <c r="AP25" i="9" s="1"/>
  <c r="AP394" i="9" a="1"/>
  <c r="AP394" i="9" s="1"/>
  <c r="AP274" i="9" a="1"/>
  <c r="AP274" i="9" s="1"/>
  <c r="AP230" i="9" a="1"/>
  <c r="AP230" i="9" s="1"/>
  <c r="AP131" i="9" a="1"/>
  <c r="AP131" i="9" s="1"/>
  <c r="AP564" i="9" a="1"/>
  <c r="AP564" i="9" s="1"/>
  <c r="AP355" i="9" a="1"/>
  <c r="AP355" i="9" s="1"/>
  <c r="AP413" i="9" a="1"/>
  <c r="AP413" i="9" s="1"/>
  <c r="AP676" i="9" a="1"/>
  <c r="AP676" i="9" s="1"/>
  <c r="AP582" i="9" a="1"/>
  <c r="AP582" i="9" s="1"/>
  <c r="AP319" i="9" a="1"/>
  <c r="AP319" i="9" s="1"/>
  <c r="AP237" i="9" a="1"/>
  <c r="AP237" i="9" s="1"/>
  <c r="AP155" i="9" a="1"/>
  <c r="AP155" i="9" s="1"/>
  <c r="AP104" i="9" a="1"/>
  <c r="AP104" i="9" s="1"/>
  <c r="AP382" i="9" a="1"/>
  <c r="AP382" i="9" s="1"/>
  <c r="AP331" i="9" a="1"/>
  <c r="AP331" i="9" s="1"/>
  <c r="AP301" i="9" a="1"/>
  <c r="AP301" i="9" s="1"/>
  <c r="AP261" i="9" a="1"/>
  <c r="AP261" i="9" s="1"/>
  <c r="AP899" i="9" a="1"/>
  <c r="AP899" i="9" s="1"/>
  <c r="AP641" i="9" a="1"/>
  <c r="AP641" i="9" s="1"/>
  <c r="AP729" i="9" a="1"/>
  <c r="AP729" i="9" s="1"/>
  <c r="AP76" i="9" a="1"/>
  <c r="AP76" i="9" s="1"/>
  <c r="AP276" i="9" a="1"/>
  <c r="AP276" i="9" s="1"/>
  <c r="AP136" i="9" a="1"/>
  <c r="AP136" i="9" s="1"/>
  <c r="AP308" i="9" a="1"/>
  <c r="AP308" i="9" s="1"/>
  <c r="AP202" i="9" a="1"/>
  <c r="AP202" i="9" s="1"/>
  <c r="AP351" i="9" a="1"/>
  <c r="AP351" i="9" s="1"/>
  <c r="AP695" i="9" a="1"/>
  <c r="AP695" i="9" s="1"/>
  <c r="AP616" i="9" a="1"/>
  <c r="AP616" i="9" s="1"/>
  <c r="AP71" i="9" a="1"/>
  <c r="AP71" i="9" s="1"/>
  <c r="AP671" i="9" a="1"/>
  <c r="AP671" i="9" s="1"/>
  <c r="AP99" i="9" a="1"/>
  <c r="AP99" i="9" s="1"/>
  <c r="AP12" i="9" a="1"/>
  <c r="AP12" i="9" s="1"/>
  <c r="AP755" i="9" a="1"/>
  <c r="AP755" i="9" s="1"/>
  <c r="AP793" i="9" a="1"/>
  <c r="AP793" i="9" s="1"/>
  <c r="AP734" i="9" a="1"/>
  <c r="AP734" i="9" s="1"/>
  <c r="AP303" i="9" a="1"/>
  <c r="AP303" i="9" s="1"/>
  <c r="AP75" i="9" a="1"/>
  <c r="AP75" i="9" s="1"/>
  <c r="AP689" i="9" a="1"/>
  <c r="AP689" i="9" s="1"/>
  <c r="AP268" i="9" a="1"/>
  <c r="AP268" i="9" s="1"/>
  <c r="AP83" i="9" a="1"/>
  <c r="AP83" i="9" s="1"/>
  <c r="AP321" i="9" a="1"/>
  <c r="AP321" i="9" s="1"/>
  <c r="AP867" i="9" a="1"/>
  <c r="AP867" i="9" s="1"/>
  <c r="AP151" i="9" a="1"/>
  <c r="AP151" i="9" s="1"/>
  <c r="AP559" i="9" a="1"/>
  <c r="AP559" i="9" s="1"/>
  <c r="AP183" i="9" a="1"/>
  <c r="AP183" i="9" s="1"/>
  <c r="AP286" i="9" a="1"/>
  <c r="AP286" i="9" s="1"/>
  <c r="AP254" i="9" a="1"/>
  <c r="AP254" i="9" s="1"/>
  <c r="AP236" i="9" a="1"/>
  <c r="AP236" i="9" s="1"/>
  <c r="AP870" i="9" a="1"/>
  <c r="AP870" i="9" s="1"/>
  <c r="AP361" i="9" a="1"/>
  <c r="AP361" i="9" s="1"/>
  <c r="AP260" i="9" a="1"/>
  <c r="AP260" i="9" s="1"/>
  <c r="AP805" i="9" a="1"/>
  <c r="AP805" i="9" s="1"/>
  <c r="AP215" i="9" a="1"/>
  <c r="AP215" i="9" s="1"/>
  <c r="AP707" i="9" a="1"/>
  <c r="AP707" i="9" s="1"/>
  <c r="AP192" i="9" a="1"/>
  <c r="AP192" i="9" s="1"/>
  <c r="AP283" i="9" a="1"/>
  <c r="AP283" i="9" s="1"/>
  <c r="AP838" i="9" a="1"/>
  <c r="AP838" i="9" s="1"/>
  <c r="AP199" i="9" a="1"/>
  <c r="AP199" i="9" s="1"/>
  <c r="AP620" i="9" a="1"/>
  <c r="AP620" i="9" s="1"/>
  <c r="AP776" i="9" a="1"/>
  <c r="AP776" i="9" s="1"/>
  <c r="AP18" i="9" a="1"/>
  <c r="AP18" i="9" s="1"/>
  <c r="AP302" i="9" a="1"/>
  <c r="AP302" i="9" s="1"/>
  <c r="AP780" i="9" a="1"/>
  <c r="AP780" i="9" s="1"/>
  <c r="AP384" i="9" a="1"/>
  <c r="AP384" i="9" s="1"/>
  <c r="AP390" i="9" a="1"/>
  <c r="AP390" i="9" s="1"/>
  <c r="AP214" i="9" a="1"/>
  <c r="AP214" i="9" s="1"/>
  <c r="AP717" i="9" a="1"/>
  <c r="AP717" i="9" s="1"/>
  <c r="AP211" i="9" a="1"/>
  <c r="AP211" i="9" s="1"/>
  <c r="AP741" i="9" a="1"/>
  <c r="AP741" i="9" s="1"/>
  <c r="AP320" i="9" a="1"/>
  <c r="AP320" i="9" s="1"/>
  <c r="AP647" i="9" a="1"/>
  <c r="AP647" i="9" s="1"/>
  <c r="AP860" i="9" a="1"/>
  <c r="AP860" i="9" s="1"/>
  <c r="AP705" i="9" a="1"/>
  <c r="AP705" i="9" s="1"/>
  <c r="AP16" i="9" a="1"/>
  <c r="AP16" i="9" s="1"/>
  <c r="AP747" i="9" a="1"/>
  <c r="AP747" i="9" s="1"/>
  <c r="AP40" i="9" a="1"/>
  <c r="AP40" i="9" s="1"/>
  <c r="AP666" i="9" a="1"/>
  <c r="AP666" i="9" s="1"/>
  <c r="AP723" i="9" a="1"/>
  <c r="AP723" i="9" s="1"/>
  <c r="AP465" i="9" a="1"/>
  <c r="AP465" i="9" s="1"/>
  <c r="AP507" i="9" a="1"/>
  <c r="AP507" i="9" s="1"/>
  <c r="AP744" i="9" a="1"/>
  <c r="AP744" i="9" s="1"/>
  <c r="AP820" i="9" a="1"/>
  <c r="AP820" i="9" s="1"/>
  <c r="AP770" i="9" a="1"/>
  <c r="AP770" i="9" s="1"/>
  <c r="AP878" i="9" a="1"/>
  <c r="AP878" i="9" s="1"/>
  <c r="AP483" i="9" a="1"/>
  <c r="AP483" i="9" s="1"/>
  <c r="AP882" i="9" a="1"/>
  <c r="AP882" i="9" s="1"/>
  <c r="AP812" i="9" a="1"/>
  <c r="AP812" i="9" s="1"/>
  <c r="AP480" i="9" a="1"/>
  <c r="AP480" i="9" s="1"/>
  <c r="AP105" i="9" a="1"/>
  <c r="AP105" i="9" s="1"/>
  <c r="AP687" i="9" a="1"/>
  <c r="AP687" i="9" s="1"/>
  <c r="AP13" i="9" a="1"/>
  <c r="AP13" i="9" s="1"/>
  <c r="AP468" i="9" a="1"/>
  <c r="AP468" i="9" s="1"/>
  <c r="AP456" i="9" a="1"/>
  <c r="AP456" i="9" s="1"/>
  <c r="AP33" i="9" a="1"/>
  <c r="AP33" i="9" s="1"/>
  <c r="AP752" i="9" a="1"/>
  <c r="AP752" i="9" s="1"/>
  <c r="AP178" i="9" a="1"/>
  <c r="AP178" i="9" s="1"/>
  <c r="AP291" i="9" a="1"/>
  <c r="AP291" i="9" s="1"/>
  <c r="AP471" i="9" a="1"/>
  <c r="AP471" i="9" s="1"/>
  <c r="AP720" i="9" a="1"/>
  <c r="AP720" i="9" s="1"/>
  <c r="AP48" i="9" a="1"/>
  <c r="AP48" i="9" s="1"/>
  <c r="AP749" i="9" a="1"/>
  <c r="AP749" i="9" s="1"/>
  <c r="AP366" i="9" a="1"/>
  <c r="AP366" i="9" s="1"/>
  <c r="AP363" i="9" a="1"/>
  <c r="AP363" i="9" s="1"/>
  <c r="AP435" i="9" a="1"/>
  <c r="AP435" i="9" s="1"/>
  <c r="AP504" i="9" a="1"/>
  <c r="AP504" i="9" s="1"/>
  <c r="AP804" i="9" a="1"/>
  <c r="AP804" i="9" s="1"/>
  <c r="AP711" i="9" a="1"/>
  <c r="AP711" i="9" s="1"/>
  <c r="AP693" i="9" a="1"/>
  <c r="AP693" i="9" s="1"/>
  <c r="AP623" i="9" a="1"/>
  <c r="AP623" i="9" s="1"/>
  <c r="AP684" i="9" a="1"/>
  <c r="AP684" i="9" s="1"/>
  <c r="AP672" i="9" a="1"/>
  <c r="AP672" i="9" s="1"/>
  <c r="AP49" i="9" a="1"/>
  <c r="AP49" i="9" s="1"/>
  <c r="AP273" i="9" a="1"/>
  <c r="AP273" i="9" s="1"/>
  <c r="AP789" i="9" a="1"/>
  <c r="AP789" i="9" s="1"/>
  <c r="AP263" i="9" a="1"/>
  <c r="AP263" i="9" s="1"/>
  <c r="AP251" i="9" a="1"/>
  <c r="AP251" i="9" s="1"/>
  <c r="AP170" i="9" a="1"/>
  <c r="AP170" i="9" s="1"/>
  <c r="AP253" i="9" a="1"/>
  <c r="AP253" i="9" s="1"/>
  <c r="AP314" i="9" a="1"/>
  <c r="AP314" i="9" s="1"/>
  <c r="AP221" i="9" a="1"/>
  <c r="AP221" i="9" s="1"/>
  <c r="AP333" i="9" a="1"/>
  <c r="AP333" i="9" s="1"/>
  <c r="AP393" i="9" a="1"/>
  <c r="AP393" i="9" s="1"/>
  <c r="AP915" i="9" a="1"/>
  <c r="AP915" i="9" s="1"/>
  <c r="AP188" i="9" a="1"/>
  <c r="AP188" i="9" s="1"/>
  <c r="AP203" i="9" a="1"/>
  <c r="AP203" i="9" s="1"/>
  <c r="AP270" i="9" a="1"/>
  <c r="AP270" i="9" s="1"/>
  <c r="AP292" i="9" a="1"/>
  <c r="AP292" i="9" s="1"/>
  <c r="AP539" i="9" a="1"/>
  <c r="AP539" i="9" s="1"/>
  <c r="AP356" i="9" a="1"/>
  <c r="AP356" i="9" s="1"/>
  <c r="AP317" i="9" a="1"/>
  <c r="AP317" i="9" s="1"/>
  <c r="AP179" i="9" a="1"/>
  <c r="AP179" i="9" s="1"/>
  <c r="AP272" i="9" a="1"/>
  <c r="AP272" i="9" s="1"/>
  <c r="AP279" i="9" a="1"/>
  <c r="AP279" i="9" s="1"/>
  <c r="AP1038" i="9" a="1"/>
  <c r="AP1038" i="9" s="1"/>
  <c r="AP380" i="9" a="1"/>
  <c r="AP380" i="9" s="1"/>
  <c r="AP299" i="9" a="1"/>
  <c r="AP299" i="9" s="1"/>
  <c r="AP1013" i="9" a="1"/>
  <c r="AP1013" i="9" s="1"/>
  <c r="AP278" i="9" a="1"/>
  <c r="AP278" i="9" s="1"/>
  <c r="AP173" i="9" a="1"/>
  <c r="AP173" i="9" s="1"/>
  <c r="AP381" i="9" a="1"/>
  <c r="AP381" i="9" s="1"/>
  <c r="AP992" i="9" a="1"/>
  <c r="AP992" i="9" s="1"/>
  <c r="AP143" i="9" a="1"/>
  <c r="AP143" i="9" s="1"/>
  <c r="AP938" i="9" a="1"/>
  <c r="AP938" i="9" s="1"/>
  <c r="AP297" i="9" a="1"/>
  <c r="AP297" i="9" s="1"/>
  <c r="AP495" i="9" a="1"/>
  <c r="AP495" i="9" s="1"/>
  <c r="AP513" i="9" a="1"/>
  <c r="AP513" i="9" s="1"/>
  <c r="AP1031" i="9" a="1"/>
  <c r="AP1031" i="9" s="1"/>
  <c r="AP392" i="9" a="1"/>
  <c r="AP392" i="9" s="1"/>
  <c r="AP332" i="9" a="1"/>
  <c r="AP332" i="9" s="1"/>
  <c r="AP176" i="9" a="1"/>
  <c r="AP176" i="9" s="1"/>
  <c r="AP626" i="9" a="1"/>
  <c r="AP626" i="9" s="1"/>
  <c r="AP1004" i="9" a="1"/>
  <c r="AP1004" i="9" s="1"/>
  <c r="AP929" i="9" a="1"/>
  <c r="AP929" i="9" s="1"/>
  <c r="AP318" i="9" a="1"/>
  <c r="AP318" i="9" s="1"/>
  <c r="AP911" i="9" a="1"/>
  <c r="AP911" i="9" s="1"/>
  <c r="AP474" i="9" a="1"/>
  <c r="AP474" i="9" s="1"/>
  <c r="AP140" i="9" a="1"/>
  <c r="AP140" i="9" s="1"/>
  <c r="AP149" i="9" a="1"/>
  <c r="AP149" i="9" s="1"/>
  <c r="AP289" i="9" a="1"/>
  <c r="AP289" i="9" s="1"/>
  <c r="AP542" i="9" a="1"/>
  <c r="AP542" i="9" s="1"/>
  <c r="AP269" i="9" a="1"/>
  <c r="AP269" i="9" s="1"/>
  <c r="AP323" i="9" a="1"/>
  <c r="AP323" i="9" s="1"/>
  <c r="AP244" i="9" a="1"/>
  <c r="AP244" i="9" s="1"/>
  <c r="AP329" i="9" a="1"/>
  <c r="AP329" i="9" s="1"/>
  <c r="AP993" i="9" a="1"/>
  <c r="AP993" i="9" s="1"/>
  <c r="AP697" i="9" a="1"/>
  <c r="AP697" i="9" s="1"/>
  <c r="AP709" i="9" a="1"/>
  <c r="AP709" i="9" s="1"/>
  <c r="AP9" i="9" a="1"/>
  <c r="AP9" i="9" s="1"/>
  <c r="AP460" i="9" a="1"/>
  <c r="AP460" i="9" s="1"/>
  <c r="AP436" i="9" a="1"/>
  <c r="AP436" i="9" s="1"/>
  <c r="AP1007" i="9" a="1"/>
  <c r="AP1007" i="9" s="1"/>
  <c r="AP1028" i="9" a="1"/>
  <c r="AP1028" i="9" s="1"/>
  <c r="AP51" i="9" a="1"/>
  <c r="AP51" i="9" s="1"/>
  <c r="AP691" i="9" a="1"/>
  <c r="AP691" i="9" s="1"/>
  <c r="AP429" i="9" a="1"/>
  <c r="AP429" i="9" s="1"/>
  <c r="AP469" i="9" a="1"/>
  <c r="AP469" i="9" s="1"/>
  <c r="AP554" i="9" a="1"/>
  <c r="AP554" i="9" s="1"/>
  <c r="AP921" i="9" a="1"/>
  <c r="AP921" i="9" s="1"/>
  <c r="AP806" i="9" a="1"/>
  <c r="AP806" i="9" s="1"/>
  <c r="AP305" i="9" a="1"/>
  <c r="AP305" i="9" s="1"/>
  <c r="AP62" i="9" a="1"/>
  <c r="AP62" i="9" s="1"/>
  <c r="AP522" i="9" a="1"/>
  <c r="AP522" i="9" s="1"/>
  <c r="AP447" i="9" a="1"/>
  <c r="AP447" i="9" s="1"/>
  <c r="AP350" i="9" a="1"/>
  <c r="AP350" i="9" s="1"/>
  <c r="AP997" i="9" a="1"/>
  <c r="AP997" i="9" s="1"/>
  <c r="AP466" i="9" a="1"/>
  <c r="AP466" i="9" s="1"/>
  <c r="AP462" i="9" a="1"/>
  <c r="AP462" i="9" s="1"/>
  <c r="AP841" i="9" a="1"/>
  <c r="AP841" i="9" s="1"/>
  <c r="AP362" i="9" a="1"/>
  <c r="AP362" i="9" s="1"/>
  <c r="AP365" i="9" a="1"/>
  <c r="AP365" i="9" s="1"/>
  <c r="AP158" i="9" a="1"/>
  <c r="AP158" i="9" s="1"/>
  <c r="AP510" i="9" a="1"/>
  <c r="AP510" i="9" s="1"/>
  <c r="AP36" i="9" a="1"/>
  <c r="AP36" i="9" s="1"/>
  <c r="AP444" i="9" a="1"/>
  <c r="AP444" i="9" s="1"/>
  <c r="AP957" i="9" a="1"/>
  <c r="AP957" i="9" s="1"/>
  <c r="AP575" i="9" a="1"/>
  <c r="AP575" i="9" s="1"/>
  <c r="AP670" i="9" a="1"/>
  <c r="AP670" i="9" s="1"/>
  <c r="AP1010" i="9" a="1"/>
  <c r="AP1010" i="9" s="1"/>
  <c r="AP160" i="9" a="1"/>
  <c r="AP160" i="9" s="1"/>
  <c r="AP344" i="9" a="1"/>
  <c r="AP344" i="9" s="1"/>
  <c r="AP505" i="9" a="1"/>
  <c r="AP505" i="9" s="1"/>
  <c r="AP335" i="9" a="1"/>
  <c r="AP335" i="9" s="1"/>
  <c r="AP377" i="9" a="1"/>
  <c r="AP377" i="9" s="1"/>
  <c r="AP111" i="9" a="1"/>
  <c r="AP111" i="9" s="1"/>
  <c r="AP508" i="9" a="1"/>
  <c r="AP508" i="9" s="1"/>
  <c r="AP966" i="9" a="1"/>
  <c r="AP966" i="9" s="1"/>
  <c r="AP638" i="9" a="1"/>
  <c r="AP638" i="9" s="1"/>
  <c r="AP791" i="9" a="1"/>
  <c r="AP791" i="9" s="1"/>
  <c r="AP341" i="9" a="1"/>
  <c r="AP341" i="9" s="1"/>
  <c r="AP241" i="9" a="1"/>
  <c r="AP241" i="9" s="1"/>
  <c r="AP114" i="9" a="1"/>
  <c r="AP114" i="9" s="1"/>
  <c r="AP129" i="9" a="1"/>
  <c r="AP129" i="9" s="1"/>
  <c r="AP970" i="9" a="1"/>
  <c r="AP970" i="9" s="1"/>
  <c r="AP24" i="9" a="1"/>
  <c r="AP24" i="9" s="1"/>
  <c r="AP53" i="9" a="1"/>
  <c r="AP53" i="9" s="1"/>
  <c r="AP27" i="9" a="1"/>
  <c r="AP27" i="9" s="1"/>
  <c r="AP472" i="9" a="1"/>
  <c r="AP472" i="9" s="1"/>
  <c r="AP527" i="9" a="1"/>
  <c r="AP527" i="9" s="1"/>
  <c r="AP536" i="9" a="1"/>
  <c r="AP536" i="9" s="1"/>
  <c r="AP557" i="9" a="1"/>
  <c r="AP557" i="9" s="1"/>
  <c r="AP802" i="9" a="1"/>
  <c r="AP802" i="9" s="1"/>
  <c r="AP399" i="9" a="1"/>
  <c r="AP399" i="9" s="1"/>
  <c r="AP402" i="9" a="1"/>
  <c r="AP402" i="9" s="1"/>
  <c r="AP353" i="9" a="1"/>
  <c r="AP353" i="9" s="1"/>
  <c r="AP484" i="9" a="1"/>
  <c r="AP484" i="9" s="1"/>
  <c r="AP457" i="9" a="1"/>
  <c r="AP457" i="9" s="1"/>
  <c r="AP590" i="9" a="1"/>
  <c r="AP590" i="9" s="1"/>
  <c r="AP63" i="9" a="1"/>
  <c r="AP63" i="9" s="1"/>
  <c r="AP650" i="9" a="1"/>
  <c r="AP650" i="9" s="1"/>
  <c r="AP614" i="9" a="1"/>
  <c r="AP614" i="9" s="1"/>
  <c r="AP936" i="9" a="1"/>
  <c r="AP936" i="9" s="1"/>
  <c r="AP44" i="9" a="1"/>
  <c r="AP44" i="9" s="1"/>
  <c r="AP201" i="9" a="1"/>
  <c r="AP201" i="9" s="1"/>
  <c r="AP249" i="9" a="1"/>
  <c r="AP249" i="9" s="1"/>
  <c r="AP632" i="9" a="1"/>
  <c r="AP632" i="9" s="1"/>
  <c r="AP892" i="9" a="1"/>
  <c r="AP892" i="9" s="1"/>
  <c r="AP856" i="9" a="1"/>
  <c r="AP856" i="9" s="1"/>
  <c r="AP556" i="9" a="1"/>
  <c r="AP556" i="9" s="1"/>
  <c r="AP686" i="9" a="1"/>
  <c r="AP686" i="9" s="1"/>
  <c r="AP765" i="9" a="1"/>
  <c r="AP765" i="9" s="1"/>
  <c r="AP607" i="9" a="1"/>
  <c r="AP607" i="9" s="1"/>
  <c r="AP854" i="9" a="1"/>
  <c r="AP854" i="9" s="1"/>
  <c r="AP773" i="9" a="1"/>
  <c r="AP773" i="9" s="1"/>
  <c r="AP553" i="9" a="1"/>
  <c r="AP553" i="9" s="1"/>
  <c r="AP855" i="9" a="1"/>
  <c r="AP855" i="9" s="1"/>
  <c r="AP437" i="9" a="1"/>
  <c r="AP437" i="9" s="1"/>
  <c r="AP525" i="9" a="1"/>
  <c r="AP525" i="9" s="1"/>
  <c r="AP123" i="9" a="1"/>
  <c r="AP123" i="9" s="1"/>
  <c r="AP655" i="9" a="1"/>
  <c r="AP655" i="9" s="1"/>
  <c r="AP613" i="9" a="1"/>
  <c r="AP613" i="9" s="1"/>
  <c r="AP61" i="9" a="1"/>
  <c r="AP61" i="9" s="1"/>
  <c r="AP762" i="9" a="1"/>
  <c r="AP762" i="9" s="1"/>
  <c r="AP799" i="9" a="1"/>
  <c r="AP799" i="9" s="1"/>
  <c r="AP775" i="9" a="1"/>
  <c r="AP775" i="9" s="1"/>
  <c r="AP552" i="9" a="1"/>
  <c r="AP552" i="9" s="1"/>
  <c r="AP682" i="9" a="1"/>
  <c r="AP682" i="9" s="1"/>
  <c r="AP322" i="9" a="1"/>
  <c r="AP322" i="9" s="1"/>
  <c r="AP853" i="9" a="1"/>
  <c r="AP853" i="9" s="1"/>
  <c r="AP68" i="9" a="1"/>
  <c r="AP68" i="9" s="1"/>
  <c r="AP680" i="9" a="1"/>
  <c r="AP680" i="9" s="1"/>
  <c r="AP327" i="9" a="1"/>
  <c r="AP327" i="9" s="1"/>
  <c r="AP142" i="9" a="1"/>
  <c r="AP142" i="9" s="1"/>
  <c r="AP601" i="9" a="1"/>
  <c r="AP601" i="9" s="1"/>
  <c r="AP886" i="9" a="1"/>
  <c r="AP886" i="9" s="1"/>
  <c r="AP828" i="9" a="1"/>
  <c r="AP828" i="9" s="1"/>
  <c r="AP844" i="9" a="1"/>
  <c r="AP844" i="9" s="1"/>
  <c r="AP80" i="9" a="1"/>
  <c r="AP80" i="9" s="1"/>
  <c r="AP116" i="9" a="1"/>
  <c r="AP116" i="9" s="1"/>
  <c r="AP47" i="9" a="1"/>
  <c r="AP47" i="9" s="1"/>
  <c r="AP223" i="9" a="1"/>
  <c r="AP223" i="9" s="1"/>
  <c r="AP869" i="9" a="1"/>
  <c r="AP869" i="9" s="1"/>
  <c r="AP890" i="9" a="1"/>
  <c r="AP890" i="9" s="1"/>
  <c r="AP541" i="9" a="1"/>
  <c r="AP541" i="9" s="1"/>
  <c r="AP905" i="9" a="1"/>
  <c r="AP905" i="9" s="1"/>
  <c r="AP145" i="9" a="1"/>
  <c r="AP145" i="9" s="1"/>
  <c r="AP169" i="9" a="1"/>
  <c r="AP169" i="9" s="1"/>
  <c r="AP758" i="9" a="1"/>
  <c r="AP758" i="9" s="1"/>
  <c r="AP330" i="9" a="1"/>
  <c r="AP330" i="9" s="1"/>
  <c r="AP354" i="9" a="1"/>
  <c r="AP354" i="9" s="1"/>
  <c r="AP342" i="9" a="1"/>
  <c r="AP342" i="9" s="1"/>
  <c r="AP378" i="9" a="1"/>
  <c r="AP378" i="9" s="1"/>
  <c r="AP840" i="9" a="1"/>
  <c r="AP840" i="9" s="1"/>
  <c r="AP135" i="9" a="1"/>
  <c r="AP135" i="9" s="1"/>
  <c r="AP540" i="9" a="1"/>
  <c r="AP540" i="9" s="1"/>
  <c r="AP21" i="9" a="1"/>
  <c r="AP21" i="9" s="1"/>
  <c r="AP449" i="9" a="1"/>
  <c r="AP449" i="9" s="1"/>
  <c r="AP627" i="9" a="1"/>
  <c r="AP627" i="9" s="1"/>
  <c r="AP39" i="9" a="1"/>
  <c r="AP39" i="9" s="1"/>
  <c r="AP900" i="9" a="1"/>
  <c r="AP900" i="9" s="1"/>
  <c r="AP22" i="9" a="1"/>
  <c r="AP22" i="9" s="1"/>
  <c r="AP349" i="9" a="1"/>
  <c r="AP349" i="9" s="1"/>
  <c r="AP714" i="9" a="1"/>
  <c r="AP714" i="9" s="1"/>
  <c r="AP533" i="9" a="1"/>
  <c r="AP533" i="9" s="1"/>
  <c r="AP108" i="9" a="1"/>
  <c r="AP108" i="9" s="1"/>
  <c r="AP784" i="9" a="1"/>
  <c r="AP784" i="9" s="1"/>
  <c r="AP370" i="9" a="1"/>
  <c r="AP370" i="9" s="1"/>
  <c r="AP611" i="9" a="1"/>
  <c r="AP611" i="9" s="1"/>
  <c r="AP847" i="9" a="1"/>
  <c r="AP847" i="9" s="1"/>
  <c r="AP857" i="9" a="1"/>
  <c r="AP857" i="9" s="1"/>
  <c r="AP673" i="9" a="1"/>
  <c r="AP673" i="9" s="1"/>
  <c r="AP811" i="9" a="1"/>
  <c r="AP811" i="9" s="1"/>
  <c r="AP895" i="9" a="1"/>
  <c r="AP895" i="9" s="1"/>
  <c r="AP543" i="9" a="1"/>
  <c r="AP543" i="9" s="1"/>
  <c r="AP829" i="9" a="1"/>
  <c r="AP829" i="9" s="1"/>
  <c r="AP19" i="9" a="1"/>
  <c r="AP19" i="9" s="1"/>
  <c r="AP631" i="9" a="1"/>
  <c r="AP631" i="9" s="1"/>
  <c r="AP187" i="9" a="1"/>
  <c r="AP187" i="9" s="1"/>
  <c r="AP265" i="9" a="1"/>
  <c r="AP265" i="9" s="1"/>
  <c r="AP589" i="9" a="1"/>
  <c r="AP589" i="9" s="1"/>
  <c r="AP42" i="9" a="1"/>
  <c r="AP42" i="9" s="1"/>
  <c r="AP668" i="9" a="1"/>
  <c r="AP668" i="9" s="1"/>
  <c r="AP904" i="9" a="1"/>
  <c r="AP904" i="9" s="1"/>
  <c r="AP634" i="9" a="1"/>
  <c r="AP634" i="9" s="1"/>
  <c r="AP871" i="9" a="1"/>
  <c r="AP871" i="9" s="1"/>
  <c r="AP77" i="9" a="1"/>
  <c r="AP77" i="9" s="1"/>
  <c r="AP839" i="9" a="1"/>
  <c r="AP839" i="9" s="1"/>
  <c r="AP336" i="9" a="1"/>
  <c r="AP336" i="9" s="1"/>
  <c r="AP172" i="9" a="1"/>
  <c r="AP172" i="9" s="1"/>
  <c r="AP618" i="9" a="1"/>
  <c r="AP618" i="9" s="1"/>
  <c r="AP823" i="9" a="1"/>
  <c r="AP823" i="9" s="1"/>
  <c r="AP574" i="9" a="1"/>
  <c r="AP574" i="9" s="1"/>
  <c r="AP34" i="9" a="1"/>
  <c r="AP34" i="9" s="1"/>
  <c r="AP250" i="9" a="1"/>
  <c r="AP250" i="9" s="1"/>
  <c r="AP652" i="9" a="1"/>
  <c r="AP652" i="9" s="1"/>
  <c r="AP196" i="9" a="1"/>
  <c r="AP196" i="9" s="1"/>
  <c r="AP726" i="9" a="1"/>
  <c r="AP726" i="9" s="1"/>
  <c r="AP859" i="9" a="1"/>
  <c r="AP859" i="9" s="1"/>
  <c r="AP126" i="9" a="1"/>
  <c r="AP126" i="9" s="1"/>
  <c r="AP858" i="9" a="1"/>
  <c r="AP858" i="9" s="1"/>
  <c r="AP339" i="9" a="1"/>
  <c r="AP339" i="9" s="1"/>
  <c r="AP15" i="9" a="1"/>
  <c r="AP15" i="9" s="1"/>
  <c r="AP861" i="9" a="1"/>
  <c r="AP861" i="9" s="1"/>
  <c r="AP440" i="9" a="1"/>
  <c r="AP440" i="9" s="1"/>
  <c r="AP825" i="9" a="1"/>
  <c r="AP825" i="9" s="1"/>
  <c r="AP656" i="9" a="1"/>
  <c r="AP656" i="9" s="1"/>
  <c r="AP653" i="9" a="1"/>
  <c r="AP653" i="9" s="1"/>
  <c r="AP229" i="9" a="1"/>
  <c r="AP229" i="9" s="1"/>
  <c r="AP893" i="9" a="1"/>
  <c r="AP893" i="9" s="1"/>
  <c r="AP190" i="9" a="1"/>
  <c r="AP190" i="9" s="1"/>
  <c r="AP306" i="9" a="1"/>
  <c r="AP306" i="9" s="1"/>
  <c r="AP846" i="9" a="1"/>
  <c r="AP846" i="9" s="1"/>
  <c r="AP822" i="9" a="1"/>
  <c r="AP822" i="9" s="1"/>
  <c r="AP843" i="9" a="1"/>
  <c r="AP843" i="9" s="1"/>
  <c r="AP324" i="9" a="1"/>
  <c r="AP324" i="9" s="1"/>
  <c r="AP174" i="9" a="1"/>
  <c r="AP174" i="9" s="1"/>
  <c r="AP736" i="9" a="1"/>
  <c r="AP736" i="9" s="1"/>
  <c r="AP586" i="9" a="1"/>
  <c r="AP586" i="9" s="1"/>
  <c r="AP645" i="9" a="1"/>
  <c r="AP645" i="9" s="1"/>
  <c r="AP637" i="9" a="1"/>
  <c r="AP637" i="9" s="1"/>
  <c r="AP606" i="9" a="1"/>
  <c r="AP606" i="9" s="1"/>
  <c r="AP595" i="9" a="1"/>
  <c r="AP595" i="9" s="1"/>
  <c r="AP583" i="9" a="1"/>
  <c r="AP583" i="9" s="1"/>
  <c r="AP295" i="9" a="1"/>
  <c r="AP295" i="9" s="1"/>
  <c r="AP865" i="9" a="1"/>
  <c r="AP865" i="9" s="1"/>
  <c r="AP837" i="9" a="1"/>
  <c r="AP837" i="9" s="1"/>
  <c r="AP95" i="9" a="1"/>
  <c r="AP95" i="9" s="1"/>
  <c r="AP851" i="9" a="1"/>
  <c r="AP851" i="9" s="1"/>
  <c r="AP388" i="9" a="1"/>
  <c r="AP388" i="9" s="1"/>
  <c r="AP529" i="9" a="1"/>
  <c r="AP529" i="9" s="1"/>
  <c r="AP538" i="9" a="1"/>
  <c r="AP538" i="9" s="1"/>
  <c r="AP65" i="9" a="1"/>
  <c r="AP65" i="9" s="1"/>
  <c r="AP577" i="9" a="1"/>
  <c r="AP577" i="9" s="1"/>
  <c r="AP208" i="9" a="1"/>
  <c r="AP208" i="9" s="1"/>
  <c r="AP532" i="9" a="1"/>
  <c r="AP532" i="9" s="1"/>
  <c r="AP247" i="9" a="1"/>
  <c r="AP247" i="9" s="1"/>
  <c r="AP821" i="9" a="1"/>
  <c r="AP821" i="9" s="1"/>
  <c r="AP544" i="9" a="1"/>
  <c r="AP544" i="9" s="1"/>
  <c r="AP894" i="9" a="1"/>
  <c r="AP894" i="9" s="1"/>
  <c r="AP124" i="9" a="1"/>
  <c r="AP124" i="9" s="1"/>
  <c r="AP43" i="9" a="1"/>
  <c r="AP43" i="9" s="1"/>
  <c r="AP60" i="9" a="1"/>
  <c r="AP60" i="9" s="1"/>
  <c r="AP565" i="9" a="1"/>
  <c r="AP565" i="9" s="1"/>
  <c r="AP906" i="9" a="1"/>
  <c r="AP906" i="9" s="1"/>
  <c r="AP760" i="9" a="1"/>
  <c r="AP760" i="9" s="1"/>
  <c r="AP100" i="9" a="1"/>
  <c r="AP100" i="9" s="1"/>
  <c r="AP545" i="9" a="1"/>
  <c r="AP545" i="9" s="1"/>
  <c r="AP304" i="9" a="1"/>
  <c r="AP304" i="9" s="1"/>
  <c r="AP889" i="9" a="1"/>
  <c r="AP889" i="9" s="1"/>
  <c r="AP285" i="9" a="1"/>
  <c r="AP285" i="9" s="1"/>
  <c r="AP588" i="9" a="1"/>
  <c r="AP588" i="9" s="1"/>
  <c r="AP98" i="9" a="1"/>
  <c r="AP98" i="9" s="1"/>
  <c r="AP745" i="9" a="1"/>
  <c r="AP745" i="9" s="1"/>
  <c r="AP85" i="9" a="1"/>
  <c r="AP85" i="9" s="1"/>
  <c r="AP624" i="9" a="1"/>
  <c r="AP624" i="9" s="1"/>
  <c r="AP964" i="9" a="1"/>
  <c r="AP964" i="9" s="1"/>
  <c r="AP759" i="9" a="1"/>
  <c r="AP759" i="9" s="1"/>
  <c r="AP497" i="9" a="1"/>
  <c r="AP497" i="9" s="1"/>
  <c r="AP395" i="9" a="1"/>
  <c r="AP395" i="9" s="1"/>
  <c r="AP1005" i="9" a="1"/>
  <c r="AP1005" i="9" s="1"/>
  <c r="AP360" i="9" a="1"/>
  <c r="AP360" i="9" s="1"/>
  <c r="AP810" i="9" a="1"/>
  <c r="AP810" i="9" s="1"/>
  <c r="AP885" i="9" a="1"/>
  <c r="AP885" i="9" s="1"/>
  <c r="AP783" i="9" a="1"/>
  <c r="AP783" i="9" s="1"/>
  <c r="AP520" i="9" a="1"/>
  <c r="AP520" i="9" s="1"/>
  <c r="AP1037" i="9" a="1"/>
  <c r="AP1037" i="9" s="1"/>
  <c r="AP914" i="9" a="1"/>
  <c r="AP914" i="9" s="1"/>
  <c r="AP14" i="9" a="1"/>
  <c r="AP14" i="9" s="1"/>
  <c r="AP103" i="9" a="1"/>
  <c r="AP103" i="9" s="1"/>
  <c r="AP600" i="9" a="1"/>
  <c r="AP600" i="9" s="1"/>
  <c r="AP476" i="9" a="1"/>
  <c r="AP476" i="9" s="1"/>
  <c r="AP830" i="9" a="1"/>
  <c r="AP830" i="9" s="1"/>
  <c r="AP293" i="9" a="1"/>
  <c r="AP293" i="9" s="1"/>
  <c r="AP735" i="9" a="1"/>
  <c r="AP735" i="9" s="1"/>
  <c r="AP774" i="9" a="1"/>
  <c r="AP774" i="9" s="1"/>
  <c r="AP137" i="9" a="1"/>
  <c r="AP137" i="9" s="1"/>
  <c r="AP658" i="9" a="1"/>
  <c r="AP658" i="9" s="1"/>
  <c r="AP902" i="9" a="1"/>
  <c r="AP902" i="9" s="1"/>
  <c r="AP82" i="9" a="1"/>
  <c r="AP82" i="9" s="1"/>
  <c r="AP621" i="9" a="1"/>
  <c r="AP621" i="9" s="1"/>
  <c r="AP1001" i="9" a="1"/>
  <c r="AP1001" i="9" s="1"/>
  <c r="AP281" i="9" a="1"/>
  <c r="AP281" i="9" s="1"/>
  <c r="AP109" i="9" a="1"/>
  <c r="AP109" i="9" s="1"/>
  <c r="AP706" i="9" a="1"/>
  <c r="AP706" i="9" s="1"/>
  <c r="AP688" i="9" a="1"/>
  <c r="AP688" i="9" s="1"/>
  <c r="AP70" i="9" a="1"/>
  <c r="AP70" i="9" s="1"/>
  <c r="AP94" i="9" a="1"/>
  <c r="AP94" i="9" s="1"/>
  <c r="AP979" i="9" a="1"/>
  <c r="AP979" i="9" s="1"/>
  <c r="AP500" i="9" a="1"/>
  <c r="AP500" i="9" s="1"/>
  <c r="AP369" i="9" a="1"/>
  <c r="AP369" i="9" s="1"/>
  <c r="AP876" i="9" a="1"/>
  <c r="AP876" i="9" s="1"/>
  <c r="AP887" i="9" a="1"/>
  <c r="AP887" i="9" s="1"/>
  <c r="AP38" i="9" a="1"/>
  <c r="AP38" i="9" s="1"/>
  <c r="AP585" i="9" a="1"/>
  <c r="AP585" i="9" s="1"/>
  <c r="AP872" i="9" a="1"/>
  <c r="AP872" i="9" s="1"/>
  <c r="AP667" i="9" a="1"/>
  <c r="AP667" i="9" s="1"/>
  <c r="AP1003" i="9" a="1"/>
  <c r="AP1003" i="9" s="1"/>
  <c r="AP267" i="9" a="1"/>
  <c r="AP267" i="9" s="1"/>
  <c r="AP939" i="9" a="1"/>
  <c r="AP939" i="9" s="1"/>
  <c r="AP294" i="9" a="1"/>
  <c r="AP294" i="9" s="1"/>
  <c r="AP348" i="9" a="1"/>
  <c r="AP348" i="9" s="1"/>
  <c r="AP496" i="9" a="1"/>
  <c r="AP496" i="9" s="1"/>
  <c r="AP912" i="9" a="1"/>
  <c r="AP912" i="9" s="1"/>
  <c r="AP11" i="9" a="1"/>
  <c r="AP11" i="9" s="1"/>
  <c r="AP20" i="9" a="1"/>
  <c r="AP20" i="9" s="1"/>
  <c r="AP59" i="9" a="1"/>
  <c r="AP59" i="9" s="1"/>
  <c r="AP609" i="9" a="1"/>
  <c r="AP609" i="9" s="1"/>
  <c r="AP347" i="9" a="1"/>
  <c r="AP347" i="9" s="1"/>
  <c r="AP875" i="9" a="1"/>
  <c r="AP875" i="9" s="1"/>
  <c r="AP785" i="9" a="1"/>
  <c r="AP785" i="9" s="1"/>
  <c r="AP833" i="9" a="1"/>
  <c r="AP833" i="9" s="1"/>
  <c r="AP756" i="9" a="1"/>
  <c r="AP756" i="9" s="1"/>
  <c r="AP661" i="9" a="1"/>
  <c r="AP661" i="9" s="1"/>
  <c r="AP815" i="9" a="1"/>
  <c r="AP815" i="9" s="1"/>
  <c r="AP91" i="9" a="1"/>
  <c r="AP91" i="9" s="1"/>
  <c r="AP79" i="9" a="1"/>
  <c r="AP79" i="9" s="1"/>
  <c r="AP642" i="9" a="1"/>
  <c r="AP642" i="9" s="1"/>
  <c r="AP106" i="9" a="1"/>
  <c r="AP106" i="9" s="1"/>
  <c r="AP919" i="9" a="1"/>
  <c r="AP919" i="9" s="1"/>
  <c r="AP10" i="9" a="1"/>
  <c r="AP10" i="9" s="1"/>
  <c r="AP218" i="9" a="1"/>
  <c r="AP218" i="9" s="1"/>
  <c r="AP669" i="9" a="1"/>
  <c r="AP669" i="9" s="1"/>
  <c r="AP961" i="9" a="1"/>
  <c r="AP961" i="9" s="1"/>
  <c r="AP1027" i="9" a="1"/>
  <c r="AP1027" i="9" s="1"/>
  <c r="AP930" i="9" a="1"/>
  <c r="AP930" i="9" s="1"/>
  <c r="AP282" i="9" a="1"/>
  <c r="AP282" i="9" s="1"/>
  <c r="AP1014" i="9" a="1"/>
  <c r="AP1014" i="9" s="1"/>
  <c r="AP927" i="9" a="1"/>
  <c r="AP927" i="9" s="1"/>
  <c r="AP1017" i="9" a="1"/>
  <c r="AP1017" i="9" s="1"/>
  <c r="AP903" i="9" a="1"/>
  <c r="AP903" i="9" s="1"/>
  <c r="AP493" i="9" a="1"/>
  <c r="AP493" i="9" s="1"/>
  <c r="AP941" i="9" a="1"/>
  <c r="AP941" i="9" s="1"/>
  <c r="AP41" i="9" a="1"/>
  <c r="AP41" i="9" s="1"/>
  <c r="AP884" i="9" a="1"/>
  <c r="AP884" i="9" s="1"/>
  <c r="AP37" i="9" a="1"/>
  <c r="AP37" i="9" s="1"/>
  <c r="AP908" i="9" a="1"/>
  <c r="AP908" i="9" s="1"/>
  <c r="AP386" i="9" a="1"/>
  <c r="AP386" i="9" s="1"/>
  <c r="AP266" i="9" a="1"/>
  <c r="AP266" i="9" s="1"/>
  <c r="AP242" i="9" a="1"/>
  <c r="AP242" i="9" s="1"/>
  <c r="AP721" i="9" a="1"/>
  <c r="AP721" i="9" s="1"/>
  <c r="AP97" i="9" a="1"/>
  <c r="AP97" i="9" s="1"/>
  <c r="AP648" i="9" a="1"/>
  <c r="AP648" i="9" s="1"/>
  <c r="AP925" i="9" a="1"/>
  <c r="AP925" i="9" s="1"/>
  <c r="AP515" i="9" a="1"/>
  <c r="AP515" i="9" s="1"/>
  <c r="AP475" i="9" a="1"/>
  <c r="AP475" i="9" s="1"/>
  <c r="AP864" i="9" a="1"/>
  <c r="AP864" i="9" s="1"/>
  <c r="AP134" i="9" a="1"/>
  <c r="AP134" i="9" s="1"/>
  <c r="AP115" i="9" a="1"/>
  <c r="AP115" i="9" s="1"/>
  <c r="AP28" i="9" a="1"/>
  <c r="AP28" i="9" s="1"/>
  <c r="AP896" i="9" a="1"/>
  <c r="AP896" i="9" s="1"/>
  <c r="AP794" i="9" a="1"/>
  <c r="AP794" i="9" s="1"/>
  <c r="AP164" i="9" a="1"/>
  <c r="AP164" i="9" s="1"/>
  <c r="AP681" i="9" a="1"/>
  <c r="AP681" i="9" s="1"/>
  <c r="AP781" i="9" a="1"/>
  <c r="AP781" i="9" s="1"/>
  <c r="AP788" i="9" a="1"/>
  <c r="AP788" i="9" s="1"/>
  <c r="AP946" i="9" a="1"/>
  <c r="AP946" i="9" s="1"/>
  <c r="AP488" i="9" a="1"/>
  <c r="AP488" i="9" s="1"/>
  <c r="AP943" i="9" a="1"/>
  <c r="AP943" i="9" s="1"/>
  <c r="AP801" i="9" a="1"/>
  <c r="AP801" i="9" s="1"/>
  <c r="AP122" i="9" a="1"/>
  <c r="AP122" i="9" s="1"/>
  <c r="AP798" i="9" a="1"/>
  <c r="AP798" i="9" s="1"/>
  <c r="AP133" i="9" a="1"/>
  <c r="AP133" i="9" s="1"/>
  <c r="AP127" i="9" a="1"/>
  <c r="AP127" i="9" s="1"/>
  <c r="AP56" i="9" a="1"/>
  <c r="AP56" i="9" s="1"/>
  <c r="AP920" i="9" a="1"/>
  <c r="AP920" i="9" s="1"/>
  <c r="AP932" i="9" a="1"/>
  <c r="AP932" i="9" s="1"/>
  <c r="AP612" i="9" a="1"/>
  <c r="AP612" i="9" s="1"/>
  <c r="AP633" i="9" a="1"/>
  <c r="AP633" i="9" s="1"/>
  <c r="AP769" i="9" a="1"/>
  <c r="AP769" i="9" s="1"/>
  <c r="AP284" i="9" a="1"/>
  <c r="AP284" i="9" s="1"/>
  <c r="AP152" i="9" a="1"/>
  <c r="AP152" i="9" s="1"/>
  <c r="AP73" i="9" a="1"/>
  <c r="AP73" i="9" s="1"/>
  <c r="AP67" i="9" a="1"/>
  <c r="AP67" i="9" s="1"/>
  <c r="AP400" i="9" a="1"/>
  <c r="AP400" i="9" s="1"/>
  <c r="AP338" i="9" a="1"/>
  <c r="AP338" i="9" s="1"/>
  <c r="AP359" i="9" a="1"/>
  <c r="AP359" i="9" s="1"/>
  <c r="AP368" i="9" a="1"/>
  <c r="AP368" i="9" s="1"/>
  <c r="AP923" i="9" a="1"/>
  <c r="AP923" i="9" s="1"/>
  <c r="AP628" i="9" a="1"/>
  <c r="AP628" i="9" s="1"/>
  <c r="AP692" i="9" a="1"/>
  <c r="AP692" i="9" s="1"/>
  <c r="AP478" i="9" a="1"/>
  <c r="AP478" i="9" s="1"/>
  <c r="AP326" i="9" a="1"/>
  <c r="AP326" i="9" s="1"/>
  <c r="AP978" i="9" a="1"/>
  <c r="AP978" i="9" s="1"/>
  <c r="AP1002" i="9" a="1"/>
  <c r="AP1002" i="9" s="1"/>
  <c r="AP963" i="9" a="1"/>
  <c r="AP963" i="9" s="1"/>
  <c r="AP403" i="9" a="1"/>
  <c r="AP403" i="9" s="1"/>
  <c r="AP873" i="9" a="1"/>
  <c r="AP873" i="9" s="1"/>
  <c r="AP427" i="9" a="1"/>
  <c r="AP427" i="9" s="1"/>
  <c r="AP415" i="9" a="1"/>
  <c r="AP415" i="9" s="1"/>
  <c r="AP694" i="9" a="1"/>
  <c r="AP694" i="9" s="1"/>
  <c r="AP730" i="9" a="1"/>
  <c r="AP730" i="9" s="1"/>
  <c r="AP467" i="9" a="1"/>
  <c r="AP467" i="9" s="1"/>
  <c r="AP917" i="9" a="1"/>
  <c r="AP917" i="9" s="1"/>
  <c r="AP644" i="9" a="1"/>
  <c r="AP644" i="9" s="1"/>
  <c r="AP197" i="9" a="1"/>
  <c r="AP197" i="9" s="1"/>
  <c r="AP712" i="9" a="1"/>
  <c r="AP712" i="9" s="1"/>
  <c r="AP194" i="9" a="1"/>
  <c r="AP194" i="9" s="1"/>
  <c r="AP740" i="9" a="1"/>
  <c r="AP740" i="9" s="1"/>
  <c r="AP450" i="9" a="1"/>
  <c r="AP450" i="9" s="1"/>
  <c r="AP942" i="9" a="1"/>
  <c r="AP942" i="9" s="1"/>
  <c r="AP445" i="9" a="1"/>
  <c r="AP445" i="9" s="1"/>
  <c r="AP523" i="9" a="1"/>
  <c r="AP523" i="9" s="1"/>
  <c r="AP517" i="9" a="1"/>
  <c r="AP517" i="9" s="1"/>
  <c r="AP728" i="9" a="1"/>
  <c r="AP728" i="9" s="1"/>
  <c r="AP742" i="9" a="1"/>
  <c r="AP742" i="9" s="1"/>
  <c r="AP479" i="9" a="1"/>
  <c r="AP479" i="9" s="1"/>
  <c r="AP977" i="9" a="1"/>
  <c r="AP977" i="9" s="1"/>
  <c r="AP213" i="9" a="1"/>
  <c r="AP213" i="9" s="1"/>
  <c r="AP425" i="9" a="1"/>
  <c r="AP425" i="9" s="1"/>
  <c r="AP521" i="9" a="1"/>
  <c r="AP521" i="9" s="1"/>
  <c r="AP725" i="9" a="1"/>
  <c r="AP725" i="9" s="1"/>
  <c r="AP506" i="9" a="1"/>
  <c r="AP506" i="9" s="1"/>
  <c r="AP499" i="9" a="1"/>
  <c r="AP499" i="9" s="1"/>
  <c r="AP210" i="9" a="1"/>
  <c r="AP210" i="9" s="1"/>
  <c r="AP617" i="9" a="1"/>
  <c r="AP617" i="9" s="1"/>
  <c r="AP397" i="9" a="1"/>
  <c r="AP397" i="9" s="1"/>
  <c r="AP463" i="9" a="1"/>
  <c r="AP463" i="9" s="1"/>
  <c r="AP424" i="9" a="1"/>
  <c r="AP424" i="9" s="1"/>
  <c r="AP503" i="9" a="1"/>
  <c r="AP503" i="9" s="1"/>
  <c r="AP724" i="9" a="1"/>
  <c r="AP724" i="9" s="1"/>
  <c r="AP718" i="9" a="1"/>
  <c r="AP718" i="9" s="1"/>
  <c r="AP428" i="9" a="1"/>
  <c r="AP428" i="9" s="1"/>
  <c r="AP1026" i="9" a="1"/>
  <c r="AP1026" i="9" s="1"/>
  <c r="AP813" i="9" a="1"/>
  <c r="AP813" i="9" s="1"/>
  <c r="AP849" i="9" a="1"/>
  <c r="AP849" i="9" s="1"/>
  <c r="AP412" i="9" a="1"/>
  <c r="AP412" i="9" s="1"/>
  <c r="AP897" i="9" a="1"/>
  <c r="AP897" i="9" s="1"/>
  <c r="AP409" i="9" a="1"/>
  <c r="AP409" i="9" s="1"/>
  <c r="AP722" i="9" a="1"/>
  <c r="AP722" i="9" s="1"/>
  <c r="AP470" i="9" a="1"/>
  <c r="AP470" i="9" s="1"/>
  <c r="AP761" i="9" a="1"/>
  <c r="AP761" i="9" s="1"/>
  <c r="AP766" i="9" a="1"/>
  <c r="AP766" i="9" s="1"/>
  <c r="AP452" i="9" a="1"/>
  <c r="AP452" i="9" s="1"/>
  <c r="AP764" i="9" a="1"/>
  <c r="AP764" i="9" s="1"/>
  <c r="AP207" i="9" a="1"/>
  <c r="AP207" i="9" s="1"/>
  <c r="AP225" i="9" a="1"/>
  <c r="AP225" i="9" s="1"/>
  <c r="AP246" i="9" a="1"/>
  <c r="AP246" i="9" s="1"/>
  <c r="AP177" i="9" a="1"/>
  <c r="AP177" i="9" s="1"/>
  <c r="AP524" i="9" a="1"/>
  <c r="AP524" i="9" s="1"/>
  <c r="AP509" i="9" a="1"/>
  <c r="AP509" i="9" s="1"/>
  <c r="AP224" i="9" a="1"/>
  <c r="AP224" i="9" s="1"/>
  <c r="AP209" i="9" a="1"/>
  <c r="AP209" i="9" s="1"/>
  <c r="AP511" i="9" a="1"/>
  <c r="AP511" i="9" s="1"/>
  <c r="AP715" i="9" a="1"/>
  <c r="AP715" i="9" s="1"/>
  <c r="AP834" i="9" a="1"/>
  <c r="AP834" i="9" s="1"/>
  <c r="AP763" i="9" a="1"/>
  <c r="AP763" i="9" s="1"/>
  <c r="AP909" i="9" a="1"/>
  <c r="AP909" i="9" s="1"/>
  <c r="AP487" i="9" a="1"/>
  <c r="AP487" i="9" s="1"/>
  <c r="AP458" i="9" a="1"/>
  <c r="AP458" i="9" s="1"/>
  <c r="AP482" i="9" a="1"/>
  <c r="AP482" i="9" s="1"/>
  <c r="AP464" i="9" a="1"/>
  <c r="AP464" i="9" s="1"/>
  <c r="AP795" i="9" a="1"/>
  <c r="AP795" i="9" s="1"/>
  <c r="AP713" i="9" a="1"/>
  <c r="AP713" i="9" s="1"/>
  <c r="AP441" i="9" a="1"/>
  <c r="AP441" i="9" s="1"/>
  <c r="AP962" i="9" a="1"/>
  <c r="AP962" i="9" s="1"/>
  <c r="AP438" i="9" a="1"/>
  <c r="AP438" i="9" s="1"/>
  <c r="AP222" i="9" a="1"/>
  <c r="AP222" i="9" s="1"/>
  <c r="AP198" i="9" a="1"/>
  <c r="AP198" i="9" s="1"/>
  <c r="AP605" i="9" a="1"/>
  <c r="AP605" i="9" s="1"/>
  <c r="AP407" i="9" a="1"/>
  <c r="AP407" i="9" s="1"/>
  <c r="AP212" i="9" a="1"/>
  <c r="AP212" i="9" s="1"/>
  <c r="AP629" i="9" a="1"/>
  <c r="AP629" i="9" s="1"/>
  <c r="AP200" i="9" a="1"/>
  <c r="AP200" i="9" s="1"/>
  <c r="AP737" i="9" a="1"/>
  <c r="AP737" i="9" s="1"/>
  <c r="AP918" i="9" a="1"/>
  <c r="AP918" i="9" s="1"/>
  <c r="AP924" i="9" a="1"/>
  <c r="AP924" i="9" s="1"/>
  <c r="AP960" i="9" a="1"/>
  <c r="AP960" i="9" s="1"/>
  <c r="AP448" i="9" a="1"/>
  <c r="AP448" i="9" s="1"/>
  <c r="AP786" i="9" a="1"/>
  <c r="AP786" i="9" s="1"/>
  <c r="AP490" i="9" a="1"/>
  <c r="AP490" i="9" s="1"/>
  <c r="AP831" i="9" a="1"/>
  <c r="AP831" i="9" s="1"/>
  <c r="AP739" i="9" a="1"/>
  <c r="AP739" i="9" s="1"/>
  <c r="AP434" i="9" a="1"/>
  <c r="AP434" i="9" s="1"/>
  <c r="AP716" i="9" a="1"/>
  <c r="AP716" i="9" s="1"/>
  <c r="AP191" i="9" a="1"/>
  <c r="AP191" i="9" s="1"/>
  <c r="AP248" i="9" a="1"/>
  <c r="AP248" i="9" s="1"/>
  <c r="AP206" i="9" a="1"/>
  <c r="AP206" i="9" s="1"/>
  <c r="AP976" i="9" a="1"/>
  <c r="AP976" i="9" s="1"/>
  <c r="AP498" i="9" a="1"/>
  <c r="AP498" i="9" s="1"/>
  <c r="AP951" i="9" a="1"/>
  <c r="AP951" i="9" s="1"/>
  <c r="AP568" i="9" a="1"/>
  <c r="AP568" i="9" s="1"/>
  <c r="AP1030" i="9" a="1"/>
  <c r="AP1030" i="9" s="1"/>
  <c r="AP1009" i="9" a="1"/>
  <c r="AP1009" i="9" s="1"/>
  <c r="AP414" i="9" a="1"/>
  <c r="AP414" i="9" s="1"/>
  <c r="AP996" i="9" a="1"/>
  <c r="AP996" i="9" s="1"/>
  <c r="AP1021" i="9" a="1"/>
  <c r="AP1021" i="9" s="1"/>
  <c r="AP562" i="9" a="1"/>
  <c r="AP562" i="9" s="1"/>
  <c r="AP489" i="9" a="1"/>
  <c r="AP489" i="9" s="1"/>
  <c r="AP396" i="9" a="1"/>
  <c r="AP396" i="9" s="1"/>
  <c r="AP646" i="9" a="1"/>
  <c r="AP646" i="9" s="1"/>
  <c r="AP401" i="9" a="1"/>
  <c r="AP401" i="9" s="1"/>
  <c r="AP258" i="9" a="1"/>
  <c r="AP258" i="9" s="1"/>
  <c r="AP166" i="9" a="1"/>
  <c r="AP166" i="9" s="1"/>
  <c r="AP139" i="9" a="1"/>
  <c r="AP139" i="9" s="1"/>
  <c r="AP154" i="9" a="1"/>
  <c r="AP154" i="9" s="1"/>
  <c r="AP1023" i="9" a="1"/>
  <c r="AP1023" i="9" s="1"/>
  <c r="AP985" i="9" a="1"/>
  <c r="AP985" i="9" s="1"/>
  <c r="AP981" i="9" a="1"/>
  <c r="AP981" i="9" s="1"/>
  <c r="AP571" i="9" a="1"/>
  <c r="AP571" i="9" s="1"/>
  <c r="AP477" i="9" a="1"/>
  <c r="AP477" i="9" s="1"/>
  <c r="AP231" i="9" a="1"/>
  <c r="AP231" i="9" s="1"/>
  <c r="AP999" i="9" a="1"/>
  <c r="AP999" i="9" s="1"/>
  <c r="AP156" i="9" a="1"/>
  <c r="AP156" i="9" s="1"/>
  <c r="AP972" i="9" a="1"/>
  <c r="AP972" i="9" s="1"/>
  <c r="AP232" i="9" a="1"/>
  <c r="AP232" i="9" s="1"/>
  <c r="AP975" i="9" a="1"/>
  <c r="AP975" i="9" s="1"/>
  <c r="AP984" i="9" a="1"/>
  <c r="AP984" i="9" s="1"/>
  <c r="AP1000" i="9" a="1"/>
  <c r="AP1000" i="9" s="1"/>
  <c r="AP501" i="9" a="1"/>
  <c r="AP501" i="9" s="1"/>
  <c r="AP240" i="9" a="1"/>
  <c r="AP240" i="9" s="1"/>
  <c r="AP446" i="9" a="1"/>
  <c r="AP446" i="9" s="1"/>
  <c r="AP219" i="9" a="1"/>
  <c r="AP219" i="9" s="1"/>
  <c r="AP165" i="9" a="1"/>
  <c r="AP165" i="9" s="1"/>
  <c r="AP220" i="9" a="1"/>
  <c r="AP220" i="9" s="1"/>
  <c r="AP259" i="9" a="1"/>
  <c r="AP259" i="9" s="1"/>
  <c r="AP1020" i="9" a="1"/>
  <c r="AP1020" i="9" s="1"/>
  <c r="AP969" i="9" a="1"/>
  <c r="AP969" i="9" s="1"/>
  <c r="AP973" i="9" a="1"/>
  <c r="AP973" i="9" s="1"/>
  <c r="AP952" i="9" a="1"/>
  <c r="AP952" i="9" s="1"/>
  <c r="AP982" i="9" a="1"/>
  <c r="AP982" i="9" s="1"/>
  <c r="AP1024" i="9" a="1"/>
  <c r="AP1024" i="9" s="1"/>
  <c r="AP153" i="9" a="1"/>
  <c r="AP153" i="9" s="1"/>
  <c r="AP138" i="9" a="1"/>
  <c r="AP138" i="9" s="1"/>
  <c r="AP398" i="9" a="1"/>
  <c r="AP398" i="9" s="1"/>
  <c r="AP411" i="9" a="1"/>
  <c r="AP411" i="9" s="1"/>
  <c r="AP117" i="9" a="1"/>
  <c r="AP117" i="9" s="1"/>
  <c r="AP850" i="9" a="1"/>
  <c r="AP850" i="9" s="1"/>
  <c r="AP910" i="9" a="1"/>
  <c r="AP910" i="9" s="1"/>
  <c r="AP66" i="9" a="1"/>
  <c r="AP66" i="9" s="1"/>
  <c r="AP120" i="9" a="1"/>
  <c r="AP120" i="9" s="1"/>
  <c r="AP84" i="9" a="1"/>
  <c r="AP84" i="9" s="1"/>
  <c r="AP81" i="9" a="1"/>
  <c r="AP81" i="9" s="1"/>
  <c r="AP93" i="9" a="1"/>
  <c r="AP93" i="9" s="1"/>
  <c r="AP78" i="9" a="1"/>
  <c r="AP78" i="9" s="1"/>
  <c r="AP944" i="9" a="1"/>
  <c r="AP944" i="9" s="1"/>
  <c r="AP69" i="9" a="1"/>
  <c r="AP69" i="9" s="1"/>
  <c r="AP72" i="9" a="1"/>
  <c r="AP72" i="9" s="1"/>
  <c r="AP790" i="9" a="1"/>
  <c r="AP790" i="9" s="1"/>
  <c r="AP719" i="9" a="1"/>
  <c r="AP719" i="9" s="1"/>
  <c r="AP779" i="9" a="1"/>
  <c r="AP779" i="9" s="1"/>
  <c r="AP608" i="9" a="1"/>
  <c r="AP608" i="9" s="1"/>
  <c r="AP832" i="9" a="1"/>
  <c r="AP832" i="9" s="1"/>
  <c r="AP701" i="9" a="1"/>
  <c r="AP701" i="9" s="1"/>
  <c r="AP743" i="9" a="1"/>
  <c r="AP743" i="9" s="1"/>
  <c r="AP665" i="9" a="1"/>
  <c r="AP665" i="9" s="1"/>
  <c r="AP898" i="9" a="1"/>
  <c r="AP898" i="9" s="1"/>
  <c r="AP767" i="9" a="1"/>
  <c r="AP767" i="9" s="1"/>
  <c r="AP814" i="9" a="1"/>
  <c r="AP814" i="9" s="1"/>
  <c r="AP796" i="9" a="1"/>
  <c r="AP796" i="9" s="1"/>
  <c r="AP581" i="9" a="1"/>
  <c r="AP581" i="9" s="1"/>
  <c r="AP635" i="9" a="1"/>
  <c r="AP635" i="9" s="1"/>
  <c r="AP593" i="9" a="1"/>
  <c r="AP593" i="9" s="1"/>
  <c r="AP683" i="9" a="1"/>
  <c r="AP683" i="9" s="1"/>
  <c r="AP874" i="9" a="1"/>
  <c r="AP874" i="9" s="1"/>
  <c r="AP835" i="9" a="1"/>
  <c r="AP835" i="9" s="1"/>
  <c r="AP587" i="9" a="1"/>
  <c r="AP587" i="9" s="1"/>
  <c r="AP516" i="9" a="1"/>
  <c r="AP516" i="9" s="1"/>
  <c r="AP584" i="9" a="1"/>
  <c r="AP584" i="9" s="1"/>
  <c r="AP704" i="9" a="1"/>
  <c r="AP704" i="9" s="1"/>
  <c r="AP563" i="9" a="1"/>
  <c r="AP563" i="9" s="1"/>
  <c r="AP596" i="9" a="1"/>
  <c r="AP596" i="9" s="1"/>
  <c r="AP787" i="9" a="1"/>
  <c r="AP787" i="9" s="1"/>
  <c r="AP461" i="9" a="1"/>
  <c r="AP461" i="9" s="1"/>
  <c r="AP485" i="9" a="1"/>
  <c r="AP485" i="9" s="1"/>
  <c r="AP950" i="9" a="1"/>
  <c r="AP950" i="9" s="1"/>
  <c r="AP531" i="9" a="1"/>
  <c r="AP531" i="9" s="1"/>
  <c r="AP998" i="9" a="1"/>
  <c r="AP998" i="9" s="1"/>
  <c r="AP974" i="9" a="1"/>
  <c r="AP974" i="9" s="1"/>
  <c r="AP968" i="9" a="1"/>
  <c r="AP968" i="9" s="1"/>
  <c r="AP980" i="9" a="1"/>
  <c r="AP980" i="9" s="1"/>
  <c r="AP1022" i="9" a="1"/>
  <c r="AP1022" i="9" s="1"/>
  <c r="AP555" i="9" a="1"/>
  <c r="AP555" i="9" s="1"/>
  <c r="AP537" i="9" a="1"/>
  <c r="AP537" i="9" s="1"/>
  <c r="AP558" i="9" a="1"/>
  <c r="AP558" i="9" s="1"/>
  <c r="AP573" i="9" a="1"/>
  <c r="AP573" i="9" s="1"/>
  <c r="AP983" i="9" a="1"/>
  <c r="AP983" i="9" s="1"/>
  <c r="AP986" i="9" a="1"/>
  <c r="AP986" i="9" s="1"/>
  <c r="AP959" i="9" a="1"/>
  <c r="AP959" i="9" s="1"/>
  <c r="AP916" i="9" a="1"/>
  <c r="AP916" i="9" s="1"/>
  <c r="AP639" i="9" a="1"/>
  <c r="AP639" i="9" s="1"/>
  <c r="AP615" i="9" a="1"/>
  <c r="AP615" i="9" s="1"/>
  <c r="AP576" i="9" a="1"/>
  <c r="AP576" i="9" s="1"/>
  <c r="AP528" i="9" a="1"/>
  <c r="AP528" i="9" s="1"/>
  <c r="AP1019" i="9" a="1"/>
  <c r="AP1019" i="9" s="1"/>
  <c r="AP591" i="9" a="1"/>
  <c r="AP591" i="9" s="1"/>
  <c r="AP991" i="9" a="1"/>
  <c r="AP991" i="9" s="1"/>
  <c r="AP1036" i="9" a="1"/>
  <c r="AP1036" i="9" s="1"/>
  <c r="AP901" i="9" a="1"/>
  <c r="AP901" i="9" s="1"/>
  <c r="AP880" i="9" a="1"/>
  <c r="AP880" i="9" s="1"/>
  <c r="AP907" i="9" a="1"/>
  <c r="AP907" i="9" s="1"/>
  <c r="AP883" i="9" a="1"/>
  <c r="AP883" i="9" s="1"/>
  <c r="AP619" i="9" a="1"/>
  <c r="AP619" i="9" s="1"/>
  <c r="AP971" i="9" a="1"/>
  <c r="AP971" i="9" s="1"/>
  <c r="AP1033" i="9" a="1"/>
  <c r="AP1033" i="9" s="1"/>
  <c r="AP940" i="9" a="1"/>
  <c r="AP940" i="9" s="1"/>
  <c r="AP931" i="9" a="1"/>
  <c r="AP931" i="9" s="1"/>
  <c r="AP1015" i="9" a="1"/>
  <c r="AP1015" i="9" s="1"/>
  <c r="AP1006" i="9" a="1"/>
  <c r="AP1006" i="9" s="1"/>
  <c r="AP928" i="9" a="1"/>
  <c r="AP928" i="9" s="1"/>
  <c r="AP994" i="9" a="1"/>
  <c r="AP994" i="9" s="1"/>
  <c r="AP1018" i="9" a="1"/>
  <c r="AP1018" i="9" s="1"/>
  <c r="AP89" i="9" a="1"/>
  <c r="AP89" i="9" s="1"/>
  <c r="AP23" i="9" a="1"/>
  <c r="AP23" i="9" s="1"/>
  <c r="AP128" i="9" a="1"/>
  <c r="AP128" i="9" s="1"/>
  <c r="AP8" i="9" a="1"/>
  <c r="AP8" i="9" s="1"/>
  <c r="AP113" i="9" a="1"/>
  <c r="AP113" i="9" s="1"/>
  <c r="AP35" i="9" a="1"/>
  <c r="AP35" i="9" s="1"/>
  <c r="AP110" i="9" a="1"/>
  <c r="AP110" i="9" s="1"/>
  <c r="AP26" i="9" a="1"/>
  <c r="AP26" i="9" s="1"/>
  <c r="AP3" i="9"/>
  <c r="B4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<sst xmlns="http://schemas.openxmlformats.org/spreadsheetml/2006/main" count="7149" uniqueCount="183">
  <si>
    <t xml:space="preserve"> WS Name</t>
  </si>
  <si>
    <t>Fab 1 - WS Count</t>
  </si>
  <si>
    <t>Fab 2 - WS Count</t>
  </si>
  <si>
    <t>Fab 3 - WS Count</t>
  </si>
  <si>
    <t>Quarter</t>
  </si>
  <si>
    <t>Node</t>
  </si>
  <si>
    <t>Step</t>
  </si>
  <si>
    <t>Fab</t>
  </si>
  <si>
    <t>Loading</t>
  </si>
  <si>
    <t>WS Component for Q1’26</t>
  </si>
  <si>
    <t>A</t>
  </si>
  <si>
    <t>Q1’26</t>
  </si>
  <si>
    <t>B</t>
  </si>
  <si>
    <t>C</t>
  </si>
  <si>
    <t>D</t>
  </si>
  <si>
    <t>E</t>
  </si>
  <si>
    <t>F</t>
  </si>
  <si>
    <t>A+</t>
  </si>
  <si>
    <t>B+</t>
  </si>
  <si>
    <t>C+</t>
  </si>
  <si>
    <t>D+</t>
  </si>
  <si>
    <t>E+</t>
  </si>
  <si>
    <t>F+</t>
  </si>
  <si>
    <t>WS Component for Q2’26</t>
  </si>
  <si>
    <t>WS Component for Q3’26</t>
  </si>
  <si>
    <t>WS Component for Q4’26</t>
  </si>
  <si>
    <t>WS Component for Q1’27</t>
  </si>
  <si>
    <t>WS Component for Q2’27</t>
  </si>
  <si>
    <t>WS Component for Q3’27</t>
  </si>
  <si>
    <t>WS Component for Q4’27</t>
  </si>
  <si>
    <t>Q2’26</t>
  </si>
  <si>
    <t>Q3’26</t>
  </si>
  <si>
    <t>Q4’26</t>
  </si>
  <si>
    <t>Q1’27</t>
  </si>
  <si>
    <t>Q2’27</t>
  </si>
  <si>
    <t>Q3’27</t>
  </si>
  <si>
    <t>Q4’27</t>
  </si>
  <si>
    <t>Space data</t>
  </si>
  <si>
    <t xml:space="preserve">Quarter  </t>
  </si>
  <si>
    <t xml:space="preserve">Q1’26 </t>
  </si>
  <si>
    <t xml:space="preserve">Q2’26 </t>
  </si>
  <si>
    <t xml:space="preserve">Q3’26 </t>
  </si>
  <si>
    <t xml:space="preserve">Q4’26 </t>
  </si>
  <si>
    <t xml:space="preserve">Q1’27 </t>
  </si>
  <si>
    <t xml:space="preserve">Q2’27 </t>
  </si>
  <si>
    <t xml:space="preserve">Q3’27 </t>
  </si>
  <si>
    <t xml:space="preserve">Q4’27 </t>
  </si>
  <si>
    <t xml:space="preserve">Node 1 </t>
  </si>
  <si>
    <t xml:space="preserve">Node 2 </t>
  </si>
  <si>
    <t xml:space="preserve">Node 3 </t>
  </si>
  <si>
    <t>Steps</t>
  </si>
  <si>
    <t>Step Name</t>
  </si>
  <si>
    <t>WS</t>
  </si>
  <si>
    <t>RPT (min)</t>
  </si>
  <si>
    <t>WS(TOR)</t>
  </si>
  <si>
    <t xml:space="preserve">RPT(TOR) </t>
  </si>
  <si>
    <t>Ratio</t>
  </si>
  <si>
    <t>Node 2</t>
  </si>
  <si>
    <t>RPT(TOR)</t>
  </si>
  <si>
    <t>Node 3</t>
  </si>
  <si>
    <t xml:space="preserve">Workstation </t>
  </si>
  <si>
    <t>Total minload</t>
  </si>
  <si>
    <t xml:space="preserve">Step 1 </t>
  </si>
  <si>
    <t xml:space="preserve">Step 2 </t>
  </si>
  <si>
    <t xml:space="preserve">Step 3 </t>
  </si>
  <si>
    <t>Step 4</t>
  </si>
  <si>
    <t xml:space="preserve">Initial tool count for Q1’26 </t>
  </si>
  <si>
    <t>Step 5</t>
  </si>
  <si>
    <t>Utilization</t>
  </si>
  <si>
    <t xml:space="preserve">Step 6 </t>
  </si>
  <si>
    <t xml:space="preserve">CAPEX per tool  </t>
  </si>
  <si>
    <t xml:space="preserve">4.5M </t>
  </si>
  <si>
    <t xml:space="preserve">6.0M </t>
  </si>
  <si>
    <t xml:space="preserve">2.2M </t>
  </si>
  <si>
    <t xml:space="preserve">4.0M </t>
  </si>
  <si>
    <t xml:space="preserve">3.5M </t>
  </si>
  <si>
    <t>Step 7</t>
  </si>
  <si>
    <t>Space per tool (m²)</t>
  </si>
  <si>
    <t>Step 8</t>
  </si>
  <si>
    <t xml:space="preserve">Step 8 </t>
  </si>
  <si>
    <t>Step 9</t>
  </si>
  <si>
    <t xml:space="preserve">Step 9 </t>
  </si>
  <si>
    <t>Step 10</t>
  </si>
  <si>
    <t xml:space="preserve">Step 10 </t>
  </si>
  <si>
    <t>Step 11</t>
  </si>
  <si>
    <t>Step 12</t>
  </si>
  <si>
    <t>Step 13</t>
  </si>
  <si>
    <t>Step 14</t>
  </si>
  <si>
    <t>Step 15</t>
  </si>
  <si>
    <t xml:space="preserve">8.0M </t>
  </si>
  <si>
    <t xml:space="preserve">3.2M </t>
  </si>
  <si>
    <t xml:space="preserve">5.5M </t>
  </si>
  <si>
    <t xml:space="preserve">5.8M </t>
  </si>
  <si>
    <t>Step 16</t>
  </si>
  <si>
    <t>Step 17</t>
  </si>
  <si>
    <t xml:space="preserve">Fab </t>
  </si>
  <si>
    <t>Fab 1</t>
  </si>
  <si>
    <t>Fab 2 </t>
  </si>
  <si>
    <t>Fab 3 </t>
  </si>
  <si>
    <t>Fab Total Space for tools (m²)</t>
  </si>
  <si>
    <t>WS Component for Q1’26 </t>
  </si>
  <si>
    <t>A: 50</t>
  </si>
  <si>
    <t>A: 35</t>
  </si>
  <si>
    <t>A: 0</t>
  </si>
  <si>
    <t>B: 25</t>
  </si>
  <si>
    <t>B: 30</t>
  </si>
  <si>
    <t>B: 0</t>
  </si>
  <si>
    <t>C: 0</t>
  </si>
  <si>
    <t>C: 40</t>
  </si>
  <si>
    <t>D: 50</t>
  </si>
  <si>
    <t>D: 35</t>
  </si>
  <si>
    <t>E: 40</t>
  </si>
  <si>
    <t>E: 30</t>
  </si>
  <si>
    <t>E: 16</t>
  </si>
  <si>
    <t>F:  90</t>
  </si>
  <si>
    <t>F:  60</t>
  </si>
  <si>
    <t>F:  36</t>
  </si>
  <si>
    <t>Q1’26 </t>
  </si>
  <si>
    <r>
      <rPr>
        <sz val="11"/>
        <color rgb="FF000000"/>
        <rFont val="Calibri"/>
        <family val="2"/>
        <scheme val="minor"/>
      </rPr>
      <t>Q2’26</t>
    </r>
    <r>
      <rPr>
        <sz val="12"/>
        <color rgb="FF000000"/>
        <rFont val="Aptos"/>
        <family val="2"/>
      </rPr>
      <t> </t>
    </r>
  </si>
  <si>
    <r>
      <t>Q3’26</t>
    </r>
    <r>
      <rPr>
        <sz val="12"/>
        <color rgb="FF000000"/>
        <rFont val="Aptos"/>
        <family val="2"/>
        <charset val="1"/>
      </rPr>
      <t> </t>
    </r>
  </si>
  <si>
    <r>
      <t>Q4’26</t>
    </r>
    <r>
      <rPr>
        <sz val="12"/>
        <color rgb="FF000000"/>
        <rFont val="Aptos"/>
        <family val="2"/>
        <charset val="1"/>
      </rPr>
      <t> </t>
    </r>
  </si>
  <si>
    <r>
      <t>Q1’27</t>
    </r>
    <r>
      <rPr>
        <sz val="12"/>
        <color rgb="FF000000"/>
        <rFont val="Aptos"/>
        <family val="2"/>
        <charset val="1"/>
      </rPr>
      <t> </t>
    </r>
  </si>
  <si>
    <r>
      <t>Q2’27</t>
    </r>
    <r>
      <rPr>
        <sz val="12"/>
        <color rgb="FF000000"/>
        <rFont val="Aptos"/>
        <family val="2"/>
        <charset val="1"/>
      </rPr>
      <t> </t>
    </r>
  </si>
  <si>
    <r>
      <t>Q3’27</t>
    </r>
    <r>
      <rPr>
        <sz val="12"/>
        <color rgb="FF000000"/>
        <rFont val="Aptos"/>
        <family val="2"/>
        <charset val="1"/>
      </rPr>
      <t> </t>
    </r>
  </si>
  <si>
    <r>
      <t>Q4’27</t>
    </r>
    <r>
      <rPr>
        <sz val="12"/>
        <color rgb="FF000000"/>
        <rFont val="Aptos"/>
        <family val="2"/>
        <charset val="1"/>
      </rPr>
      <t> </t>
    </r>
  </si>
  <si>
    <r>
      <t>Scen 1</t>
    </r>
    <r>
      <rPr>
        <sz val="12"/>
        <color rgb="FF000000"/>
        <rFont val="Aptos"/>
        <family val="2"/>
        <charset val="1"/>
      </rPr>
      <t> </t>
    </r>
  </si>
  <si>
    <r>
      <t>Scen 2</t>
    </r>
    <r>
      <rPr>
        <sz val="12"/>
        <color rgb="FF000000"/>
        <rFont val="Aptos"/>
        <family val="2"/>
        <charset val="1"/>
      </rPr>
      <t> </t>
    </r>
  </si>
  <si>
    <r>
      <t>Scen 3</t>
    </r>
    <r>
      <rPr>
        <sz val="12"/>
        <color rgb="FF000000"/>
        <rFont val="Aptos"/>
        <family val="2"/>
        <charset val="1"/>
      </rPr>
      <t> </t>
    </r>
  </si>
  <si>
    <r>
      <t>Q1’26</t>
    </r>
    <r>
      <rPr>
        <sz val="12"/>
        <color rgb="FF000000"/>
        <rFont val="Aptos"/>
        <family val="2"/>
        <charset val="1"/>
      </rPr>
      <t> </t>
    </r>
  </si>
  <si>
    <r>
      <t>Q2’26</t>
    </r>
    <r>
      <rPr>
        <sz val="12"/>
        <color rgb="FF000000"/>
        <rFont val="Aptos"/>
        <family val="2"/>
        <charset val="1"/>
      </rPr>
      <t> </t>
    </r>
  </si>
  <si>
    <t>sqm</t>
  </si>
  <si>
    <t>Solution Validation</t>
  </si>
  <si>
    <t>Space available</t>
  </si>
  <si>
    <t>cost</t>
  </si>
  <si>
    <t>Fab 1 space</t>
  </si>
  <si>
    <t>Fab 2 space</t>
  </si>
  <si>
    <t>Fab 3 space</t>
  </si>
  <si>
    <t>New tool purchase cost</t>
  </si>
  <si>
    <t>Moveout cost</t>
  </si>
  <si>
    <t>Node Wafer Stepflow Distribution for each fab for each quarter</t>
  </si>
  <si>
    <t>Cross-fab transfer count</t>
  </si>
  <si>
    <t>Transfer costs</t>
  </si>
  <si>
    <t>Total transfer costs:</t>
  </si>
  <si>
    <t>Step Matrix</t>
  </si>
  <si>
    <t>Total costs over 8 quarters</t>
  </si>
  <si>
    <t>Tool requirement if running on mintech</t>
  </si>
  <si>
    <t>Tool requirement if running on TOR</t>
  </si>
  <si>
    <t>Util (mintech)</t>
  </si>
  <si>
    <t>Util (TOR)</t>
  </si>
  <si>
    <t>WS (mintech)</t>
  </si>
  <si>
    <t>WS (TOR)</t>
  </si>
  <si>
    <t>RPT (mintech)</t>
  </si>
  <si>
    <t>RPT (TOR)</t>
  </si>
  <si>
    <t>Mintech preference rank</t>
  </si>
  <si>
    <t>N-S</t>
  </si>
  <si>
    <t>minimize this -&gt;</t>
  </si>
  <si>
    <t>&lt;- make sure its green</t>
  </si>
  <si>
    <t>Loading fulfilled?</t>
  </si>
  <si>
    <t>All loading fulfilled?</t>
  </si>
  <si>
    <t>Cumulative mintech req</t>
  </si>
  <si>
    <t>Available mintech tools</t>
  </si>
  <si>
    <t>Available TOR tools</t>
  </si>
  <si>
    <t>Req on mintech</t>
  </si>
  <si>
    <t>Overflow cumreq</t>
  </si>
  <si>
    <t>Req on TOR</t>
  </si>
  <si>
    <t>Enough mintech + TOR tools to run the assigned loading?</t>
  </si>
  <si>
    <t>mintech</t>
  </si>
  <si>
    <t>TOR</t>
  </si>
  <si>
    <t>All capacity ok?</t>
  </si>
  <si>
    <t>All constraints fulfilled?</t>
  </si>
  <si>
    <t>All space within limit?</t>
  </si>
  <si>
    <r>
      <t xml:space="preserve">Loading </t>
    </r>
    <r>
      <rPr>
        <b/>
        <sz val="11"/>
        <color rgb="FFFF0000"/>
        <rFont val="Calibri"/>
        <family val="2"/>
      </rPr>
      <t>(to fill)</t>
    </r>
  </si>
  <si>
    <r>
      <t>Tooling plan</t>
    </r>
    <r>
      <rPr>
        <b/>
        <sz val="11"/>
        <color rgb="FFFF0000"/>
        <rFont val="Calibri"/>
        <family val="2"/>
        <scheme val="minor"/>
      </rPr>
      <t xml:space="preserve"> (to fill)</t>
    </r>
  </si>
  <si>
    <t>Do not modify anything in this sheet except for the answer area</t>
  </si>
  <si>
    <t>minload (sum of all RPT of steps running in a WS for a node)</t>
  </si>
  <si>
    <t>Question 1</t>
  </si>
  <si>
    <t>Question 2</t>
  </si>
  <si>
    <t>Node 1</t>
  </si>
  <si>
    <t>To Fill</t>
  </si>
  <si>
    <t>(iii) Probability</t>
  </si>
  <si>
    <t>(ii) Combined Variance</t>
  </si>
  <si>
    <t>(i) Expected loading</t>
  </si>
  <si>
    <t>Do not modify any of the input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</si>
</sst>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0.0,,&quot;M&quot;"/>
    <numFmt numFmtId="165" formatCode="&quot;$&quot;#,##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Aptos"/>
      <family val="2"/>
      <charset val="1"/>
    </font>
    <font>
      <sz val="12"/>
      <color rgb="FF000000"/>
      <name val="Aptos"/>
      <family val="2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3FEFF"/>
        <bgColor indexed="64"/>
      </patternFill>
    </fill>
    <fill>
      <patternFill patternType="solid">
        <fgColor rgb="FF99FF3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3" xfId="0" applyFont="1" applyBorder="1"/>
    <xf numFmtId="2" fontId="0" fillId="0" borderId="3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2" fontId="0" fillId="0" borderId="3" xfId="0" applyNumberFormat="1" applyBorder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9" fontId="0" fillId="0" borderId="1" xfId="0" applyNumberFormat="1" applyBorder="1" applyAlignment="1">
      <alignment horizontal="center"/>
    </xf>
    <xf numFmtId="0" fontId="7" fillId="2" borderId="12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11" xfId="0" applyFont="1" applyFill="1" applyBorder="1"/>
    <xf numFmtId="0" fontId="7" fillId="2" borderId="10" xfId="0" applyFont="1" applyFill="1" applyBorder="1" applyAlignment="1">
      <alignment horizontal="center" vertical="center"/>
    </xf>
    <xf numFmtId="0" fontId="5" fillId="0" borderId="3" xfId="0" applyFont="1" applyBorder="1"/>
    <xf numFmtId="0" fontId="0" fillId="0" borderId="3" xfId="0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7" fillId="6" borderId="0" xfId="0" applyFont="1" applyFill="1"/>
    <xf numFmtId="0" fontId="6" fillId="8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5" fontId="9" fillId="9" borderId="0" xfId="0" applyNumberFormat="1" applyFont="1" applyFill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right"/>
    </xf>
    <xf numFmtId="9" fontId="4" fillId="0" borderId="3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11" fillId="7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wrapText="1"/>
    </xf>
    <xf numFmtId="0" fontId="7" fillId="6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8" borderId="1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6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b val="0"/>
        <i val="0"/>
        <color rgb="FFC00000"/>
      </font>
      <fill>
        <patternFill>
          <bgColor theme="5" tint="0.79998168889431442"/>
        </patternFill>
      </fill>
    </dxf>
    <dxf>
      <font>
        <b val="0"/>
        <i val="0"/>
        <color rgb="FF008000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8000"/>
      </font>
      <fill>
        <patternFill>
          <bgColor theme="9" tint="0.79998168889431442"/>
        </patternFill>
      </fill>
    </dxf>
  </dxfs>
  <tableStyles count="0" defaultTableStyle="TableStyleMedium2" defaultPivotStyle="PivotStyleMedium9"/>
  <colors>
    <mruColors>
      <color rgb="FFF3FEFF"/>
      <color rgb="FF99FF33"/>
      <color rgb="FF008000"/>
      <color rgb="FFEB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A1F9-5CD5-41EC-966D-85738F937935}">
  <dimension ref="A1:BB1039"/>
  <sheetViews>
    <sheetView tabSelected="1" zoomScaleNormal="100" workbookViewId="0">
      <selection sqref="A1:C3"/>
    </sheetView>
  </sheetViews>
  <sheetFormatPr defaultRowHeight="15" customHeight="1" outlineLevelCol="1" x14ac:dyDescent="0.45"/>
  <cols>
    <col min="1" max="1" width="24.265625" bestFit="1" customWidth="1"/>
    <col min="2" max="2" width="10.46484375" bestFit="1" customWidth="1"/>
    <col min="3" max="5" width="16.46484375" bestFit="1" customWidth="1"/>
    <col min="6" max="8" width="11.46484375" customWidth="1"/>
    <col min="11" max="11" width="23.265625" customWidth="1"/>
    <col min="12" max="12" width="7.9296875" customWidth="1"/>
    <col min="15" max="17" width="11.53125" style="8" customWidth="1"/>
    <col min="18" max="18" width="11.53125" style="30" customWidth="1"/>
    <col min="19" max="19" width="13.53125" customWidth="1"/>
    <col min="20" max="20" width="16.796875" bestFit="1" customWidth="1"/>
    <col min="22" max="22" width="12.73046875" customWidth="1"/>
    <col min="23" max="23" width="21" bestFit="1" customWidth="1"/>
    <col min="24" max="24" width="21.53125" bestFit="1" customWidth="1"/>
    <col min="25" max="25" width="18.06640625" customWidth="1"/>
    <col min="27" max="41" width="8.73046875" customWidth="1" outlineLevel="1"/>
    <col min="42" max="42" width="27.265625" customWidth="1"/>
  </cols>
  <sheetData>
    <row r="1" spans="1:54" ht="15" customHeight="1" x14ac:dyDescent="0.45">
      <c r="A1" s="80" t="s">
        <v>173</v>
      </c>
      <c r="B1" s="80"/>
      <c r="C1" s="80"/>
      <c r="F1" s="84" t="s">
        <v>132</v>
      </c>
      <c r="G1" s="84"/>
      <c r="H1" s="84"/>
      <c r="M1" t="s">
        <v>38</v>
      </c>
      <c r="N1" t="s">
        <v>11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</row>
    <row r="2" spans="1:54" ht="15" customHeight="1" x14ac:dyDescent="0.45">
      <c r="A2" s="80"/>
      <c r="B2" s="80"/>
      <c r="C2" s="80"/>
      <c r="F2" s="13" t="s">
        <v>96</v>
      </c>
      <c r="G2" s="13" t="s">
        <v>97</v>
      </c>
      <c r="H2" s="13" t="s">
        <v>98</v>
      </c>
      <c r="K2" s="62" t="s">
        <v>144</v>
      </c>
      <c r="L2" s="8"/>
      <c r="M2" s="2" t="s">
        <v>47</v>
      </c>
      <c r="N2" s="43">
        <v>12000</v>
      </c>
      <c r="O2" s="43">
        <v>10000</v>
      </c>
      <c r="P2" s="43">
        <v>8500</v>
      </c>
      <c r="Q2" s="43">
        <v>7500</v>
      </c>
      <c r="R2" s="43">
        <v>6000</v>
      </c>
      <c r="S2" s="43">
        <v>5000</v>
      </c>
      <c r="T2" s="43">
        <v>4000</v>
      </c>
      <c r="U2" s="43">
        <v>2000</v>
      </c>
      <c r="AP2" s="46" t="s">
        <v>168</v>
      </c>
    </row>
    <row r="3" spans="1:54" ht="15" customHeight="1" x14ac:dyDescent="0.45">
      <c r="A3" s="80"/>
      <c r="B3" s="80"/>
      <c r="C3" s="80"/>
      <c r="F3" s="61">
        <v>1500</v>
      </c>
      <c r="G3" s="61">
        <v>1300</v>
      </c>
      <c r="H3" s="61">
        <v>700</v>
      </c>
      <c r="J3" s="65" t="s">
        <v>155</v>
      </c>
      <c r="K3" s="63">
        <f>F23+F35+F47+F59+F71+F83+F95+F25+F37+F49+F61+F73+F85+F97+Y6</f>
        <v>587000000</v>
      </c>
      <c r="L3" s="60"/>
      <c r="M3" s="3" t="s">
        <v>48</v>
      </c>
      <c r="N3" s="43">
        <v>5000</v>
      </c>
      <c r="O3" s="43">
        <v>5200</v>
      </c>
      <c r="P3" s="43">
        <v>5400</v>
      </c>
      <c r="Q3" s="43">
        <v>5600</v>
      </c>
      <c r="R3" s="43">
        <v>6000</v>
      </c>
      <c r="S3" s="43">
        <v>6500</v>
      </c>
      <c r="T3" s="43">
        <v>7000</v>
      </c>
      <c r="U3" s="43">
        <v>7500</v>
      </c>
      <c r="AP3" t="b">
        <f>AND(AU8:BB25)</f>
        <v>1</v>
      </c>
      <c r="AQ3" s="64" t="s">
        <v>156</v>
      </c>
    </row>
    <row r="4" spans="1:54" ht="15" customHeight="1" x14ac:dyDescent="0.45">
      <c r="A4" t="s">
        <v>169</v>
      </c>
      <c r="B4" t="b">
        <f>AND(K7,V8,AP3)</f>
        <v>0</v>
      </c>
      <c r="C4" s="64" t="s">
        <v>156</v>
      </c>
      <c r="M4" s="4" t="s">
        <v>49</v>
      </c>
      <c r="N4" s="43">
        <v>3000</v>
      </c>
      <c r="O4" s="43">
        <v>4500</v>
      </c>
      <c r="P4" s="43">
        <v>7000</v>
      </c>
      <c r="Q4" s="43">
        <v>8000</v>
      </c>
      <c r="R4" s="43">
        <v>9000</v>
      </c>
      <c r="S4" s="43">
        <v>11000</v>
      </c>
      <c r="T4" s="43">
        <v>13000</v>
      </c>
      <c r="U4" s="43">
        <v>16000</v>
      </c>
    </row>
    <row r="5" spans="1:54" ht="15" customHeight="1" x14ac:dyDescent="0.45">
      <c r="K5" s="60"/>
      <c r="O5" s="8">
        <f>ROUNDUP(45*O2/10080/0.84,0)</f>
        <v>54</v>
      </c>
      <c r="P5" s="8">
        <f t="shared" ref="P5:T5" si="0">ROUNDUP(45*P2/10080/0.84,0)</f>
        <v>46</v>
      </c>
      <c r="Q5" s="8">
        <f t="shared" si="0"/>
        <v>40</v>
      </c>
      <c r="R5" s="8">
        <f t="shared" si="0"/>
        <v>32</v>
      </c>
      <c r="S5" s="8">
        <f t="shared" si="0"/>
        <v>27</v>
      </c>
      <c r="T5" s="8">
        <f t="shared" si="0"/>
        <v>22</v>
      </c>
      <c r="AU5" s="82" t="s">
        <v>165</v>
      </c>
      <c r="AV5" s="82"/>
      <c r="AW5" s="82"/>
      <c r="AX5" s="82"/>
      <c r="AY5" s="82"/>
      <c r="AZ5" s="82"/>
      <c r="BA5" s="82"/>
      <c r="BB5" s="82"/>
    </row>
    <row r="6" spans="1:54" ht="14.55" customHeight="1" x14ac:dyDescent="0.45">
      <c r="C6" s="87" t="s">
        <v>172</v>
      </c>
      <c r="D6" s="87"/>
      <c r="E6" s="87"/>
      <c r="F6" s="82" t="s">
        <v>131</v>
      </c>
      <c r="G6" s="82"/>
      <c r="H6" s="82"/>
      <c r="K6" t="s">
        <v>170</v>
      </c>
      <c r="O6" s="86" t="s">
        <v>139</v>
      </c>
      <c r="P6" s="86"/>
      <c r="Q6" s="86"/>
      <c r="R6" s="86"/>
      <c r="S6" s="86"/>
      <c r="T6" s="46" t="s">
        <v>131</v>
      </c>
      <c r="V6" s="81" t="s">
        <v>158</v>
      </c>
      <c r="X6" t="s">
        <v>142</v>
      </c>
      <c r="Y6" s="48">
        <f>SUM(_xlfn.ANCHORARRAY(Y8))</f>
        <v>0</v>
      </c>
      <c r="AB6" s="1" t="s">
        <v>166</v>
      </c>
      <c r="AC6" s="1" t="s">
        <v>167</v>
      </c>
      <c r="AD6" s="1" t="s">
        <v>166</v>
      </c>
      <c r="AE6" s="1" t="s">
        <v>167</v>
      </c>
      <c r="AF6" s="1" t="s">
        <v>166</v>
      </c>
      <c r="AG6" s="1" t="s">
        <v>167</v>
      </c>
      <c r="AH6" s="1" t="s">
        <v>166</v>
      </c>
      <c r="AI6" s="1" t="s">
        <v>167</v>
      </c>
      <c r="AJ6" s="1" t="s">
        <v>166</v>
      </c>
      <c r="AK6" s="1" t="s">
        <v>166</v>
      </c>
      <c r="AL6" s="1" t="s">
        <v>167</v>
      </c>
      <c r="AM6" s="1" t="s">
        <v>166</v>
      </c>
      <c r="AN6" s="1" t="s">
        <v>166</v>
      </c>
      <c r="AO6" s="1" t="s">
        <v>167</v>
      </c>
      <c r="AP6" s="81" t="s">
        <v>165</v>
      </c>
    </row>
    <row r="7" spans="1:54" ht="14.25" x14ac:dyDescent="0.45">
      <c r="B7" s="36" t="s">
        <v>0</v>
      </c>
      <c r="C7" s="36" t="s">
        <v>1</v>
      </c>
      <c r="D7" s="36" t="s">
        <v>2</v>
      </c>
      <c r="E7" s="36" t="s">
        <v>3</v>
      </c>
      <c r="F7" s="44" t="s">
        <v>134</v>
      </c>
      <c r="G7" s="44" t="s">
        <v>135</v>
      </c>
      <c r="H7" s="44" t="s">
        <v>136</v>
      </c>
      <c r="K7" t="b" cm="1">
        <f t="array" ref="K7">AND(F8:H8&lt;$F$3:$H$3,F20:H20&lt;$F$3:$H$3,F32:H32&lt;$F$3:$H$3,F44:H44&lt;$F$3:$H$3,F56:H56&lt;$F$3:$H$3,F68:H68&lt;$F$3:$H$3,F80:H80&lt;$F$3:$H$3,F92:H92&lt;$F$3:$H$3)</f>
        <v>1</v>
      </c>
      <c r="O7" s="39" t="s">
        <v>4</v>
      </c>
      <c r="P7" s="37" t="s">
        <v>5</v>
      </c>
      <c r="Q7" s="37" t="s">
        <v>6</v>
      </c>
      <c r="R7" s="37" t="s">
        <v>7</v>
      </c>
      <c r="S7" s="38" t="s">
        <v>171</v>
      </c>
      <c r="T7" s="46" t="s">
        <v>157</v>
      </c>
      <c r="V7" s="81"/>
      <c r="X7" s="1" t="s">
        <v>140</v>
      </c>
      <c r="Y7" t="s">
        <v>141</v>
      </c>
      <c r="AA7" t="s">
        <v>153</v>
      </c>
      <c r="AB7" t="s">
        <v>149</v>
      </c>
      <c r="AC7" t="s">
        <v>150</v>
      </c>
      <c r="AD7" t="s">
        <v>151</v>
      </c>
      <c r="AE7" t="s">
        <v>152</v>
      </c>
      <c r="AF7" t="s">
        <v>147</v>
      </c>
      <c r="AG7" t="s">
        <v>148</v>
      </c>
      <c r="AH7" t="s">
        <v>145</v>
      </c>
      <c r="AI7" t="s">
        <v>146</v>
      </c>
      <c r="AJ7" t="s">
        <v>159</v>
      </c>
      <c r="AK7" t="s">
        <v>160</v>
      </c>
      <c r="AL7" t="s">
        <v>161</v>
      </c>
      <c r="AM7" t="s">
        <v>163</v>
      </c>
      <c r="AN7" t="s">
        <v>162</v>
      </c>
      <c r="AO7" t="s">
        <v>164</v>
      </c>
      <c r="AP7" s="81"/>
      <c r="AR7" s="1" t="s">
        <v>7</v>
      </c>
      <c r="AU7" t="s">
        <v>11</v>
      </c>
      <c r="AV7" t="s">
        <v>30</v>
      </c>
      <c r="AW7" t="s">
        <v>31</v>
      </c>
      <c r="AX7" t="s">
        <v>32</v>
      </c>
      <c r="AY7" t="s">
        <v>33</v>
      </c>
      <c r="AZ7" t="s">
        <v>34</v>
      </c>
      <c r="BA7" t="s">
        <v>35</v>
      </c>
      <c r="BB7" t="s">
        <v>36</v>
      </c>
    </row>
    <row r="8" spans="1:54" ht="14.55" customHeight="1" x14ac:dyDescent="0.45">
      <c r="A8" s="85" t="s">
        <v>9</v>
      </c>
      <c r="B8" s="31" t="s">
        <v>10</v>
      </c>
      <c r="C8" s="43">
        <v>50</v>
      </c>
      <c r="D8" s="43">
        <v>35</v>
      </c>
      <c r="E8" s="43">
        <v>0</v>
      </c>
      <c r="F8" cm="1">
        <f t="array" ref="F8">SUM(C8:C19*data!$B$3:$B$14)</f>
        <v>1235.7</v>
      </c>
      <c r="G8" cm="1">
        <f t="array" ref="G8">SUM(D8:D19*data!$B$3:$B$14)</f>
        <v>996.90000000000009</v>
      </c>
      <c r="H8" cm="1">
        <f t="array" ref="H8">SUM(E8:E19*data!$B$3:$B$14)</f>
        <v>636.03000000000009</v>
      </c>
      <c r="I8" s="64" t="s">
        <v>156</v>
      </c>
      <c r="O8" s="43" t="s">
        <v>11</v>
      </c>
      <c r="P8" s="43">
        <v>1</v>
      </c>
      <c r="Q8" s="43">
        <v>1</v>
      </c>
      <c r="R8" s="43">
        <v>1</v>
      </c>
      <c r="S8" s="45"/>
      <c r="T8" t="b">
        <f>(S8+S9+S10)=N2</f>
        <v>0</v>
      </c>
      <c r="V8" t="b">
        <f>AND(T8:T1039)</f>
        <v>0</v>
      </c>
      <c r="W8" s="64" t="s">
        <v>156</v>
      </c>
      <c r="X8" s="1">
        <v>0</v>
      </c>
      <c r="Y8" s="48" cm="1">
        <f t="array" ref="Y8:Y1039">X8:X1039*50*13</f>
        <v>0</v>
      </c>
      <c r="AA8" s="1">
        <v>4</v>
      </c>
      <c r="AB8" s="1" t="s">
        <v>14</v>
      </c>
      <c r="AC8" s="1" t="s">
        <v>20</v>
      </c>
      <c r="AD8" s="1">
        <v>14</v>
      </c>
      <c r="AE8" s="1">
        <v>12</v>
      </c>
      <c r="AF8" s="1">
        <v>0.8</v>
      </c>
      <c r="AG8" s="1">
        <v>0.88</v>
      </c>
      <c r="AH8" s="1" cm="1">
        <f t="array" ref="AH8:AH1039">$S8:$S1039*AD8:AD1039/10080/AF8:AF1039</f>
        <v>0</v>
      </c>
      <c r="AI8" s="1" cm="1">
        <f t="array" ref="AI8:AI1039">$S8:$S1039*AE8:AE1039/10080/AG8:AG1039</f>
        <v>0</v>
      </c>
      <c r="AJ8" s="1">
        <f>SUMIFS(AH$8:AH$1039,$O$8:$O$1039,O8,$AB$8:$AB$1039,AB8,$R$8:$R$1039,R8,$AA$8:$AA$1039,"&lt;="&amp;AA8)</f>
        <v>0</v>
      </c>
      <c r="AK8" s="1">
        <f>C11</f>
        <v>50</v>
      </c>
      <c r="AL8" s="1">
        <f>C17</f>
        <v>0</v>
      </c>
      <c r="AM8" s="1">
        <f>MAX(0,AJ8-AK8)</f>
        <v>0</v>
      </c>
      <c r="AN8" s="1">
        <f>IF(AM8=0,AH8,IF(AM8&gt;=AH8,0,AH8-AM8))</f>
        <v>0</v>
      </c>
      <c r="AO8" s="1">
        <f>IF(AM8&gt;=AH8,AI8,AI8*AM8/AH8)</f>
        <v>0</v>
      </c>
      <c r="AP8" t="b" cm="1">
        <f t="array" ref="AP8">INDEX($AU$8:$BB$25,6*(R8-1)+MATCH(AB8,$AS$8:$AS$13,0),MATCH(O8,$AU$7:$BB$7,0))</f>
        <v>1</v>
      </c>
      <c r="AR8" s="1">
        <v>1</v>
      </c>
      <c r="AS8" s="1" t="s">
        <v>10</v>
      </c>
      <c r="AT8" s="1" t="s">
        <v>17</v>
      </c>
      <c r="AU8" t="b">
        <f>AND(SUMIFS($AN$8:$AN$1039,$O$8:$O$1039,AU7,$AB$8:$AB$1039,AS8,$R$8:$R$1039,AR8)&lt;=C8,SUMIFS($AO$8:$AO$1039,$O$8:$O$1039,AU7,$AB$8:$AB$1039,AS8,$R$8:$R$1039,AR8)&lt;=C14)</f>
        <v>1</v>
      </c>
      <c r="AV8" t="b">
        <f>AND(SUMIFS($AN$8:$AN$1039,$O$8:$O$1039,AV7,$AB$8:$AB$1039,AS8,$R$8:$R$1039,AR8)&lt;=C20,SUMIFS($AO$8:$AO$1039,$O$8:$O$1039,AV7,$AB$8:$AB$1039,AS8,$R$8:$R$1039,AR8)&lt;=C26)</f>
        <v>1</v>
      </c>
      <c r="AW8" t="b">
        <f>AND(SUMIFS($AN$8:$AN$1039,$O$8:$O$1039,AW7,$AB$8:$AB$1039,AS8,$R$8:$R$1039,AR8)&lt;=C32,SUMIFS($AO$8:$AO$1039,$O$8:$O$1039,AW7,$AB$8:$AB$1039,AS8,$R$8:$R$1039,AR8)&lt;=C38)</f>
        <v>1</v>
      </c>
      <c r="AX8" t="b">
        <f>AND(SUMIFS($AN$8:$AN$1039,$O$8:$O$1039,AX7,$AB$8:$AB$1039,AS8,$R$8:$R$1039,AR8)&lt;=C44,SUMIFS($AO$8:$AO$1039,$O$8:$O$1039,AX7,$AB$8:$AB$1039,AS8,$R$8:$R$1039,AR8)&lt;=C50)</f>
        <v>1</v>
      </c>
      <c r="AY8" t="b">
        <f>AND(SUMIFS($AN$8:$AN$1039,$O$8:$O$1039,AY7,$AB$8:$AB$1039,AS8,$R$8:$R$1039,AR8)&lt;=C56,SUMIFS($AO$8:$AO$1039,$O$8:$O$1039,AY7,$AB$8:$AB$1039,AS8,$R$8:$R$1039,AR8)&lt;=C62)</f>
        <v>1</v>
      </c>
      <c r="AZ8" t="b">
        <f>AND(SUMIFS($AN$8:$AN$1039,$O$8:$O$1039,AZ7,$AB$8:$AB$1039,AS8,$R$8:$R$1039,AR8)&lt;=C68,SUMIFS($AO$8:$AO$1039,$O$8:$O$1039,AZ7,$AB$8:$AB$1039,AS8,$R$8:$R$1039,AR8)&lt;=C74)</f>
        <v>1</v>
      </c>
      <c r="BA8" t="b">
        <f>AND(SUMIFS($AN$8:$AN$1039,$O$8:$O$1039,BA7,$AB$8:$AB$1039,AS8,$R$8:$R$1039,AR8)&lt;=C80,SUMIFS($AO$8:$AO$1039,$O$8:$O$1039,BA7,$AB$8:$AB$1039,AS8,$R$8:$R$1039,AR8)&lt;=C86)</f>
        <v>1</v>
      </c>
      <c r="BB8" t="b">
        <f>AND(SUMIFS($AN$8:$AN$1039,$O$8:$O$1039,BB7,$AB$8:$AB$1039,AS8,$R$8:$R$1039,AR8)&lt;=C92,SUMIFS($AO$8:$AO$1039,$O$8:$O$1039,BB7,$AB$8:$AB$1039,AS8,$R$8:$R$1039,AR8)&lt;=C98)</f>
        <v>1</v>
      </c>
    </row>
    <row r="9" spans="1:54" ht="14.55" customHeight="1" x14ac:dyDescent="0.45">
      <c r="A9" s="85"/>
      <c r="B9" s="31" t="s">
        <v>12</v>
      </c>
      <c r="C9" s="43">
        <v>25</v>
      </c>
      <c r="D9" s="43">
        <v>30</v>
      </c>
      <c r="E9" s="43">
        <v>0</v>
      </c>
      <c r="O9" s="43" t="s">
        <v>11</v>
      </c>
      <c r="P9" s="43">
        <v>1</v>
      </c>
      <c r="Q9" s="43">
        <v>1</v>
      </c>
      <c r="R9" s="43">
        <v>2</v>
      </c>
      <c r="S9" s="45"/>
      <c r="T9" t="b">
        <f>(S8+S9+S10)=N2</f>
        <v>0</v>
      </c>
      <c r="X9" s="1">
        <v>0</v>
      </c>
      <c r="Y9" s="48">
        <v>0</v>
      </c>
      <c r="AA9" s="1">
        <v>4</v>
      </c>
      <c r="AB9" s="1" t="s">
        <v>14</v>
      </c>
      <c r="AC9" s="1" t="s">
        <v>20</v>
      </c>
      <c r="AD9" s="1">
        <v>14</v>
      </c>
      <c r="AE9" s="1">
        <v>12</v>
      </c>
      <c r="AF9" s="1">
        <v>0.8</v>
      </c>
      <c r="AG9" s="1">
        <v>0.88</v>
      </c>
      <c r="AH9" s="1">
        <v>0</v>
      </c>
      <c r="AI9" s="1">
        <v>0</v>
      </c>
      <c r="AJ9" s="1">
        <f t="shared" ref="AJ9:AJ72" si="1">SUMIFS(AH$8:AH$1039,$O$8:$O$1039,O9,$AB$8:$AB$1039,AB9,$R$8:$R$1039,R9,$AA$8:$AA$1039,"&lt;="&amp;AA9)</f>
        <v>0</v>
      </c>
      <c r="AK9" s="1">
        <f>D11</f>
        <v>50</v>
      </c>
      <c r="AL9" s="1">
        <f>D17</f>
        <v>0</v>
      </c>
      <c r="AM9" s="1">
        <f t="shared" ref="AM9:AM72" si="2">MAX(0,AJ9-AK9)</f>
        <v>0</v>
      </c>
      <c r="AN9" s="1">
        <f t="shared" ref="AN9:AN72" si="3">IF(AM9=0,AH9,IF(AM9&gt;=AH9,0,AH9-AM9))</f>
        <v>0</v>
      </c>
      <c r="AO9" s="1">
        <f t="shared" ref="AO9:AO72" si="4">IF(AM9&gt;=AH9,AI9,AI9*AM9/AH9)</f>
        <v>0</v>
      </c>
      <c r="AP9" t="b" cm="1">
        <f t="array" ref="AP9">INDEX($AU$8:$BB$25,6*(R9-1)+MATCH(AB9,$AS$8:$AS$13,0),MATCH(O9,$AU$7:$BB$7,0))</f>
        <v>1</v>
      </c>
      <c r="AR9" s="1">
        <v>1</v>
      </c>
      <c r="AS9" s="1" t="s">
        <v>12</v>
      </c>
      <c r="AT9" s="1" t="s">
        <v>18</v>
      </c>
      <c r="AU9" t="b">
        <f>AND(SUMIFS($AN$8:$AN$1039,$O$8:$O$1039,AU7,$AB$8:$AB$1039,AS9,$R$8:$R$1039,AR9)&lt;=C9,SUMIFS($AO$8:$AO$1039,$O$8:$O$1039,AU7,$AB$8:$AB$1039,AS9,$R$8:$R$1039,AR9)&lt;=C15)</f>
        <v>1</v>
      </c>
      <c r="AV9" t="b">
        <f>AND(SUMIFS($AN$8:$AN$1039,$O$8:$O$1039,AV7,$AB$8:$AB$1039,AS9,$R$8:$R$1039,AR9)&lt;=C21,SUMIFS($AO$8:$AO$1039,$O$8:$O$1039,AV7,$AB$8:$AB$1039,AS9,$R$8:$R$1039,AR9)&lt;=C27)</f>
        <v>1</v>
      </c>
      <c r="AW9" t="b">
        <f>AND(SUMIFS($AN$8:$AN$1039,$O$8:$O$1039,AW7,$AB$8:$AB$1039,AS9,$R$8:$R$1039,AR9)&lt;=C33,SUMIFS($AO$8:$AO$1039,$O$8:$O$1039,AW7,$AB$8:$AB$1039,AS9,$R$8:$R$1039,AR9)&lt;=C39)</f>
        <v>1</v>
      </c>
      <c r="AX9" t="b">
        <f>AND(SUMIFS($AN$8:$AN$1039,$O$8:$O$1039,AX7,$AB$8:$AB$1039,AS9,$R$8:$R$1039,AR9)&lt;=C45,SUMIFS($AO$8:$AO$1039,$O$8:$O$1039,AX7,$AB$8:$AB$1039,AS9,$R$8:$R$1039,AR9)&lt;=C51)</f>
        <v>1</v>
      </c>
      <c r="AY9" t="b">
        <f>AND(SUMIFS($AN$8:$AN$1039,$O$8:$O$1039,AY7,$AB$8:$AB$1039,AS9,$R$8:$R$1039,AR9)&lt;=C57,SUMIFS($AO$8:$AO$1039,$O$8:$O$1039,AY7,$AB$8:$AB$1039,AS9,$R$8:$R$1039,AR9)&lt;=C63)</f>
        <v>1</v>
      </c>
      <c r="AZ9" t="b">
        <f>AND(SUMIFS($AN$8:$AN$1039,$O$8:$O$1039,AZ7,$AB$8:$AB$1039,AS9,$R$8:$R$1039,AR9)&lt;=C69,SUMIFS($AO$8:$AO$1039,$O$8:$O$1039,AZ7,$AB$8:$AB$1039,AS9,$R$8:$R$1039,AR9)&lt;=C75)</f>
        <v>1</v>
      </c>
      <c r="BA9" t="b">
        <f>AND(SUMIFS($AN$8:$AN$1039,$O$8:$O$1039,BA7,$AB$8:$AB$1039,AS9,$R$8:$R$1039,AR9)&lt;=C81,SUMIFS($AO$8:$AO$1039,$O$8:$O$1039,BA7,$AB$8:$AB$1039,AS9,$R$8:$R$1039,AR9)&lt;=C87)</f>
        <v>1</v>
      </c>
      <c r="BB9" t="b">
        <f>AND(SUMIFS($AN$8:$AN$1039,$O$8:$O$1039,BB7,$AB$8:$AB$1039,AS9,$R$8:$R$1039,AR9)&lt;=C93,SUMIFS($AO$8:$AO$1039,$O$8:$O$1039,BB7,$AB$8:$AB$1039,AS9,$R$8:$R$1039,AR9)&lt;=C99)</f>
        <v>1</v>
      </c>
    </row>
    <row r="10" spans="1:54" ht="14.55" customHeight="1" x14ac:dyDescent="0.45">
      <c r="A10" s="85"/>
      <c r="B10" s="31" t="s">
        <v>13</v>
      </c>
      <c r="C10" s="43">
        <v>0</v>
      </c>
      <c r="D10" s="43">
        <v>0</v>
      </c>
      <c r="E10" s="43">
        <v>40</v>
      </c>
      <c r="O10" s="43" t="s">
        <v>11</v>
      </c>
      <c r="P10" s="43">
        <v>1</v>
      </c>
      <c r="Q10" s="43">
        <v>1</v>
      </c>
      <c r="R10" s="43">
        <v>3</v>
      </c>
      <c r="S10" s="45"/>
      <c r="T10" t="b">
        <f>(S8+S9+S10)=N2</f>
        <v>0</v>
      </c>
      <c r="X10" s="1">
        <v>0</v>
      </c>
      <c r="Y10" s="48">
        <v>0</v>
      </c>
      <c r="AA10" s="1">
        <v>4</v>
      </c>
      <c r="AB10" s="1" t="s">
        <v>14</v>
      </c>
      <c r="AC10" s="1" t="s">
        <v>20</v>
      </c>
      <c r="AD10" s="1">
        <v>14</v>
      </c>
      <c r="AE10" s="1">
        <v>12</v>
      </c>
      <c r="AF10" s="1">
        <v>0.8</v>
      </c>
      <c r="AG10" s="1">
        <v>0.88</v>
      </c>
      <c r="AH10" s="1">
        <v>0</v>
      </c>
      <c r="AI10" s="1">
        <v>0</v>
      </c>
      <c r="AJ10" s="1">
        <f t="shared" si="1"/>
        <v>0</v>
      </c>
      <c r="AK10" s="1">
        <f>E11</f>
        <v>35</v>
      </c>
      <c r="AL10" s="1">
        <f>E17</f>
        <v>0</v>
      </c>
      <c r="AM10" s="1">
        <f t="shared" si="2"/>
        <v>0</v>
      </c>
      <c r="AN10" s="1">
        <f t="shared" si="3"/>
        <v>0</v>
      </c>
      <c r="AO10" s="1">
        <f t="shared" si="4"/>
        <v>0</v>
      </c>
      <c r="AP10" t="b" cm="1">
        <f t="array" ref="AP10">INDEX($AU$8:$BB$25,6*(R10-1)+MATCH(AB10,$AS$8:$AS$13,0),MATCH(O10,$AU$7:$BB$7,0))</f>
        <v>1</v>
      </c>
      <c r="AR10" s="1">
        <v>1</v>
      </c>
      <c r="AS10" s="1" t="s">
        <v>13</v>
      </c>
      <c r="AT10" s="1" t="s">
        <v>19</v>
      </c>
      <c r="AU10" t="b">
        <f>AND(SUMIFS($AN$8:$AN$1039,$O$8:$O$1039,AU7,$AB$8:$AB$1039,AS10,$R$8:$R$1039,AR10)&lt;=C10,SUMIFS($AO$8:$AO$1039,$O$8:$O$1039,AU7,$AB$8:$AB$1039,AS10,$R$8:$R$1039,AR10)&lt;=C16)</f>
        <v>1</v>
      </c>
      <c r="AV10" t="b">
        <f>AND(SUMIFS($AN$8:$AN$1039,$O$8:$O$1039,AV7,$AB$8:$AB$1039,AS10,$R$8:$R$1039,AR10)&lt;=C22,SUMIFS($AO$8:$AO$1039,$O$8:$O$1039,AV7,$AB$8:$AB$1039,AS10,$R$8:$R$1039,AR10)&lt;=C28)</f>
        <v>1</v>
      </c>
      <c r="AW10" t="b">
        <f>AND(SUMIFS($AN$8:$AN$1039,$O$8:$O$1039,AW7,$AB$8:$AB$1039,AS10,$R$8:$R$1039,AR10)&lt;=C34,SUMIFS($AO$8:$AO$1039,$O$8:$O$1039,AW7,$AB$8:$AB$1039,AS10,$R$8:$R$1039,AR10)&lt;=C40)</f>
        <v>1</v>
      </c>
      <c r="AX10" t="b">
        <f>AND(SUMIFS($AN$8:$AN$1039,$O$8:$O$1039,AX7,$AB$8:$AB$1039,AS10,$R$8:$R$1039,AR10)&lt;=C46,SUMIFS($AO$8:$AO$1039,$O$8:$O$1039,AX7,$AB$8:$AB$1039,AS10,$R$8:$R$1039,AR10)&lt;=C52)</f>
        <v>1</v>
      </c>
      <c r="AY10" t="b">
        <f>AND(SUMIFS($AN$8:$AN$1039,$O$8:$O$1039,AY7,$AB$8:$AB$1039,AS10,$R$8:$R$1039,AR10)&lt;=C58,SUMIFS($AO$8:$AO$1039,$O$8:$O$1039,AY7,$AB$8:$AB$1039,AS10,$R$8:$R$1039,AR10)&lt;=C64)</f>
        <v>1</v>
      </c>
      <c r="AZ10" t="b">
        <f>AND(SUMIFS($AN$8:$AN$1039,$O$8:$O$1039,AZ7,$AB$8:$AB$1039,AS10,$R$8:$R$1039,AR10)&lt;=C70,SUMIFS($AO$8:$AO$1039,$O$8:$O$1039,AZ7,$AB$8:$AB$1039,AS10,$R$8:$R$1039,AR10)&lt;=C76)</f>
        <v>1</v>
      </c>
      <c r="BA10" t="b">
        <f>AND(SUMIFS($AN$8:$AN$1039,$O$8:$O$1039,BA7,$AB$8:$AB$1039,AS10,$R$8:$R$1039,AR10)&lt;=C82,SUMIFS($AO$8:$AO$1039,$O$8:$O$1039,BA7,$AB$8:$AB$1039,AS10,$R$8:$R$1039,AR10)&lt;=C88)</f>
        <v>1</v>
      </c>
      <c r="BB10" t="b">
        <f>AND(SUMIFS($AN$8:$AN$1039,$O$8:$O$1039,BB7,$AB$8:$AB$1039,AS10,$R$8:$R$1039,AR10)&lt;=C94,SUMIFS($AO$8:$AO$1039,$O$8:$O$1039,BB7,$AB$8:$AB$1039,AS10,$R$8:$R$1039,AR10)&lt;=C100)</f>
        <v>1</v>
      </c>
    </row>
    <row r="11" spans="1:54" ht="14.55" customHeight="1" x14ac:dyDescent="0.45">
      <c r="A11" s="85"/>
      <c r="B11" s="31" t="s">
        <v>14</v>
      </c>
      <c r="C11" s="43">
        <v>50</v>
      </c>
      <c r="D11" s="43">
        <v>50</v>
      </c>
      <c r="E11" s="43">
        <v>35</v>
      </c>
      <c r="O11" s="43" t="s">
        <v>11</v>
      </c>
      <c r="P11" s="43">
        <v>1</v>
      </c>
      <c r="Q11" s="43">
        <v>2</v>
      </c>
      <c r="R11" s="43">
        <v>1</v>
      </c>
      <c r="S11" s="45"/>
      <c r="T11" t="b">
        <f>(S11+S12+S13)=N2</f>
        <v>0</v>
      </c>
      <c r="X11" s="1">
        <f>MAX(S8-S11,0)</f>
        <v>0</v>
      </c>
      <c r="Y11" s="48">
        <v>0</v>
      </c>
      <c r="AA11" s="1">
        <v>10</v>
      </c>
      <c r="AB11" s="1" t="s">
        <v>16</v>
      </c>
      <c r="AC11" s="1" t="s">
        <v>22</v>
      </c>
      <c r="AD11" s="1">
        <v>25</v>
      </c>
      <c r="AE11" s="1">
        <v>21</v>
      </c>
      <c r="AF11" s="1">
        <v>0.8</v>
      </c>
      <c r="AG11" s="1">
        <v>0.9</v>
      </c>
      <c r="AH11" s="1">
        <v>0</v>
      </c>
      <c r="AI11" s="1">
        <v>0</v>
      </c>
      <c r="AJ11" s="1">
        <f t="shared" si="1"/>
        <v>0</v>
      </c>
      <c r="AK11" s="1">
        <f>C13</f>
        <v>90</v>
      </c>
      <c r="AL11" s="1">
        <f>C19</f>
        <v>0</v>
      </c>
      <c r="AM11" s="1">
        <f t="shared" si="2"/>
        <v>0</v>
      </c>
      <c r="AN11" s="1">
        <f t="shared" si="3"/>
        <v>0</v>
      </c>
      <c r="AO11" s="1">
        <f t="shared" si="4"/>
        <v>0</v>
      </c>
      <c r="AP11" t="b" cm="1">
        <f t="array" ref="AP11">INDEX($AU$8:$BB$25,6*(R11-1)+MATCH(AB11,$AS$8:$AS$13,0),MATCH(O11,$AU$7:$BB$7,0))</f>
        <v>1</v>
      </c>
      <c r="AR11" s="1">
        <v>1</v>
      </c>
      <c r="AS11" s="1" t="s">
        <v>14</v>
      </c>
      <c r="AT11" s="1" t="s">
        <v>20</v>
      </c>
      <c r="AU11" t="b">
        <f>AND(SUMIFS($AN$8:$AN$1039,$O$8:$O$1039,AU7,$AB$8:$AB$1039,AS11,$R$8:$R$1039,AR11)&lt;=C11,SUMIFS($AO$8:$AO$1039,$O$8:$O$1039,AU7,$AB$8:$AB$1039,AS11,$R$8:$R$1039,AR11)&lt;=C17)</f>
        <v>1</v>
      </c>
      <c r="AV11" t="b">
        <f>AND(SUMIFS($AN$8:$AN$1039,$O$8:$O$1039,AV7,$AB$8:$AB$1039,AS11,$R$8:$R$1039,AR11)&lt;=C23,SUMIFS($AO$8:$AO$1039,$O$8:$O$1039,AV7,$AB$8:$AB$1039,AS11,$R$8:$R$1039,AR11)&lt;=C29)</f>
        <v>1</v>
      </c>
      <c r="AW11" t="b">
        <f>AND(SUMIFS($AN$8:$AN$1039,$O$8:$O$1039,AW7,$AB$8:$AB$1039,AS11,$R$8:$R$1039,AR11)&lt;=C35,SUMIFS($AO$8:$AO$1039,$O$8:$O$1039,AW7,$AB$8:$AB$1039,AS11,$R$8:$R$1039,AR11)&lt;=C41)</f>
        <v>1</v>
      </c>
      <c r="AX11" t="b">
        <f>AND(SUMIFS($AN$8:$AN$1039,$O$8:$O$1039,AX7,$AB$8:$AB$1039,AS11,$R$8:$R$1039,AR11)&lt;=C47,SUMIFS($AO$8:$AO$1039,$O$8:$O$1039,AX7,$AB$8:$AB$1039,AS11,$R$8:$R$1039,AR11)&lt;=C53)</f>
        <v>1</v>
      </c>
      <c r="AY11" t="b">
        <f>AND(SUMIFS($AN$8:$AN$1039,$O$8:$O$1039,AY7,$AB$8:$AB$1039,AS11,$R$8:$R$1039,AR11)&lt;=C59,SUMIFS($AO$8:$AO$1039,$O$8:$O$1039,AY7,$AB$8:$AB$1039,AS11,$R$8:$R$1039,AR11)&lt;=C65)</f>
        <v>1</v>
      </c>
      <c r="AZ11" t="b">
        <f>AND(SUMIFS($AN$8:$AN$1039,$O$8:$O$1039,AZ7,$AB$8:$AB$1039,AS11,$R$8:$R$1039,AR11)&lt;=C71,SUMIFS($AO$8:$AO$1039,$O$8:$O$1039,AZ7,$AB$8:$AB$1039,AS11,$R$8:$R$1039,AR11)&lt;=C77)</f>
        <v>1</v>
      </c>
      <c r="BA11" t="b">
        <f>AND(SUMIFS($AN$8:$AN$1039,$O$8:$O$1039,BA7,$AB$8:$AB$1039,AS11,$R$8:$R$1039,AR11)&lt;=C83,SUMIFS($AO$8:$AO$1039,$O$8:$O$1039,BA7,$AB$8:$AB$1039,AS11,$R$8:$R$1039,AR11)&lt;=C89)</f>
        <v>1</v>
      </c>
      <c r="BB11" t="b">
        <f>AND(SUMIFS($AN$8:$AN$1039,$O$8:$O$1039,BB7,$AB$8:$AB$1039,AS11,$R$8:$R$1039,AR11)&lt;=C95,SUMIFS($AO$8:$AO$1039,$O$8:$O$1039,BB7,$AB$8:$AB$1039,AS11,$R$8:$R$1039,AR11)&lt;=C101)</f>
        <v>1</v>
      </c>
    </row>
    <row r="12" spans="1:54" ht="14.55" customHeight="1" x14ac:dyDescent="0.45">
      <c r="A12" s="85"/>
      <c r="B12" s="31" t="s">
        <v>15</v>
      </c>
      <c r="C12" s="43">
        <v>40</v>
      </c>
      <c r="D12" s="43">
        <v>30</v>
      </c>
      <c r="E12" s="43">
        <v>16</v>
      </c>
      <c r="O12" s="43" t="s">
        <v>11</v>
      </c>
      <c r="P12" s="43">
        <v>1</v>
      </c>
      <c r="Q12" s="43">
        <v>2</v>
      </c>
      <c r="R12" s="43">
        <v>2</v>
      </c>
      <c r="S12" s="45"/>
      <c r="T12" t="b">
        <f>(S11+S12+S13)=N2</f>
        <v>0</v>
      </c>
      <c r="X12" s="1">
        <f t="shared" ref="X12:X40" si="5">MAX(S9-S12,0)</f>
        <v>0</v>
      </c>
      <c r="Y12" s="48">
        <v>0</v>
      </c>
      <c r="AA12" s="1">
        <v>10</v>
      </c>
      <c r="AB12" s="1" t="s">
        <v>16</v>
      </c>
      <c r="AC12" s="1" t="s">
        <v>22</v>
      </c>
      <c r="AD12" s="1">
        <v>25</v>
      </c>
      <c r="AE12" s="1">
        <v>21</v>
      </c>
      <c r="AF12" s="1">
        <v>0.8</v>
      </c>
      <c r="AG12" s="1">
        <v>0.9</v>
      </c>
      <c r="AH12" s="1">
        <v>0</v>
      </c>
      <c r="AI12" s="1">
        <v>0</v>
      </c>
      <c r="AJ12" s="1">
        <f t="shared" si="1"/>
        <v>0</v>
      </c>
      <c r="AK12" s="1">
        <f>D13</f>
        <v>60</v>
      </c>
      <c r="AL12" s="1">
        <f>D19</f>
        <v>0</v>
      </c>
      <c r="AM12" s="1">
        <f t="shared" si="2"/>
        <v>0</v>
      </c>
      <c r="AN12" s="1">
        <f t="shared" si="3"/>
        <v>0</v>
      </c>
      <c r="AO12" s="1">
        <f t="shared" si="4"/>
        <v>0</v>
      </c>
      <c r="AP12" t="b" cm="1">
        <f t="array" ref="AP12">INDEX($AU$8:$BB$25,6*(R12-1)+MATCH(AB12,$AS$8:$AS$13,0),MATCH(O12,$AU$7:$BB$7,0))</f>
        <v>1</v>
      </c>
      <c r="AR12" s="1">
        <v>1</v>
      </c>
      <c r="AS12" s="1" t="s">
        <v>15</v>
      </c>
      <c r="AT12" s="1" t="s">
        <v>21</v>
      </c>
      <c r="AU12" t="b">
        <f>AND(SUMIFS($AN$8:$AN$1039,$O$8:$O$1039,AU7,$AB$8:$AB$1039,AS12,$R$8:$R$1039,AR12)&lt;=C12,SUMIFS($AO$8:$AO$1039,$O$8:$O$1039,AU7,$AB$8:$AB$1039,AS12,$R$8:$R$1039,AR12)&lt;=C18)</f>
        <v>1</v>
      </c>
      <c r="AV12" t="b">
        <f>AND(SUMIFS($AN$8:$AN$1039,$O$8:$O$1039,AV7,$AB$8:$AB$1039,AS12,$R$8:$R$1039,AR12)&lt;=C24,SUMIFS($AO$8:$AO$1039,$O$8:$O$1039,AV7,$AB$8:$AB$1039,AS12,$R$8:$R$1039,AR12)&lt;=C30)</f>
        <v>1</v>
      </c>
      <c r="AW12" t="b">
        <f>AND(SUMIFS($AN$8:$AN$1039,$O$8:$O$1039,AW7,$AB$8:$AB$1039,AS12,$R$8:$R$1039,AR12)&lt;=C36,SUMIFS($AO$8:$AO$1039,$O$8:$O$1039,AW7,$AB$8:$AB$1039,AS12,$R$8:$R$1039,AR12)&lt;=C42)</f>
        <v>1</v>
      </c>
      <c r="AX12" t="b">
        <f>AND(SUMIFS($AN$8:$AN$1039,$O$8:$O$1039,AX7,$AB$8:$AB$1039,AS12,$R$8:$R$1039,AR12)&lt;=C48,SUMIFS($AO$8:$AO$1039,$O$8:$O$1039,AX7,$AB$8:$AB$1039,AS12,$R$8:$R$1039,AR12)&lt;=C54)</f>
        <v>1</v>
      </c>
      <c r="AY12" t="b">
        <f>AND(SUMIFS($AN$8:$AN$1039,$O$8:$O$1039,AY7,$AB$8:$AB$1039,AS12,$R$8:$R$1039,AR12)&lt;=C60,SUMIFS($AO$8:$AO$1039,$O$8:$O$1039,AY7,$AB$8:$AB$1039,AS12,$R$8:$R$1039,AR12)&lt;=C66)</f>
        <v>1</v>
      </c>
      <c r="AZ12" t="b">
        <f>AND(SUMIFS($AN$8:$AN$1039,$O$8:$O$1039,AZ7,$AB$8:$AB$1039,AS12,$R$8:$R$1039,AR12)&lt;=C72,SUMIFS($AO$8:$AO$1039,$O$8:$O$1039,AZ7,$AB$8:$AB$1039,AS12,$R$8:$R$1039,AR12)&lt;=C78)</f>
        <v>1</v>
      </c>
      <c r="BA12" t="b">
        <f>AND(SUMIFS($AN$8:$AN$1039,$O$8:$O$1039,BA7,$AB$8:$AB$1039,AS12,$R$8:$R$1039,AR12)&lt;=C84,SUMIFS($AO$8:$AO$1039,$O$8:$O$1039,BA7,$AB$8:$AB$1039,AS12,$R$8:$R$1039,AR12)&lt;=C90)</f>
        <v>1</v>
      </c>
      <c r="BB12" t="b">
        <f>AND(SUMIFS($AN$8:$AN$1039,$O$8:$O$1039,BB7,$AB$8:$AB$1039,AS12,$R$8:$R$1039,AR12)&lt;=C96,SUMIFS($AO$8:$AO$1039,$O$8:$O$1039,BB7,$AB$8:$AB$1039,AS12,$R$8:$R$1039,AR12)&lt;=C102)</f>
        <v>1</v>
      </c>
    </row>
    <row r="13" spans="1:54" ht="14.55" customHeight="1" x14ac:dyDescent="0.45">
      <c r="A13" s="85"/>
      <c r="B13" s="31" t="s">
        <v>16</v>
      </c>
      <c r="C13" s="43">
        <v>90</v>
      </c>
      <c r="D13" s="43">
        <v>60</v>
      </c>
      <c r="E13" s="43">
        <v>36</v>
      </c>
      <c r="O13" s="43" t="s">
        <v>11</v>
      </c>
      <c r="P13" s="43">
        <v>1</v>
      </c>
      <c r="Q13" s="43">
        <v>2</v>
      </c>
      <c r="R13" s="43">
        <v>3</v>
      </c>
      <c r="S13" s="45"/>
      <c r="T13" t="b">
        <f>(S11+S12+S13)=N2</f>
        <v>0</v>
      </c>
      <c r="X13" s="1">
        <f t="shared" si="5"/>
        <v>0</v>
      </c>
      <c r="Y13" s="48">
        <v>0</v>
      </c>
      <c r="AA13" s="1">
        <v>10</v>
      </c>
      <c r="AB13" s="1" t="s">
        <v>16</v>
      </c>
      <c r="AC13" s="1" t="s">
        <v>22</v>
      </c>
      <c r="AD13" s="1">
        <v>25</v>
      </c>
      <c r="AE13" s="1">
        <v>21</v>
      </c>
      <c r="AF13" s="1">
        <v>0.8</v>
      </c>
      <c r="AG13" s="1">
        <v>0.9</v>
      </c>
      <c r="AH13" s="1">
        <v>0</v>
      </c>
      <c r="AI13" s="1">
        <v>0</v>
      </c>
      <c r="AJ13" s="1">
        <f t="shared" si="1"/>
        <v>0</v>
      </c>
      <c r="AK13" s="1">
        <f>E13</f>
        <v>36</v>
      </c>
      <c r="AL13" s="1">
        <f>E19</f>
        <v>0</v>
      </c>
      <c r="AM13" s="1">
        <f t="shared" si="2"/>
        <v>0</v>
      </c>
      <c r="AN13" s="1">
        <f t="shared" si="3"/>
        <v>0</v>
      </c>
      <c r="AO13" s="1">
        <f t="shared" si="4"/>
        <v>0</v>
      </c>
      <c r="AP13" t="b" cm="1">
        <f t="array" ref="AP13">INDEX($AU$8:$BB$25,6*(R13-1)+MATCH(AB13,$AS$8:$AS$13,0),MATCH(O13,$AU$7:$BB$7,0))</f>
        <v>1</v>
      </c>
      <c r="AR13" s="1">
        <v>1</v>
      </c>
      <c r="AS13" s="1" t="s">
        <v>16</v>
      </c>
      <c r="AT13" s="1" t="s">
        <v>22</v>
      </c>
      <c r="AU13" t="b">
        <f>AND(SUMIFS($AN$8:$AN$1039,$O$8:$O$1039,AU7,$AB$8:$AB$1039,AS13,$R$8:$R$1039,AR13)&lt;=C13,SUMIFS($AO$8:$AO$1039,$O$8:$O$1039,AU7,$AB$8:$AB$1039,AS13,$R$8:$R$1039,AR13)&lt;=C19)</f>
        <v>1</v>
      </c>
      <c r="AV13" t="b">
        <f>AND(SUMIFS($AN$8:$AN$1039,$O$8:$O$1039,AV7,$AB$8:$AB$1039,AS13,$R$8:$R$1039,AR13)&lt;=C25,SUMIFS($AO$8:$AO$1039,$O$8:$O$1039,AV7,$AB$8:$AB$1039,AS13,$R$8:$R$1039,AR13)&lt;=C31)</f>
        <v>1</v>
      </c>
      <c r="AW13" t="b">
        <f>AND(SUMIFS($AN$8:$AN$1039,$O$8:$O$1039,AW7,$AB$8:$AB$1039,AS13,$R$8:$R$1039,AR13)&lt;=C37,SUMIFS($AO$8:$AO$1039,$O$8:$O$1039,AW7,$AB$8:$AB$1039,AS13,$R$8:$R$1039,AR13)&lt;=C43)</f>
        <v>1</v>
      </c>
      <c r="AX13" t="b">
        <f>AND(SUMIFS($AN$8:$AN$1039,$O$8:$O$1039,AX7,$AB$8:$AB$1039,AS13,$R$8:$R$1039,AR13)&lt;=C49,SUMIFS($AO$8:$AO$1039,$O$8:$O$1039,AX7,$AB$8:$AB$1039,AS13,$R$8:$R$1039,AR13)&lt;=C55)</f>
        <v>1</v>
      </c>
      <c r="AY13" t="b">
        <f>AND(SUMIFS($AN$8:$AN$1039,$O$8:$O$1039,AY7,$AB$8:$AB$1039,AS13,$R$8:$R$1039,AR13)&lt;=C61,SUMIFS($AO$8:$AO$1039,$O$8:$O$1039,AY7,$AB$8:$AB$1039,AS13,$R$8:$R$1039,AR13)&lt;=C67)</f>
        <v>1</v>
      </c>
      <c r="AZ13" t="b">
        <f>AND(SUMIFS($AN$8:$AN$1039,$O$8:$O$1039,AZ7,$AB$8:$AB$1039,AS13,$R$8:$R$1039,AR13)&lt;=C73,SUMIFS($AO$8:$AO$1039,$O$8:$O$1039,AZ7,$AB$8:$AB$1039,AS13,$R$8:$R$1039,AR13)&lt;=C79)</f>
        <v>1</v>
      </c>
      <c r="BA13" t="b">
        <f>AND(SUMIFS($AN$8:$AN$1039,$O$8:$O$1039,BA7,$AB$8:$AB$1039,AS13,$R$8:$R$1039,AR13)&lt;=C85,SUMIFS($AO$8:$AO$1039,$O$8:$O$1039,BA7,$AB$8:$AB$1039,AS13,$R$8:$R$1039,AR13)&lt;=C91)</f>
        <v>1</v>
      </c>
      <c r="BB13" t="b">
        <f>AND(SUMIFS($AN$8:$AN$1039,$O$8:$O$1039,BB7,$AB$8:$AB$1039,AS13,$R$8:$R$1039,AR13)&lt;=C97,SUMIFS($AO$8:$AO$1039,$O$8:$O$1039,BB7,$AB$8:$AB$1039,AS13,$R$8:$R$1039,AR13)&lt;=C103)</f>
        <v>1</v>
      </c>
    </row>
    <row r="14" spans="1:54" ht="14.55" customHeight="1" x14ac:dyDescent="0.45">
      <c r="A14" s="85"/>
      <c r="B14" s="31" t="s">
        <v>17</v>
      </c>
      <c r="C14" s="43">
        <v>0</v>
      </c>
      <c r="D14" s="43">
        <v>0</v>
      </c>
      <c r="E14" s="43">
        <v>0</v>
      </c>
      <c r="O14" s="43" t="s">
        <v>11</v>
      </c>
      <c r="P14" s="43">
        <v>1</v>
      </c>
      <c r="Q14" s="43">
        <v>3</v>
      </c>
      <c r="R14" s="43">
        <v>1</v>
      </c>
      <c r="S14" s="45"/>
      <c r="T14" t="b">
        <f>(S14+S15+S16)=N2</f>
        <v>0</v>
      </c>
      <c r="X14" s="1">
        <f t="shared" si="5"/>
        <v>0</v>
      </c>
      <c r="Y14" s="48">
        <v>0</v>
      </c>
      <c r="AA14" s="1">
        <v>8</v>
      </c>
      <c r="AB14" s="1" t="s">
        <v>16</v>
      </c>
      <c r="AC14" s="1" t="s">
        <v>22</v>
      </c>
      <c r="AD14" s="1">
        <v>27</v>
      </c>
      <c r="AE14" s="1">
        <v>23</v>
      </c>
      <c r="AF14" s="1">
        <v>0.8</v>
      </c>
      <c r="AG14" s="1">
        <v>0.9</v>
      </c>
      <c r="AH14" s="1">
        <v>0</v>
      </c>
      <c r="AI14" s="1">
        <v>0</v>
      </c>
      <c r="AJ14" s="1">
        <f t="shared" si="1"/>
        <v>0</v>
      </c>
      <c r="AK14" s="1">
        <f>C13</f>
        <v>90</v>
      </c>
      <c r="AL14" s="1">
        <f>C19</f>
        <v>0</v>
      </c>
      <c r="AM14" s="1">
        <f t="shared" si="2"/>
        <v>0</v>
      </c>
      <c r="AN14" s="1">
        <f t="shared" si="3"/>
        <v>0</v>
      </c>
      <c r="AO14" s="1">
        <f t="shared" si="4"/>
        <v>0</v>
      </c>
      <c r="AP14" t="b" cm="1">
        <f t="array" ref="AP14">INDEX($AU$8:$BB$25,6*(R14-1)+MATCH(AB14,$AS$8:$AS$13,0),MATCH(O14,$AU$7:$BB$7,0))</f>
        <v>1</v>
      </c>
      <c r="AR14" s="1">
        <v>2</v>
      </c>
      <c r="AS14" s="1" t="s">
        <v>10</v>
      </c>
      <c r="AT14" s="1" t="s">
        <v>17</v>
      </c>
      <c r="AU14" t="b">
        <f>AND(SUMIFS($AN$8:$AN$1039,$O$8:$O$1039,AU7,$AB$8:$AB$1039,AS14,$R$8:$R$1039,AR14)&lt;=D8,SUMIFS($AO$8:$AO$1039,$O$8:$O$1039,AU7,$AB$8:$AB$1039,AS14,$R$8:$R$1039,AR14)&lt;=D14)</f>
        <v>1</v>
      </c>
      <c r="AV14" t="b">
        <f>AND(SUMIFS($AN$8:$AN$1039,$O$8:$O$1039,AV7,$AB$8:$AB$1039,AS14,$R$8:$R$1039,AR14)&lt;=D20,SUMIFS($AO$8:$AO$1039,$O$8:$O$1039,AV7,$AB$8:$AB$1039,AS14,$R$8:$R$1039,AR14)&lt;=D26)</f>
        <v>1</v>
      </c>
      <c r="AW14" t="b">
        <f>AND(SUMIFS($AN$8:$AN$1039,$O$8:$O$1039,AW7,$AB$8:$AB$1039,AS14,$R$8:$R$1039,AR14)&lt;=D32,SUMIFS($AO$8:$AO$1039,$O$8:$O$1039,AW7,$AB$8:$AB$1039,AS14,$R$8:$R$1039,AR14)&lt;=D38)</f>
        <v>1</v>
      </c>
      <c r="AX14" t="b">
        <f>AND(SUMIFS($AN$8:$AN$1039,$O$8:$O$1039,AX7,$AB$8:$AB$1039,AS14,$R$8:$R$1039,AR14)&lt;=D44,SUMIFS($AO$8:$AO$1039,$O$8:$O$1039,AX7,$AB$8:$AB$1039,AS14,$R$8:$R$1039,AR14)&lt;=D50)</f>
        <v>1</v>
      </c>
      <c r="AY14" t="b">
        <f>AND(SUMIFS($AN$8:$AN$1039,$O$8:$O$1039,AY7,$AB$8:$AB$1039,AS14,$R$8:$R$1039,AR14)&lt;=D56,SUMIFS($AO$8:$AO$1039,$O$8:$O$1039,AY7,$AB$8:$AB$1039,AS14,$R$8:$R$1039,AR14)&lt;=D62)</f>
        <v>1</v>
      </c>
      <c r="AZ14" t="b">
        <f>AND(SUMIFS($AN$8:$AN$1039,$O$8:$O$1039,AZ7,$AB$8:$AB$1039,AS14,$R$8:$R$1039,AR14)&lt;=D68,SUMIFS($AO$8:$AO$1039,$O$8:$O$1039,AZ7,$AB$8:$AB$1039,AS14,$R$8:$R$1039,AR14)&lt;=D74)</f>
        <v>1</v>
      </c>
      <c r="BA14" t="b">
        <f>AND(SUMIFS($AN$8:$AN$1039,$O$8:$O$1039,BA7,$AB$8:$AB$1039,AS14,$R$8:$R$1039,AR14)&lt;=D80,SUMIFS($AO$8:$AO$1039,$O$8:$O$1039,BA7,$AB$8:$AB$1039,AS14,$R$8:$R$1039,AR14)&lt;=D86)</f>
        <v>1</v>
      </c>
      <c r="BB14" t="b">
        <f>AND(SUMIFS($AN$8:$AN$1039,$O$8:$O$1039,BB7,$AB$8:$AB$1039,AS14,$R$8:$R$1039,AR14)&lt;=D92,SUMIFS($AO$8:$AO$1039,$O$8:$O$1039,BB7,$AB$8:$AB$1039,AS14,$R$8:$R$1039,AR14)&lt;=D98)</f>
        <v>1</v>
      </c>
    </row>
    <row r="15" spans="1:54" ht="14.55" customHeight="1" x14ac:dyDescent="0.45">
      <c r="A15" s="85"/>
      <c r="B15" s="31" t="s">
        <v>18</v>
      </c>
      <c r="C15" s="43">
        <v>0</v>
      </c>
      <c r="D15" s="43">
        <v>0</v>
      </c>
      <c r="E15" s="43">
        <v>0</v>
      </c>
      <c r="O15" s="43" t="s">
        <v>11</v>
      </c>
      <c r="P15" s="43">
        <v>1</v>
      </c>
      <c r="Q15" s="43">
        <v>3</v>
      </c>
      <c r="R15" s="43">
        <v>2</v>
      </c>
      <c r="S15" s="45"/>
      <c r="T15" t="b">
        <f>(S14+S15+S16)=N2</f>
        <v>0</v>
      </c>
      <c r="X15" s="1">
        <f t="shared" si="5"/>
        <v>0</v>
      </c>
      <c r="Y15" s="48">
        <v>0</v>
      </c>
      <c r="AA15" s="1">
        <v>8</v>
      </c>
      <c r="AB15" s="1" t="s">
        <v>16</v>
      </c>
      <c r="AC15" s="1" t="s">
        <v>22</v>
      </c>
      <c r="AD15" s="1">
        <v>27</v>
      </c>
      <c r="AE15" s="1">
        <v>23</v>
      </c>
      <c r="AF15" s="1">
        <v>0.8</v>
      </c>
      <c r="AG15" s="1">
        <v>0.9</v>
      </c>
      <c r="AH15" s="1">
        <v>0</v>
      </c>
      <c r="AI15" s="1">
        <v>0</v>
      </c>
      <c r="AJ15" s="1">
        <f t="shared" si="1"/>
        <v>0</v>
      </c>
      <c r="AK15" s="1">
        <f>D13</f>
        <v>60</v>
      </c>
      <c r="AL15" s="1">
        <f>D19</f>
        <v>0</v>
      </c>
      <c r="AM15" s="1">
        <f t="shared" si="2"/>
        <v>0</v>
      </c>
      <c r="AN15" s="1">
        <f t="shared" si="3"/>
        <v>0</v>
      </c>
      <c r="AO15" s="1">
        <f t="shared" si="4"/>
        <v>0</v>
      </c>
      <c r="AP15" t="b" cm="1">
        <f t="array" ref="AP15">INDEX($AU$8:$BB$25,6*(R15-1)+MATCH(AB15,$AS$8:$AS$13,0),MATCH(O15,$AU$7:$BB$7,0))</f>
        <v>1</v>
      </c>
      <c r="AR15" s="1">
        <v>2</v>
      </c>
      <c r="AS15" s="1" t="s">
        <v>12</v>
      </c>
      <c r="AT15" s="1" t="s">
        <v>18</v>
      </c>
      <c r="AU15" t="b">
        <f>AND(SUMIFS($AN$8:$AN$1039,$O$8:$O$1039,AU7,$AB$8:$AB$1039,AS15,$R$8:$R$1039,AR15)&lt;=D9,SUMIFS($AO$8:$AO$1039,$O$8:$O$1039,AU7,$AB$8:$AB$1039,AS15,$R$8:$R$1039,AR15)&lt;=D15)</f>
        <v>1</v>
      </c>
      <c r="AV15" t="b">
        <f>AND(SUMIFS($AN$8:$AN$1039,$O$8:$O$1039,AV7,$AB$8:$AB$1039,AS15,$R$8:$R$1039,AR15)&lt;=D21,SUMIFS($AO$8:$AO$1039,$O$8:$O$1039,AV7,$AB$8:$AB$1039,AS15,$R$8:$R$1039,AR15)&lt;=D27)</f>
        <v>1</v>
      </c>
      <c r="AW15" t="b">
        <f>AND(SUMIFS($AN$8:$AN$1039,$O$8:$O$1039,AW7,$AB$8:$AB$1039,AS15,$R$8:$R$1039,AR15)&lt;=D33,SUMIFS($AO$8:$AO$1039,$O$8:$O$1039,AW7,$AB$8:$AB$1039,AS15,$R$8:$R$1039,AR15)&lt;=D39)</f>
        <v>1</v>
      </c>
      <c r="AX15" t="b">
        <f>AND(SUMIFS($AN$8:$AN$1039,$O$8:$O$1039,AX7,$AB$8:$AB$1039,AS15,$R$8:$R$1039,AR15)&lt;=D45,SUMIFS($AO$8:$AO$1039,$O$8:$O$1039,AX7,$AB$8:$AB$1039,AS15,$R$8:$R$1039,AR15)&lt;=D51)</f>
        <v>1</v>
      </c>
      <c r="AY15" t="b">
        <f>AND(SUMIFS($AN$8:$AN$1039,$O$8:$O$1039,AY7,$AB$8:$AB$1039,AS15,$R$8:$R$1039,AR15)&lt;=D57,SUMIFS($AO$8:$AO$1039,$O$8:$O$1039,AY7,$AB$8:$AB$1039,AS15,$R$8:$R$1039,AR15)&lt;=D63)</f>
        <v>1</v>
      </c>
      <c r="AZ15" t="b">
        <f>AND(SUMIFS($AN$8:$AN$1039,$O$8:$O$1039,AZ7,$AB$8:$AB$1039,AS15,$R$8:$R$1039,AR15)&lt;=D69,SUMIFS($AO$8:$AO$1039,$O$8:$O$1039,AZ7,$AB$8:$AB$1039,AS15,$R$8:$R$1039,AR15)&lt;=D75)</f>
        <v>1</v>
      </c>
      <c r="BA15" t="b">
        <f>AND(SUMIFS($AN$8:$AN$1039,$O$8:$O$1039,BA7,$AB$8:$AB$1039,AS15,$R$8:$R$1039,AR15)&lt;=D81,SUMIFS($AO$8:$AO$1039,$O$8:$O$1039,BA7,$AB$8:$AB$1039,AS15,$R$8:$R$1039,AR15)&lt;=D87)</f>
        <v>1</v>
      </c>
      <c r="BB15" t="b">
        <f>AND(SUMIFS($AN$8:$AN$1039,$O$8:$O$1039,BB7,$AB$8:$AB$1039,AS15,$R$8:$R$1039,AR15)&lt;=D93,SUMIFS($AO$8:$AO$1039,$O$8:$O$1039,BB7,$AB$8:$AB$1039,AS15,$R$8:$R$1039,AR15)&lt;=D99)</f>
        <v>1</v>
      </c>
    </row>
    <row r="16" spans="1:54" ht="14.55" customHeight="1" x14ac:dyDescent="0.45">
      <c r="A16" s="85"/>
      <c r="B16" s="31" t="s">
        <v>19</v>
      </c>
      <c r="C16" s="43">
        <v>0</v>
      </c>
      <c r="D16" s="43">
        <v>0</v>
      </c>
      <c r="E16" s="43">
        <v>0</v>
      </c>
      <c r="O16" s="43" t="s">
        <v>11</v>
      </c>
      <c r="P16" s="43">
        <v>1</v>
      </c>
      <c r="Q16" s="43">
        <v>3</v>
      </c>
      <c r="R16" s="43">
        <v>3</v>
      </c>
      <c r="S16" s="45"/>
      <c r="T16" t="b">
        <f>(S14+S15+S16)=N2</f>
        <v>0</v>
      </c>
      <c r="X16" s="1">
        <f t="shared" si="5"/>
        <v>0</v>
      </c>
      <c r="Y16" s="48">
        <v>0</v>
      </c>
      <c r="AA16" s="1">
        <v>8</v>
      </c>
      <c r="AB16" s="1" t="s">
        <v>16</v>
      </c>
      <c r="AC16" s="1" t="s">
        <v>22</v>
      </c>
      <c r="AD16" s="1">
        <v>27</v>
      </c>
      <c r="AE16" s="1">
        <v>23</v>
      </c>
      <c r="AF16" s="1">
        <v>0.8</v>
      </c>
      <c r="AG16" s="1">
        <v>0.9</v>
      </c>
      <c r="AH16" s="1">
        <v>0</v>
      </c>
      <c r="AI16" s="1">
        <v>0</v>
      </c>
      <c r="AJ16" s="1">
        <f t="shared" si="1"/>
        <v>0</v>
      </c>
      <c r="AK16" s="1">
        <f>E13</f>
        <v>36</v>
      </c>
      <c r="AL16" s="1">
        <f>E19</f>
        <v>0</v>
      </c>
      <c r="AM16" s="1">
        <f t="shared" si="2"/>
        <v>0</v>
      </c>
      <c r="AN16" s="1">
        <f t="shared" si="3"/>
        <v>0</v>
      </c>
      <c r="AO16" s="1">
        <f t="shared" si="4"/>
        <v>0</v>
      </c>
      <c r="AP16" t="b" cm="1">
        <f t="array" ref="AP16">INDEX($AU$8:$BB$25,6*(R16-1)+MATCH(AB16,$AS$8:$AS$13,0),MATCH(O16,$AU$7:$BB$7,0))</f>
        <v>1</v>
      </c>
      <c r="AR16" s="1">
        <v>2</v>
      </c>
      <c r="AS16" s="1" t="s">
        <v>13</v>
      </c>
      <c r="AT16" s="1" t="s">
        <v>19</v>
      </c>
      <c r="AU16" t="b">
        <f>AND(SUMIFS($AN$8:$AN$1039,$O$8:$O$1039,AU7,$AB$8:$AB$1039,AS16,$R$8:$R$1039,AR16)&lt;=D10,SUMIFS($AO$8:$AO$1039,$O$8:$O$1039,AU7,$AB$8:$AB$1039,AS16,$R$8:$R$1039,AR16)&lt;=D16)</f>
        <v>1</v>
      </c>
      <c r="AV16" t="b">
        <f>AND(SUMIFS($AN$8:$AN$1039,$O$8:$O$1039,AV7,$AB$8:$AB$1039,AS16,$R$8:$R$1039,AR16)&lt;=D22,SUMIFS($AO$8:$AO$1039,$O$8:$O$1039,AV7,$AB$8:$AB$1039,AS16,$R$8:$R$1039,AR16)&lt;=D28)</f>
        <v>1</v>
      </c>
      <c r="AW16" t="b">
        <f>AND(SUMIFS($AN$8:$AN$1039,$O$8:$O$1039,AW7,$AB$8:$AB$1039,AS16,$R$8:$R$1039,AR16)&lt;=D34,SUMIFS($AO$8:$AO$1039,$O$8:$O$1039,AW7,$AB$8:$AB$1039,AS16,$R$8:$R$1039,AR16)&lt;=D40)</f>
        <v>1</v>
      </c>
      <c r="AX16" t="b">
        <f>AND(SUMIFS($AN$8:$AN$1039,$O$8:$O$1039,AX7,$AB$8:$AB$1039,AS16,$R$8:$R$1039,AR16)&lt;=D46,SUMIFS($AO$8:$AO$1039,$O$8:$O$1039,AX7,$AB$8:$AB$1039,AS16,$R$8:$R$1039,AR16)&lt;=D52)</f>
        <v>1</v>
      </c>
      <c r="AY16" t="b">
        <f>AND(SUMIFS($AN$8:$AN$1039,$O$8:$O$1039,AY7,$AB$8:$AB$1039,AS16,$R$8:$R$1039,AR16)&lt;=D58,SUMIFS($AO$8:$AO$1039,$O$8:$O$1039,AY7,$AB$8:$AB$1039,AS16,$R$8:$R$1039,AR16)&lt;=D64)</f>
        <v>1</v>
      </c>
      <c r="AZ16" t="b">
        <f>AND(SUMIFS($AN$8:$AN$1039,$O$8:$O$1039,AZ7,$AB$8:$AB$1039,AS16,$R$8:$R$1039,AR16)&lt;=D70,SUMIFS($AO$8:$AO$1039,$O$8:$O$1039,AZ7,$AB$8:$AB$1039,AS16,$R$8:$R$1039,AR16)&lt;=D76)</f>
        <v>1</v>
      </c>
      <c r="BA16" t="b">
        <f>AND(SUMIFS($AN$8:$AN$1039,$O$8:$O$1039,BA7,$AB$8:$AB$1039,AS16,$R$8:$R$1039,AR16)&lt;=D82,SUMIFS($AO$8:$AO$1039,$O$8:$O$1039,BA7,$AB$8:$AB$1039,AS16,$R$8:$R$1039,AR16)&lt;=D88)</f>
        <v>1</v>
      </c>
      <c r="BB16" t="b">
        <f>AND(SUMIFS($AN$8:$AN$1039,$O$8:$O$1039,BB7,$AB$8:$AB$1039,AS16,$R$8:$R$1039,AR16)&lt;=D94,SUMIFS($AO$8:$AO$1039,$O$8:$O$1039,BB7,$AB$8:$AB$1039,AS16,$R$8:$R$1039,AR16)&lt;=D100)</f>
        <v>1</v>
      </c>
    </row>
    <row r="17" spans="1:54" ht="14.55" customHeight="1" x14ac:dyDescent="0.45">
      <c r="A17" s="85"/>
      <c r="B17" s="31" t="s">
        <v>20</v>
      </c>
      <c r="C17" s="43">
        <v>0</v>
      </c>
      <c r="D17" s="43">
        <v>0</v>
      </c>
      <c r="E17" s="43">
        <v>0</v>
      </c>
      <c r="O17" s="43" t="s">
        <v>11</v>
      </c>
      <c r="P17" s="43">
        <v>1</v>
      </c>
      <c r="Q17" s="43">
        <v>4</v>
      </c>
      <c r="R17" s="43">
        <v>1</v>
      </c>
      <c r="S17" s="45"/>
      <c r="T17" t="b">
        <f>(S17+S18+S19)=N2</f>
        <v>0</v>
      </c>
      <c r="X17" s="1">
        <f t="shared" si="5"/>
        <v>0</v>
      </c>
      <c r="Y17" s="48">
        <v>0</v>
      </c>
      <c r="AA17" s="1">
        <v>3</v>
      </c>
      <c r="AB17" s="1" t="s">
        <v>10</v>
      </c>
      <c r="AC17" s="1" t="s">
        <v>17</v>
      </c>
      <c r="AD17" s="1">
        <v>20</v>
      </c>
      <c r="AE17" s="1">
        <v>16</v>
      </c>
      <c r="AF17" s="1">
        <v>0.78</v>
      </c>
      <c r="AG17" s="1">
        <v>0.84</v>
      </c>
      <c r="AH17" s="1">
        <v>0</v>
      </c>
      <c r="AI17" s="1">
        <v>0</v>
      </c>
      <c r="AJ17" s="1">
        <f t="shared" si="1"/>
        <v>0</v>
      </c>
      <c r="AK17" s="1">
        <f>C8</f>
        <v>50</v>
      </c>
      <c r="AL17" s="1">
        <f>C14</f>
        <v>0</v>
      </c>
      <c r="AM17" s="1">
        <f t="shared" si="2"/>
        <v>0</v>
      </c>
      <c r="AN17" s="1">
        <f t="shared" si="3"/>
        <v>0</v>
      </c>
      <c r="AO17" s="1">
        <f t="shared" si="4"/>
        <v>0</v>
      </c>
      <c r="AP17" t="b" cm="1">
        <f t="array" ref="AP17">INDEX($AU$8:$BB$25,6*(R17-1)+MATCH(AB17,$AS$8:$AS$13,0),MATCH(O17,$AU$7:$BB$7,0))</f>
        <v>1</v>
      </c>
      <c r="AR17" s="1">
        <v>2</v>
      </c>
      <c r="AS17" s="1" t="s">
        <v>14</v>
      </c>
      <c r="AT17" s="1" t="s">
        <v>20</v>
      </c>
      <c r="AU17" t="b">
        <f>AND(SUMIFS($AN$8:$AN$1039,$O$8:$O$1039,AU7,$AB$8:$AB$1039,AS17,$R$8:$R$1039,AR17)&lt;=D11,SUMIFS($AO$8:$AO$1039,$O$8:$O$1039,AU7,$AB$8:$AB$1039,AS17,$R$8:$R$1039,AR17)&lt;=D17)</f>
        <v>1</v>
      </c>
      <c r="AV17" t="b">
        <f>AND(SUMIFS($AN$8:$AN$1039,$O$8:$O$1039,AV7,$AB$8:$AB$1039,AS17,$R$8:$R$1039,AR17)&lt;=D23,SUMIFS($AO$8:$AO$1039,$O$8:$O$1039,AV7,$AB$8:$AB$1039,AS17,$R$8:$R$1039,AR17)&lt;=D29)</f>
        <v>1</v>
      </c>
      <c r="AW17" t="b">
        <f>AND(SUMIFS($AN$8:$AN$1039,$O$8:$O$1039,AW7,$AB$8:$AB$1039,AS17,$R$8:$R$1039,AR17)&lt;=D35,SUMIFS($AO$8:$AO$1039,$O$8:$O$1039,AW7,$AB$8:$AB$1039,AS17,$R$8:$R$1039,AR17)&lt;=D41)</f>
        <v>1</v>
      </c>
      <c r="AX17" t="b">
        <f>AND(SUMIFS($AN$8:$AN$1039,$O$8:$O$1039,AX7,$AB$8:$AB$1039,AS17,$R$8:$R$1039,AR17)&lt;=D47,SUMIFS($AO$8:$AO$1039,$O$8:$O$1039,AX7,$AB$8:$AB$1039,AS17,$R$8:$R$1039,AR17)&lt;=D53)</f>
        <v>1</v>
      </c>
      <c r="AY17" t="b">
        <f>AND(SUMIFS($AN$8:$AN$1039,$O$8:$O$1039,AY7,$AB$8:$AB$1039,AS17,$R$8:$R$1039,AR17)&lt;=D59,SUMIFS($AO$8:$AO$1039,$O$8:$O$1039,AY7,$AB$8:$AB$1039,AS17,$R$8:$R$1039,AR17)&lt;=D65)</f>
        <v>1</v>
      </c>
      <c r="AZ17" t="b">
        <f>AND(SUMIFS($AN$8:$AN$1039,$O$8:$O$1039,AZ7,$AB$8:$AB$1039,AS17,$R$8:$R$1039,AR17)&lt;=D71,SUMIFS($AO$8:$AO$1039,$O$8:$O$1039,AZ7,$AB$8:$AB$1039,AS17,$R$8:$R$1039,AR17)&lt;=D77)</f>
        <v>1</v>
      </c>
      <c r="BA17" t="b">
        <f>AND(SUMIFS($AN$8:$AN$1039,$O$8:$O$1039,BA7,$AB$8:$AB$1039,AS17,$R$8:$R$1039,AR17)&lt;=D83,SUMIFS($AO$8:$AO$1039,$O$8:$O$1039,BA7,$AB$8:$AB$1039,AS17,$R$8:$R$1039,AR17)&lt;=D89)</f>
        <v>1</v>
      </c>
      <c r="BB17" t="b">
        <f>AND(SUMIFS($AN$8:$AN$1039,$O$8:$O$1039,BB7,$AB$8:$AB$1039,AS17,$R$8:$R$1039,AR17)&lt;=D95,SUMIFS($AO$8:$AO$1039,$O$8:$O$1039,BB7,$AB$8:$AB$1039,AS17,$R$8:$R$1039,AR17)&lt;=D101)</f>
        <v>1</v>
      </c>
    </row>
    <row r="18" spans="1:54" ht="14.55" customHeight="1" x14ac:dyDescent="0.45">
      <c r="A18" s="85"/>
      <c r="B18" s="31" t="s">
        <v>21</v>
      </c>
      <c r="C18" s="43">
        <v>0</v>
      </c>
      <c r="D18" s="43">
        <v>0</v>
      </c>
      <c r="E18" s="43">
        <v>0</v>
      </c>
      <c r="O18" s="43" t="s">
        <v>11</v>
      </c>
      <c r="P18" s="43">
        <v>1</v>
      </c>
      <c r="Q18" s="43">
        <v>4</v>
      </c>
      <c r="R18" s="43">
        <v>2</v>
      </c>
      <c r="S18" s="45"/>
      <c r="T18" t="b">
        <f>(S17+S18+S19)=N2</f>
        <v>0</v>
      </c>
      <c r="X18" s="1">
        <f t="shared" si="5"/>
        <v>0</v>
      </c>
      <c r="Y18" s="48">
        <v>0</v>
      </c>
      <c r="AA18" s="1">
        <v>3</v>
      </c>
      <c r="AB18" s="1" t="s">
        <v>10</v>
      </c>
      <c r="AC18" s="1" t="s">
        <v>17</v>
      </c>
      <c r="AD18" s="1">
        <v>20</v>
      </c>
      <c r="AE18" s="1">
        <v>16</v>
      </c>
      <c r="AF18" s="1">
        <v>0.78</v>
      </c>
      <c r="AG18" s="1">
        <v>0.84</v>
      </c>
      <c r="AH18" s="1">
        <v>0</v>
      </c>
      <c r="AI18" s="1">
        <v>0</v>
      </c>
      <c r="AJ18" s="1">
        <f t="shared" si="1"/>
        <v>0</v>
      </c>
      <c r="AK18" s="1">
        <f>D8</f>
        <v>35</v>
      </c>
      <c r="AL18" s="1">
        <f>D14</f>
        <v>0</v>
      </c>
      <c r="AM18" s="1">
        <f t="shared" si="2"/>
        <v>0</v>
      </c>
      <c r="AN18" s="1">
        <f t="shared" si="3"/>
        <v>0</v>
      </c>
      <c r="AO18" s="1">
        <f t="shared" si="4"/>
        <v>0</v>
      </c>
      <c r="AP18" t="b" cm="1">
        <f t="array" ref="AP18">INDEX($AU$8:$BB$25,6*(R18-1)+MATCH(AB18,$AS$8:$AS$13,0),MATCH(O18,$AU$7:$BB$7,0))</f>
        <v>1</v>
      </c>
      <c r="AR18" s="1">
        <v>2</v>
      </c>
      <c r="AS18" s="1" t="s">
        <v>15</v>
      </c>
      <c r="AT18" s="1" t="s">
        <v>21</v>
      </c>
      <c r="AU18" t="b">
        <f>AND(SUMIFS($AN$8:$AN$1039,$O$8:$O$1039,AU7,$AB$8:$AB$1039,AS18,$R$8:$R$1039,AR18)&lt;=D12,SUMIFS($AO$8:$AO$1039,$O$8:$O$1039,AU7,$AB$8:$AB$1039,AS18,$R$8:$R$1039,AR18)&lt;=D18)</f>
        <v>1</v>
      </c>
      <c r="AV18" t="b">
        <f>AND(SUMIFS($AN$8:$AN$1039,$O$8:$O$1039,AV7,$AB$8:$AB$1039,AS18,$R$8:$R$1039,AR18)&lt;=D24,SUMIFS($AO$8:$AO$1039,$O$8:$O$1039,AV7,$AB$8:$AB$1039,AS18,$R$8:$R$1039,AR18)&lt;=D30)</f>
        <v>1</v>
      </c>
      <c r="AW18" t="b">
        <f>AND(SUMIFS($AN$8:$AN$1039,$O$8:$O$1039,AW7,$AB$8:$AB$1039,AS18,$R$8:$R$1039,AR18)&lt;=D36,SUMIFS($AO$8:$AO$1039,$O$8:$O$1039,AW7,$AB$8:$AB$1039,AS18,$R$8:$R$1039,AR18)&lt;=D42)</f>
        <v>1</v>
      </c>
      <c r="AX18" t="b">
        <f>AND(SUMIFS($AN$8:$AN$1039,$O$8:$O$1039,AX7,$AB$8:$AB$1039,AS18,$R$8:$R$1039,AR18)&lt;=D48,SUMIFS($AO$8:$AO$1039,$O$8:$O$1039,AX7,$AB$8:$AB$1039,AS18,$R$8:$R$1039,AR18)&lt;=D54)</f>
        <v>1</v>
      </c>
      <c r="AY18" t="b">
        <f>AND(SUMIFS($AN$8:$AN$1039,$O$8:$O$1039,AY7,$AB$8:$AB$1039,AS18,$R$8:$R$1039,AR18)&lt;=D60,SUMIFS($AO$8:$AO$1039,$O$8:$O$1039,AY7,$AB$8:$AB$1039,AS18,$R$8:$R$1039,AR18)&lt;=D66)</f>
        <v>1</v>
      </c>
      <c r="AZ18" t="b">
        <f>AND(SUMIFS($AN$8:$AN$1039,$O$8:$O$1039,AZ7,$AB$8:$AB$1039,AS18,$R$8:$R$1039,AR18)&lt;=D72,SUMIFS($AO$8:$AO$1039,$O$8:$O$1039,AZ7,$AB$8:$AB$1039,AS18,$R$8:$R$1039,AR18)&lt;=D78)</f>
        <v>1</v>
      </c>
      <c r="BA18" t="b">
        <f>AND(SUMIFS($AN$8:$AN$1039,$O$8:$O$1039,BA7,$AB$8:$AB$1039,AS18,$R$8:$R$1039,AR18)&lt;=D84,SUMIFS($AO$8:$AO$1039,$O$8:$O$1039,BA7,$AB$8:$AB$1039,AS18,$R$8:$R$1039,AR18)&lt;=D90)</f>
        <v>1</v>
      </c>
      <c r="BB18" t="b">
        <f>AND(SUMIFS($AN$8:$AN$1039,$O$8:$O$1039,BB7,$AB$8:$AB$1039,AS18,$R$8:$R$1039,AR18)&lt;=D96,SUMIFS($AO$8:$AO$1039,$O$8:$O$1039,BB7,$AB$8:$AB$1039,AS18,$R$8:$R$1039,AR18)&lt;=D102)</f>
        <v>1</v>
      </c>
    </row>
    <row r="19" spans="1:54" ht="14.55" customHeight="1" x14ac:dyDescent="0.45">
      <c r="A19" s="85"/>
      <c r="B19" s="31" t="s">
        <v>22</v>
      </c>
      <c r="C19" s="43">
        <v>0</v>
      </c>
      <c r="D19" s="43">
        <v>0</v>
      </c>
      <c r="E19" s="43">
        <v>0</v>
      </c>
      <c r="F19" s="44" t="s">
        <v>134</v>
      </c>
      <c r="G19" s="44" t="s">
        <v>135</v>
      </c>
      <c r="H19" s="44" t="s">
        <v>136</v>
      </c>
      <c r="O19" s="43" t="s">
        <v>11</v>
      </c>
      <c r="P19" s="43">
        <v>1</v>
      </c>
      <c r="Q19" s="43">
        <v>4</v>
      </c>
      <c r="R19" s="43">
        <v>3</v>
      </c>
      <c r="S19" s="45"/>
      <c r="T19" t="b">
        <f>(S17+S18+S19)=N2</f>
        <v>0</v>
      </c>
      <c r="X19" s="1">
        <f t="shared" si="5"/>
        <v>0</v>
      </c>
      <c r="Y19" s="48">
        <v>0</v>
      </c>
      <c r="AA19" s="1">
        <v>3</v>
      </c>
      <c r="AB19" s="1" t="s">
        <v>10</v>
      </c>
      <c r="AC19" s="1" t="s">
        <v>17</v>
      </c>
      <c r="AD19" s="1">
        <v>20</v>
      </c>
      <c r="AE19" s="1">
        <v>16</v>
      </c>
      <c r="AF19" s="1">
        <v>0.78</v>
      </c>
      <c r="AG19" s="1">
        <v>0.84</v>
      </c>
      <c r="AH19" s="1">
        <v>0</v>
      </c>
      <c r="AI19" s="1">
        <v>0</v>
      </c>
      <c r="AJ19" s="1">
        <f t="shared" si="1"/>
        <v>0</v>
      </c>
      <c r="AK19" s="1">
        <f>E8</f>
        <v>0</v>
      </c>
      <c r="AL19" s="1">
        <f>E14</f>
        <v>0</v>
      </c>
      <c r="AM19" s="1">
        <f t="shared" si="2"/>
        <v>0</v>
      </c>
      <c r="AN19" s="1">
        <f t="shared" si="3"/>
        <v>0</v>
      </c>
      <c r="AO19" s="1">
        <f t="shared" si="4"/>
        <v>0</v>
      </c>
      <c r="AP19" t="b" cm="1">
        <f t="array" ref="AP19">INDEX($AU$8:$BB$25,6*(R19-1)+MATCH(AB19,$AS$8:$AS$13,0),MATCH(O19,$AU$7:$BB$7,0))</f>
        <v>1</v>
      </c>
      <c r="AR19" s="1">
        <v>2</v>
      </c>
      <c r="AS19" s="1" t="s">
        <v>16</v>
      </c>
      <c r="AT19" s="1" t="s">
        <v>22</v>
      </c>
      <c r="AU19" t="b">
        <f>AND(SUMIFS($AN$8:$AN$1039,$O$8:$O$1039,AU7,$AB$8:$AB$1039,AS19,$R$8:$R$1039,AR19)&lt;=D13,SUMIFS($AO$8:$AO$1039,$O$8:$O$1039,AU7,$AB$8:$AB$1039,AS19,$R$8:$R$1039,AR19)&lt;=D19)</f>
        <v>1</v>
      </c>
      <c r="AV19" t="b">
        <f>AND(SUMIFS($AN$8:$AN$1039,$O$8:$O$1039,AV7,$AB$8:$AB$1039,AS19,$R$8:$R$1039,AR19)&lt;=D25,SUMIFS($AO$8:$AO$1039,$O$8:$O$1039,AV7,$AB$8:$AB$1039,AS19,$R$8:$R$1039,AR19)&lt;=D31)</f>
        <v>1</v>
      </c>
      <c r="AW19" t="b">
        <f>AND(SUMIFS($AN$8:$AN$1039,$O$8:$O$1039,AW7,$AB$8:$AB$1039,AS19,$R$8:$R$1039,AR19)&lt;=D37,SUMIFS($AO$8:$AO$1039,$O$8:$O$1039,AW7,$AB$8:$AB$1039,AS19,$R$8:$R$1039,AR19)&lt;=D43)</f>
        <v>1</v>
      </c>
      <c r="AX19" t="b">
        <f>AND(SUMIFS($AN$8:$AN$1039,$O$8:$O$1039,AX7,$AB$8:$AB$1039,AS19,$R$8:$R$1039,AR19)&lt;=D49,SUMIFS($AO$8:$AO$1039,$O$8:$O$1039,AX7,$AB$8:$AB$1039,AS19,$R$8:$R$1039,AR19)&lt;=D55)</f>
        <v>1</v>
      </c>
      <c r="AY19" t="b">
        <f>AND(SUMIFS($AN$8:$AN$1039,$O$8:$O$1039,AY7,$AB$8:$AB$1039,AS19,$R$8:$R$1039,AR19)&lt;=D61,SUMIFS($AO$8:$AO$1039,$O$8:$O$1039,AY7,$AB$8:$AB$1039,AS19,$R$8:$R$1039,AR19)&lt;=D67)</f>
        <v>1</v>
      </c>
      <c r="AZ19" t="b">
        <f>AND(SUMIFS($AN$8:$AN$1039,$O$8:$O$1039,AZ7,$AB$8:$AB$1039,AS19,$R$8:$R$1039,AR19)&lt;=D73,SUMIFS($AO$8:$AO$1039,$O$8:$O$1039,AZ7,$AB$8:$AB$1039,AS19,$R$8:$R$1039,AR19)&lt;=D79)</f>
        <v>1</v>
      </c>
      <c r="BA19" t="b">
        <f>AND(SUMIFS($AN$8:$AN$1039,$O$8:$O$1039,BA7,$AB$8:$AB$1039,AS19,$R$8:$R$1039,AR19)&lt;=D85,SUMIFS($AO$8:$AO$1039,$O$8:$O$1039,BA7,$AB$8:$AB$1039,AS19,$R$8:$R$1039,AR19)&lt;=D91)</f>
        <v>1</v>
      </c>
      <c r="BB19" t="b">
        <f>AND(SUMIFS($AN$8:$AN$1039,$O$8:$O$1039,BB7,$AB$8:$AB$1039,AS19,$R$8:$R$1039,AR19)&lt;=D97,SUMIFS($AO$8:$AO$1039,$O$8:$O$1039,BB7,$AB$8:$AB$1039,AS19,$R$8:$R$1039,AR19)&lt;=D103)</f>
        <v>1</v>
      </c>
    </row>
    <row r="20" spans="1:54" ht="14.25" x14ac:dyDescent="0.45">
      <c r="A20" s="85" t="s">
        <v>23</v>
      </c>
      <c r="B20" s="31" t="s">
        <v>10</v>
      </c>
      <c r="C20" s="45"/>
      <c r="D20" s="45"/>
      <c r="E20" s="45"/>
      <c r="F20" cm="1">
        <f t="array" ref="F20">SUM(C20:C31*data!$B$3:$B$14)</f>
        <v>0</v>
      </c>
      <c r="G20" cm="1">
        <f t="array" ref="G20">SUM(D20:D31*data!$B$3:$B$14)</f>
        <v>0</v>
      </c>
      <c r="H20" cm="1">
        <f t="array" ref="H20">SUM(E20:E31*data!$B$3:$B$14)</f>
        <v>0</v>
      </c>
      <c r="I20" s="64" t="s">
        <v>156</v>
      </c>
      <c r="O20" s="43" t="s">
        <v>11</v>
      </c>
      <c r="P20" s="43">
        <v>1</v>
      </c>
      <c r="Q20" s="43">
        <v>5</v>
      </c>
      <c r="R20" s="43">
        <v>1</v>
      </c>
      <c r="S20" s="45"/>
      <c r="T20" t="b">
        <f>(S20+S21+S22)=N2</f>
        <v>0</v>
      </c>
      <c r="X20" s="1">
        <f t="shared" si="5"/>
        <v>0</v>
      </c>
      <c r="Y20" s="48">
        <v>0</v>
      </c>
      <c r="AA20" s="1">
        <v>11</v>
      </c>
      <c r="AB20" s="1" t="s">
        <v>16</v>
      </c>
      <c r="AC20" s="1" t="s">
        <v>22</v>
      </c>
      <c r="AD20" s="1">
        <v>12</v>
      </c>
      <c r="AE20" s="1">
        <v>9</v>
      </c>
      <c r="AF20" s="1">
        <v>0.8</v>
      </c>
      <c r="AG20" s="1">
        <v>0.9</v>
      </c>
      <c r="AH20" s="1">
        <v>0</v>
      </c>
      <c r="AI20" s="1">
        <v>0</v>
      </c>
      <c r="AJ20" s="1">
        <f t="shared" si="1"/>
        <v>0</v>
      </c>
      <c r="AK20" s="1">
        <f>C13</f>
        <v>90</v>
      </c>
      <c r="AL20" s="1">
        <f>C19</f>
        <v>0</v>
      </c>
      <c r="AM20" s="1">
        <f t="shared" si="2"/>
        <v>0</v>
      </c>
      <c r="AN20" s="1">
        <f t="shared" si="3"/>
        <v>0</v>
      </c>
      <c r="AO20" s="1">
        <f t="shared" si="4"/>
        <v>0</v>
      </c>
      <c r="AP20" t="b" cm="1">
        <f t="array" ref="AP20">INDEX($AU$8:$BB$25,6*(R20-1)+MATCH(AB20,$AS$8:$AS$13,0),MATCH(O20,$AU$7:$BB$7,0))</f>
        <v>1</v>
      </c>
      <c r="AR20" s="1">
        <v>3</v>
      </c>
      <c r="AS20" s="1" t="s">
        <v>10</v>
      </c>
      <c r="AT20" s="1" t="s">
        <v>17</v>
      </c>
      <c r="AU20" t="b">
        <f>AND(SUMIFS($AN$8:$AN$1039,$O$8:$O$1039,AU7,$AB$8:$AB$1039,AS20,$R$8:$R$1039,AR20)&lt;=E8,SUMIFS($AO$8:$AO$1039,$O$8:$O$1039,AU7,$AB$8:$AB$1039,AS20,$R$8:$R$1039,AR20)&lt;=E14)</f>
        <v>1</v>
      </c>
      <c r="AV20" t="b">
        <f>AND(SUMIFS($AN$8:$AN$1039,$O$8:$O$1039,AV7,$AB$8:$AB$1039,AS20,$R$8:$R$1039,AR20)&lt;=E20,SUMIFS($AO$8:$AO$1039,$O$8:$O$1039,AV7,$AB$8:$AB$1039,AS20,$R$8:$R$1039,AR20)&lt;=E26)</f>
        <v>1</v>
      </c>
      <c r="AW20" t="b">
        <f>AND(SUMIFS($AN$8:$AN$1039,$O$8:$O$1039,AW7,$AB$8:$AB$1039,AS20,$R$8:$R$1039,AR20)&lt;=E32,SUMIFS($AO$8:$AO$1039,$O$8:$O$1039,AW7,$AB$8:$AB$1039,AS20,$R$8:$R$1039,AR20)&lt;=E38)</f>
        <v>1</v>
      </c>
      <c r="AX20" t="b">
        <f>AND(SUMIFS($AN$8:$AN$1039,$O$8:$O$1039,AX7,$AB$8:$AB$1039,AS20,$R$8:$R$1039,AR20)&lt;=E44,SUMIFS($AO$8:$AO$1039,$O$8:$O$1039,AX7,$AB$8:$AB$1039,AS20,$R$8:$R$1039,AR20)&lt;=E50)</f>
        <v>1</v>
      </c>
      <c r="AY20" t="b">
        <f>AND(SUMIFS($AN$8:$AN$1039,$O$8:$O$1039,AY7,$AB$8:$AB$1039,AS20,$R$8:$R$1039,AR20)&lt;=E56,SUMIFS($AO$8:$AO$1039,$O$8:$O$1039,AY7,$AB$8:$AB$1039,AS20,$R$8:$R$1039,AR20)&lt;=E62)</f>
        <v>1</v>
      </c>
      <c r="AZ20" t="b">
        <f>AND(SUMIFS($AN$8:$AN$1039,$O$8:$O$1039,AZ7,$AB$8:$AB$1039,AS20,$R$8:$R$1039,AR20)&lt;=E68,SUMIFS($AO$8:$AO$1039,$O$8:$O$1039,AZ7,$AB$8:$AB$1039,AS20,$R$8:$R$1039,AR20)&lt;=E74)</f>
        <v>1</v>
      </c>
      <c r="BA20" t="b">
        <f>AND(SUMIFS($AN$8:$AN$1039,$O$8:$O$1039,BA7,$AB$8:$AB$1039,AS20,$R$8:$R$1039,AR20)&lt;=E80,SUMIFS($AO$8:$AO$1039,$O$8:$O$1039,BA7,$AB$8:$AB$1039,AS20,$R$8:$R$1039,AR20)&lt;=E86)</f>
        <v>1</v>
      </c>
      <c r="BB20" t="b">
        <f>AND(SUMIFS($AN$8:$AN$1039,$O$8:$O$1039,BB7,$AB$8:$AB$1039,AS20,$R$8:$R$1039,AR20)&lt;=E92,SUMIFS($AO$8:$AO$1039,$O$8:$O$1039,BB7,$AB$8:$AB$1039,AS20,$R$8:$R$1039,AR20)&lt;=E98)</f>
        <v>1</v>
      </c>
    </row>
    <row r="21" spans="1:54" ht="14.55" customHeight="1" x14ac:dyDescent="0.45">
      <c r="A21" s="85"/>
      <c r="B21" s="31" t="s">
        <v>12</v>
      </c>
      <c r="C21" s="45"/>
      <c r="D21" s="45"/>
      <c r="E21" s="45"/>
      <c r="I21" s="64"/>
      <c r="O21" s="43" t="s">
        <v>11</v>
      </c>
      <c r="P21" s="43">
        <v>1</v>
      </c>
      <c r="Q21" s="43">
        <v>5</v>
      </c>
      <c r="R21" s="43">
        <v>2</v>
      </c>
      <c r="S21" s="45"/>
      <c r="T21" t="b">
        <f>(S20+S21+S22)=N2</f>
        <v>0</v>
      </c>
      <c r="X21" s="1">
        <f t="shared" si="5"/>
        <v>0</v>
      </c>
      <c r="Y21" s="48">
        <v>0</v>
      </c>
      <c r="AA21" s="1">
        <v>11</v>
      </c>
      <c r="AB21" s="1" t="s">
        <v>16</v>
      </c>
      <c r="AC21" s="1" t="s">
        <v>22</v>
      </c>
      <c r="AD21" s="1">
        <v>12</v>
      </c>
      <c r="AE21" s="1">
        <v>9</v>
      </c>
      <c r="AF21" s="1">
        <v>0.8</v>
      </c>
      <c r="AG21" s="1">
        <v>0.9</v>
      </c>
      <c r="AH21" s="1">
        <v>0</v>
      </c>
      <c r="AI21" s="1">
        <v>0</v>
      </c>
      <c r="AJ21" s="1">
        <f t="shared" si="1"/>
        <v>0</v>
      </c>
      <c r="AK21" s="1">
        <f>D13</f>
        <v>60</v>
      </c>
      <c r="AL21" s="1">
        <f>D19</f>
        <v>0</v>
      </c>
      <c r="AM21" s="1">
        <f t="shared" si="2"/>
        <v>0</v>
      </c>
      <c r="AN21" s="1">
        <f t="shared" si="3"/>
        <v>0</v>
      </c>
      <c r="AO21" s="1">
        <f t="shared" si="4"/>
        <v>0</v>
      </c>
      <c r="AP21" t="b" cm="1">
        <f t="array" ref="AP21">INDEX($AU$8:$BB$25,6*(R21-1)+MATCH(AB21,$AS$8:$AS$13,0),MATCH(O21,$AU$7:$BB$7,0))</f>
        <v>1</v>
      </c>
      <c r="AR21" s="1">
        <v>3</v>
      </c>
      <c r="AS21" s="1" t="s">
        <v>12</v>
      </c>
      <c r="AT21" s="1" t="s">
        <v>18</v>
      </c>
      <c r="AU21" t="b">
        <f>AND(SUMIFS($AN$8:$AN$1039,$O$8:$O$1039,AU7,$AB$8:$AB$1039,AS21,$R$8:$R$1039,AR21)&lt;=E9,SUMIFS($AO$8:$AO$1039,$O$8:$O$1039,AU7,$AB$8:$AB$1039,AS21,$R$8:$R$1039,AR21)&lt;=E15)</f>
        <v>1</v>
      </c>
      <c r="AV21" t="b">
        <f>AND(SUMIFS($AN$8:$AN$1039,$O$8:$O$1039,AV7,$AB$8:$AB$1039,AS21,$R$8:$R$1039,AR21)&lt;=E21,SUMIFS($AO$8:$AO$1039,$O$8:$O$1039,AV7,$AB$8:$AB$1039,AS21,$R$8:$R$1039,AR21)&lt;=E27)</f>
        <v>1</v>
      </c>
      <c r="AW21" t="b">
        <f>AND(SUMIFS($AN$8:$AN$1039,$O$8:$O$1039,AW7,$AB$8:$AB$1039,AS21,$R$8:$R$1039,AR21)&lt;=E33,SUMIFS($AO$8:$AO$1039,$O$8:$O$1039,AW7,$AB$8:$AB$1039,AS21,$R$8:$R$1039,AR21)&lt;=E39)</f>
        <v>1</v>
      </c>
      <c r="AX21" t="b">
        <f>AND(SUMIFS($AN$8:$AN$1039,$O$8:$O$1039,AX7,$AB$8:$AB$1039,AS21,$R$8:$R$1039,AR21)&lt;=E45,SUMIFS($AO$8:$AO$1039,$O$8:$O$1039,AX7,$AB$8:$AB$1039,AS21,$R$8:$R$1039,AR21)&lt;=E51)</f>
        <v>1</v>
      </c>
      <c r="AY21" t="b">
        <f>AND(SUMIFS($AN$8:$AN$1039,$O$8:$O$1039,AY7,$AB$8:$AB$1039,AS21,$R$8:$R$1039,AR21)&lt;=E57,SUMIFS($AO$8:$AO$1039,$O$8:$O$1039,AY7,$AB$8:$AB$1039,AS21,$R$8:$R$1039,AR21)&lt;=E63)</f>
        <v>1</v>
      </c>
      <c r="AZ21" t="b">
        <f>AND(SUMIFS($AN$8:$AN$1039,$O$8:$O$1039,AZ7,$AB$8:$AB$1039,AS21,$R$8:$R$1039,AR21)&lt;=E69,SUMIFS($AO$8:$AO$1039,$O$8:$O$1039,AZ7,$AB$8:$AB$1039,AS21,$R$8:$R$1039,AR21)&lt;=E75)</f>
        <v>1</v>
      </c>
      <c r="BA21" t="b">
        <f>AND(SUMIFS($AN$8:$AN$1039,$O$8:$O$1039,BA7,$AB$8:$AB$1039,AS21,$R$8:$R$1039,AR21)&lt;=E81,SUMIFS($AO$8:$AO$1039,$O$8:$O$1039,BA7,$AB$8:$AB$1039,AS21,$R$8:$R$1039,AR21)&lt;=E87)</f>
        <v>1</v>
      </c>
      <c r="BB21" t="b">
        <f>AND(SUMIFS($AN$8:$AN$1039,$O$8:$O$1039,BB7,$AB$8:$AB$1039,AS21,$R$8:$R$1039,AR21)&lt;=E93,SUMIFS($AO$8:$AO$1039,$O$8:$O$1039,BB7,$AB$8:$AB$1039,AS21,$R$8:$R$1039,AR21)&lt;=E99)</f>
        <v>1</v>
      </c>
    </row>
    <row r="22" spans="1:54" ht="14.55" customHeight="1" x14ac:dyDescent="0.45">
      <c r="A22" s="85"/>
      <c r="B22" s="31" t="s">
        <v>13</v>
      </c>
      <c r="C22" s="45"/>
      <c r="D22" s="45"/>
      <c r="E22" s="45"/>
      <c r="F22" s="84" t="s">
        <v>137</v>
      </c>
      <c r="G22" s="84"/>
      <c r="I22" s="64"/>
      <c r="O22" s="43" t="s">
        <v>11</v>
      </c>
      <c r="P22" s="43">
        <v>1</v>
      </c>
      <c r="Q22" s="43">
        <v>5</v>
      </c>
      <c r="R22" s="43">
        <v>3</v>
      </c>
      <c r="S22" s="45"/>
      <c r="T22" t="b">
        <f>(S20+S21+S22)=N2</f>
        <v>0</v>
      </c>
      <c r="X22" s="1">
        <f t="shared" si="5"/>
        <v>0</v>
      </c>
      <c r="Y22" s="48">
        <v>0</v>
      </c>
      <c r="AA22" s="1">
        <v>11</v>
      </c>
      <c r="AB22" s="1" t="s">
        <v>16</v>
      </c>
      <c r="AC22" s="1" t="s">
        <v>22</v>
      </c>
      <c r="AD22" s="1">
        <v>12</v>
      </c>
      <c r="AE22" s="1">
        <v>9</v>
      </c>
      <c r="AF22" s="1">
        <v>0.8</v>
      </c>
      <c r="AG22" s="1">
        <v>0.9</v>
      </c>
      <c r="AH22" s="1">
        <v>0</v>
      </c>
      <c r="AI22" s="1">
        <v>0</v>
      </c>
      <c r="AJ22" s="1">
        <f t="shared" si="1"/>
        <v>0</v>
      </c>
      <c r="AK22" s="1">
        <f>E13</f>
        <v>36</v>
      </c>
      <c r="AL22" s="1">
        <f>E19</f>
        <v>0</v>
      </c>
      <c r="AM22" s="1">
        <f t="shared" si="2"/>
        <v>0</v>
      </c>
      <c r="AN22" s="1">
        <f t="shared" si="3"/>
        <v>0</v>
      </c>
      <c r="AO22" s="1">
        <f t="shared" si="4"/>
        <v>0</v>
      </c>
      <c r="AP22" t="b" cm="1">
        <f t="array" ref="AP22">INDEX($AU$8:$BB$25,6*(R22-1)+MATCH(AB22,$AS$8:$AS$13,0),MATCH(O22,$AU$7:$BB$7,0))</f>
        <v>1</v>
      </c>
      <c r="AR22" s="1">
        <v>3</v>
      </c>
      <c r="AS22" s="1" t="s">
        <v>13</v>
      </c>
      <c r="AT22" s="1" t="s">
        <v>19</v>
      </c>
      <c r="AU22" t="b">
        <f>AND(SUMIFS($AN$8:$AN$1039,$O$8:$O$1039,AU7,$AB$8:$AB$1039,AS22,$R$8:$R$1039,AR22)&lt;=E10,SUMIFS($AO$8:$AO$1039,$O$8:$O$1039,AU7,$AB$8:$AB$1039,AS22,$R$8:$R$1039,AR22)&lt;=E16)</f>
        <v>1</v>
      </c>
      <c r="AV22" t="b">
        <f>AND(SUMIFS($AN$8:$AN$1039,$O$8:$O$1039,AV7,$AB$8:$AB$1039,AS22,$R$8:$R$1039,AR22)&lt;=E22,SUMIFS($AO$8:$AO$1039,$O$8:$O$1039,AV7,$AB$8:$AB$1039,AS22,$R$8:$R$1039,AR22)&lt;=E28)</f>
        <v>1</v>
      </c>
      <c r="AW22" t="b">
        <f>AND(SUMIFS($AN$8:$AN$1039,$O$8:$O$1039,AW7,$AB$8:$AB$1039,AS22,$R$8:$R$1039,AR22)&lt;=E34,SUMIFS($AO$8:$AO$1039,$O$8:$O$1039,AW7,$AB$8:$AB$1039,AS22,$R$8:$R$1039,AR22)&lt;=E40)</f>
        <v>1</v>
      </c>
      <c r="AX22" t="b">
        <f>AND(SUMIFS($AN$8:$AN$1039,$O$8:$O$1039,AX7,$AB$8:$AB$1039,AS22,$R$8:$R$1039,AR22)&lt;=E46,SUMIFS($AO$8:$AO$1039,$O$8:$O$1039,AX7,$AB$8:$AB$1039,AS22,$R$8:$R$1039,AR22)&lt;=E52)</f>
        <v>1</v>
      </c>
      <c r="AY22" t="b">
        <f>AND(SUMIFS($AN$8:$AN$1039,$O$8:$O$1039,AY7,$AB$8:$AB$1039,AS22,$R$8:$R$1039,AR22)&lt;=E58,SUMIFS($AO$8:$AO$1039,$O$8:$O$1039,AY7,$AB$8:$AB$1039,AS22,$R$8:$R$1039,AR22)&lt;=E64)</f>
        <v>1</v>
      </c>
      <c r="AZ22" t="b">
        <f>AND(SUMIFS($AN$8:$AN$1039,$O$8:$O$1039,AZ7,$AB$8:$AB$1039,AS22,$R$8:$R$1039,AR22)&lt;=E70,SUMIFS($AO$8:$AO$1039,$O$8:$O$1039,AZ7,$AB$8:$AB$1039,AS22,$R$8:$R$1039,AR22)&lt;=E76)</f>
        <v>1</v>
      </c>
      <c r="BA22" t="b">
        <f>AND(SUMIFS($AN$8:$AN$1039,$O$8:$O$1039,BA7,$AB$8:$AB$1039,AS22,$R$8:$R$1039,AR22)&lt;=E82,SUMIFS($AO$8:$AO$1039,$O$8:$O$1039,BA7,$AB$8:$AB$1039,AS22,$R$8:$R$1039,AR22)&lt;=E88)</f>
        <v>1</v>
      </c>
      <c r="BB22" t="b">
        <f>AND(SUMIFS($AN$8:$AN$1039,$O$8:$O$1039,BB7,$AB$8:$AB$1039,AS22,$R$8:$R$1039,AR22)&lt;=E94,SUMIFS($AO$8:$AO$1039,$O$8:$O$1039,BB7,$AB$8:$AB$1039,AS22,$R$8:$R$1039,AR22)&lt;=E100)</f>
        <v>1</v>
      </c>
    </row>
    <row r="23" spans="1:54" ht="14.55" customHeight="1" x14ac:dyDescent="0.45">
      <c r="A23" s="85"/>
      <c r="B23" s="31" t="s">
        <v>14</v>
      </c>
      <c r="C23" s="45"/>
      <c r="D23" s="45"/>
      <c r="E23" s="45"/>
      <c r="F23" s="83" cm="1">
        <f t="array" ref="F23">SUM(
     _xlfn.BYROW(
           IF(C20:E31-C8:E19&gt;0, C20:E31-C8:E19, 0),
           _xleta.SUM)
     *data!$C$3:$C$14
)</f>
        <v>0</v>
      </c>
      <c r="G23" s="83"/>
      <c r="I23" s="64"/>
      <c r="O23" s="43" t="s">
        <v>11</v>
      </c>
      <c r="P23" s="43">
        <v>1</v>
      </c>
      <c r="Q23" s="43">
        <v>6</v>
      </c>
      <c r="R23" s="43">
        <v>1</v>
      </c>
      <c r="S23" s="45"/>
      <c r="T23" t="b">
        <f>(S23+S24+S25)=N2</f>
        <v>0</v>
      </c>
      <c r="X23" s="1">
        <f t="shared" si="5"/>
        <v>0</v>
      </c>
      <c r="Y23" s="48">
        <v>0</v>
      </c>
      <c r="AA23" s="1">
        <v>7</v>
      </c>
      <c r="AB23" s="1" t="s">
        <v>14</v>
      </c>
      <c r="AC23" s="1" t="s">
        <v>20</v>
      </c>
      <c r="AD23" s="1">
        <v>27</v>
      </c>
      <c r="AE23" s="1">
        <v>21</v>
      </c>
      <c r="AF23" s="1">
        <v>0.8</v>
      </c>
      <c r="AG23" s="1">
        <v>0.88</v>
      </c>
      <c r="AH23" s="1">
        <v>0</v>
      </c>
      <c r="AI23" s="1">
        <v>0</v>
      </c>
      <c r="AJ23" s="1">
        <f t="shared" si="1"/>
        <v>0</v>
      </c>
      <c r="AK23" s="1">
        <f>C11</f>
        <v>50</v>
      </c>
      <c r="AL23" s="1">
        <f>C17</f>
        <v>0</v>
      </c>
      <c r="AM23" s="1">
        <f t="shared" si="2"/>
        <v>0</v>
      </c>
      <c r="AN23" s="1">
        <f t="shared" si="3"/>
        <v>0</v>
      </c>
      <c r="AO23" s="1">
        <f t="shared" si="4"/>
        <v>0</v>
      </c>
      <c r="AP23" t="b" cm="1">
        <f t="array" ref="AP23">INDEX($AU$8:$BB$25,6*(R23-1)+MATCH(AB23,$AS$8:$AS$13,0),MATCH(O23,$AU$7:$BB$7,0))</f>
        <v>1</v>
      </c>
      <c r="AR23" s="1">
        <v>3</v>
      </c>
      <c r="AS23" s="1" t="s">
        <v>14</v>
      </c>
      <c r="AT23" s="1" t="s">
        <v>20</v>
      </c>
      <c r="AU23" t="b">
        <f>AND(SUMIFS($AN$8:$AN$1039,$O$8:$O$1039,AU7,$AB$8:$AB$1039,AS23,$R$8:$R$1039,AR23)&lt;=E11,SUMIFS($AO$8:$AO$1039,$O$8:$O$1039,AU7,$AB$8:$AB$1039,AS23,$R$8:$R$1039,AR23)&lt;=E17)</f>
        <v>1</v>
      </c>
      <c r="AV23" t="b">
        <f>AND(SUMIFS($AN$8:$AN$1039,$O$8:$O$1039,AV7,$AB$8:$AB$1039,AS23,$R$8:$R$1039,AR23)&lt;=E23,SUMIFS($AO$8:$AO$1039,$O$8:$O$1039,AV7,$AB$8:$AB$1039,AS23,$R$8:$R$1039,AR23)&lt;=E29)</f>
        <v>1</v>
      </c>
      <c r="AW23" t="b">
        <f>AND(SUMIFS($AN$8:$AN$1039,$O$8:$O$1039,AW7,$AB$8:$AB$1039,AS23,$R$8:$R$1039,AR23)&lt;=E35,SUMIFS($AO$8:$AO$1039,$O$8:$O$1039,AW7,$AB$8:$AB$1039,AS23,$R$8:$R$1039,AR23)&lt;=E41)</f>
        <v>1</v>
      </c>
      <c r="AX23" t="b">
        <f>AND(SUMIFS($AN$8:$AN$1039,$O$8:$O$1039,AX7,$AB$8:$AB$1039,AS23,$R$8:$R$1039,AR23)&lt;=E47,SUMIFS($AO$8:$AO$1039,$O$8:$O$1039,AX7,$AB$8:$AB$1039,AS23,$R$8:$R$1039,AR23)&lt;=E53)</f>
        <v>1</v>
      </c>
      <c r="AY23" t="b">
        <f>AND(SUMIFS($AN$8:$AN$1039,$O$8:$O$1039,AY7,$AB$8:$AB$1039,AS23,$R$8:$R$1039,AR23)&lt;=E59,SUMIFS($AO$8:$AO$1039,$O$8:$O$1039,AY7,$AB$8:$AB$1039,AS23,$R$8:$R$1039,AR23)&lt;=E65)</f>
        <v>1</v>
      </c>
      <c r="AZ23" t="b">
        <f>AND(SUMIFS($AN$8:$AN$1039,$O$8:$O$1039,AZ7,$AB$8:$AB$1039,AS23,$R$8:$R$1039,AR23)&lt;=E71,SUMIFS($AO$8:$AO$1039,$O$8:$O$1039,AZ7,$AB$8:$AB$1039,AS23,$R$8:$R$1039,AR23)&lt;=E77)</f>
        <v>1</v>
      </c>
      <c r="BA23" t="b">
        <f>AND(SUMIFS($AN$8:$AN$1039,$O$8:$O$1039,BA7,$AB$8:$AB$1039,AS23,$R$8:$R$1039,AR23)&lt;=E83,SUMIFS($AO$8:$AO$1039,$O$8:$O$1039,BA7,$AB$8:$AB$1039,AS23,$R$8:$R$1039,AR23)&lt;=E89)</f>
        <v>1</v>
      </c>
      <c r="BB23" t="b">
        <f>AND(SUMIFS($AN$8:$AN$1039,$O$8:$O$1039,BB7,$AB$8:$AB$1039,AS23,$R$8:$R$1039,AR23)&lt;=E95,SUMIFS($AO$8:$AO$1039,$O$8:$O$1039,BB7,$AB$8:$AB$1039,AS23,$R$8:$R$1039,AR23)&lt;=E101)</f>
        <v>1</v>
      </c>
    </row>
    <row r="24" spans="1:54" ht="14.55" customHeight="1" x14ac:dyDescent="0.45">
      <c r="A24" s="85"/>
      <c r="B24" s="31" t="s">
        <v>15</v>
      </c>
      <c r="C24" s="45"/>
      <c r="D24" s="45"/>
      <c r="E24" s="45"/>
      <c r="F24" s="84" t="s">
        <v>138</v>
      </c>
      <c r="G24" s="84"/>
      <c r="I24" s="64"/>
      <c r="O24" s="43" t="s">
        <v>11</v>
      </c>
      <c r="P24" s="43">
        <v>1</v>
      </c>
      <c r="Q24" s="43">
        <v>6</v>
      </c>
      <c r="R24" s="43">
        <v>2</v>
      </c>
      <c r="S24" s="45"/>
      <c r="T24" t="b">
        <f>(S23+S24+S25)=N2</f>
        <v>0</v>
      </c>
      <c r="X24" s="1">
        <f t="shared" si="5"/>
        <v>0</v>
      </c>
      <c r="Y24" s="48">
        <v>0</v>
      </c>
      <c r="AA24" s="1">
        <v>7</v>
      </c>
      <c r="AB24" s="1" t="s">
        <v>14</v>
      </c>
      <c r="AC24" s="1" t="s">
        <v>20</v>
      </c>
      <c r="AD24" s="1">
        <v>27</v>
      </c>
      <c r="AE24" s="1">
        <v>21</v>
      </c>
      <c r="AF24" s="1">
        <v>0.8</v>
      </c>
      <c r="AG24" s="1">
        <v>0.88</v>
      </c>
      <c r="AH24" s="1">
        <v>0</v>
      </c>
      <c r="AI24" s="1">
        <v>0</v>
      </c>
      <c r="AJ24" s="1">
        <f t="shared" si="1"/>
        <v>0</v>
      </c>
      <c r="AK24" s="1">
        <f>D11</f>
        <v>50</v>
      </c>
      <c r="AL24" s="1">
        <f>D17</f>
        <v>0</v>
      </c>
      <c r="AM24" s="1">
        <f t="shared" si="2"/>
        <v>0</v>
      </c>
      <c r="AN24" s="1">
        <f t="shared" si="3"/>
        <v>0</v>
      </c>
      <c r="AO24" s="1">
        <f t="shared" si="4"/>
        <v>0</v>
      </c>
      <c r="AP24" t="b" cm="1">
        <f t="array" ref="AP24">INDEX($AU$8:$BB$25,6*(R24-1)+MATCH(AB24,$AS$8:$AS$13,0),MATCH(O24,$AU$7:$BB$7,0))</f>
        <v>1</v>
      </c>
      <c r="AR24" s="1">
        <v>3</v>
      </c>
      <c r="AS24" s="1" t="s">
        <v>15</v>
      </c>
      <c r="AT24" s="1" t="s">
        <v>21</v>
      </c>
      <c r="AU24" t="b">
        <f>AND(SUMIFS($AN$8:$AN$1039,$O$8:$O$1039,AU7,$AB$8:$AB$1039,AS24,$R$8:$R$1039,AR24)&lt;=E12,SUMIFS($AO$8:$AO$1039,$O$8:$O$1039,AU7,$AB$8:$AB$1039,AS24,$R$8:$R$1039,AR24)&lt;=E18)</f>
        <v>1</v>
      </c>
      <c r="AV24" t="b">
        <f>AND(SUMIFS($AN$8:$AN$1039,$O$8:$O$1039,AV7,$AB$8:$AB$1039,AS24,$R$8:$R$1039,AR24)&lt;=E24,SUMIFS($AO$8:$AO$1039,$O$8:$O$1039,AV7,$AB$8:$AB$1039,AS24,$R$8:$R$1039,AR24)&lt;=E30)</f>
        <v>1</v>
      </c>
      <c r="AW24" t="b">
        <f>AND(SUMIFS($AN$8:$AN$1039,$O$8:$O$1039,AW7,$AB$8:$AB$1039,AS24,$R$8:$R$1039,AR24)&lt;=E36,SUMIFS($AO$8:$AO$1039,$O$8:$O$1039,AW7,$AB$8:$AB$1039,AS24,$R$8:$R$1039,AR24)&lt;=E42)</f>
        <v>1</v>
      </c>
      <c r="AX24" t="b">
        <f>AND(SUMIFS($AN$8:$AN$1039,$O$8:$O$1039,AX7,$AB$8:$AB$1039,AS24,$R$8:$R$1039,AR24)&lt;=E48,SUMIFS($AO$8:$AO$1039,$O$8:$O$1039,AX7,$AB$8:$AB$1039,AS24,$R$8:$R$1039,AR24)&lt;=E54)</f>
        <v>1</v>
      </c>
      <c r="AY24" t="b">
        <f>AND(SUMIFS($AN$8:$AN$1039,$O$8:$O$1039,AY7,$AB$8:$AB$1039,AS24,$R$8:$R$1039,AR24)&lt;=E60,SUMIFS($AO$8:$AO$1039,$O$8:$O$1039,AY7,$AB$8:$AB$1039,AS24,$R$8:$R$1039,AR24)&lt;=E66)</f>
        <v>1</v>
      </c>
      <c r="AZ24" t="b">
        <f>AND(SUMIFS($AN$8:$AN$1039,$O$8:$O$1039,AZ7,$AB$8:$AB$1039,AS24,$R$8:$R$1039,AR24)&lt;=E72,SUMIFS($AO$8:$AO$1039,$O$8:$O$1039,AZ7,$AB$8:$AB$1039,AS24,$R$8:$R$1039,AR24)&lt;=E78)</f>
        <v>1</v>
      </c>
      <c r="BA24" t="b">
        <f>AND(SUMIFS($AN$8:$AN$1039,$O$8:$O$1039,BA7,$AB$8:$AB$1039,AS24,$R$8:$R$1039,AR24)&lt;=E84,SUMIFS($AO$8:$AO$1039,$O$8:$O$1039,BA7,$AB$8:$AB$1039,AS24,$R$8:$R$1039,AR24)&lt;=E90)</f>
        <v>1</v>
      </c>
      <c r="BB24" t="b">
        <f>AND(SUMIFS($AN$8:$AN$1039,$O$8:$O$1039,BB7,$AB$8:$AB$1039,AS24,$R$8:$R$1039,AR24)&lt;=E96,SUMIFS($AO$8:$AO$1039,$O$8:$O$1039,BB7,$AB$8:$AB$1039,AS24,$R$8:$R$1039,AR24)&lt;=E102)</f>
        <v>1</v>
      </c>
    </row>
    <row r="25" spans="1:54" ht="14.55" customHeight="1" x14ac:dyDescent="0.45">
      <c r="A25" s="85"/>
      <c r="B25" s="31" t="s">
        <v>16</v>
      </c>
      <c r="C25" s="45"/>
      <c r="D25" s="45"/>
      <c r="E25" s="45"/>
      <c r="F25" s="83" cm="1">
        <f t="array" ref="F25">SUM(
     _xlfn.BYROW(
           IF(C20:E31-C8:E19&lt;0, C20:E31-C8:E19, 0),
           _xleta.SUM)
     * -1000000
)</f>
        <v>587000000</v>
      </c>
      <c r="G25" s="83"/>
      <c r="I25" s="64"/>
      <c r="O25" s="43" t="s">
        <v>11</v>
      </c>
      <c r="P25" s="43">
        <v>1</v>
      </c>
      <c r="Q25" s="43">
        <v>6</v>
      </c>
      <c r="R25" s="43">
        <v>3</v>
      </c>
      <c r="S25" s="45"/>
      <c r="T25" t="b">
        <f>(S23+S24+S25)=N2</f>
        <v>0</v>
      </c>
      <c r="X25" s="1">
        <f t="shared" si="5"/>
        <v>0</v>
      </c>
      <c r="Y25" s="48">
        <v>0</v>
      </c>
      <c r="AA25" s="1">
        <v>7</v>
      </c>
      <c r="AB25" s="1" t="s">
        <v>14</v>
      </c>
      <c r="AC25" s="1" t="s">
        <v>20</v>
      </c>
      <c r="AD25" s="1">
        <v>27</v>
      </c>
      <c r="AE25" s="1">
        <v>21</v>
      </c>
      <c r="AF25" s="1">
        <v>0.8</v>
      </c>
      <c r="AG25" s="1">
        <v>0.88</v>
      </c>
      <c r="AH25" s="1">
        <v>0</v>
      </c>
      <c r="AI25" s="1">
        <v>0</v>
      </c>
      <c r="AJ25" s="1">
        <f t="shared" si="1"/>
        <v>0</v>
      </c>
      <c r="AK25" s="1">
        <f>E11</f>
        <v>35</v>
      </c>
      <c r="AL25" s="1">
        <f>E17</f>
        <v>0</v>
      </c>
      <c r="AM25" s="1">
        <f t="shared" si="2"/>
        <v>0</v>
      </c>
      <c r="AN25" s="1">
        <f t="shared" si="3"/>
        <v>0</v>
      </c>
      <c r="AO25" s="1">
        <f t="shared" si="4"/>
        <v>0</v>
      </c>
      <c r="AP25" t="b" cm="1">
        <f t="array" ref="AP25">INDEX($AU$8:$BB$25,6*(R25-1)+MATCH(AB25,$AS$8:$AS$13,0),MATCH(O25,$AU$7:$BB$7,0))</f>
        <v>1</v>
      </c>
      <c r="AR25" s="1">
        <v>3</v>
      </c>
      <c r="AS25" s="1" t="s">
        <v>16</v>
      </c>
      <c r="AT25" s="1" t="s">
        <v>22</v>
      </c>
      <c r="AU25" t="b">
        <f>AND(SUMIFS($AN$8:$AN$1039,$O$8:$O$1039,AU7,$AB$8:$AB$1039,AS25,$R$8:$R$1039,AR25)&lt;=E13,SUMIFS($AO$8:$AO$1039,$O$8:$O$1039,AU7,$AB$8:$AB$1039,AS25,$R$8:$R$1039,AR25)&lt;=E19)</f>
        <v>1</v>
      </c>
      <c r="AV25" t="b">
        <f>AND(SUMIFS($AN$8:$AN$1039,$O$8:$O$1039,AV7,$AB$8:$AB$1039,AS25,$R$8:$R$1039,AR25)&lt;=E25,SUMIFS($AO$8:$AO$1039,$O$8:$O$1039,AV7,$AB$8:$AB$1039,AS25,$R$8:$R$1039,AR25)&lt;=E31)</f>
        <v>1</v>
      </c>
      <c r="AW25" t="b">
        <f>AND(SUMIFS($AN$8:$AN$1039,$O$8:$O$1039,AW7,$AB$8:$AB$1039,AS25,$R$8:$R$1039,AR25)&lt;=E37,SUMIFS($AO$8:$AO$1039,$O$8:$O$1039,AW7,$AB$8:$AB$1039,AS25,$R$8:$R$1039,AR25)&lt;=E43)</f>
        <v>1</v>
      </c>
      <c r="AX25" t="b">
        <f>AND(SUMIFS($AN$8:$AN$1039,$O$8:$O$1039,AX7,$AB$8:$AB$1039,AS25,$R$8:$R$1039,AR25)&lt;=E49,SUMIFS($AO$8:$AO$1039,$O$8:$O$1039,AX7,$AB$8:$AB$1039,AS25,$R$8:$R$1039,AR25)&lt;=E55)</f>
        <v>1</v>
      </c>
      <c r="AY25" t="b">
        <f>AND(SUMIFS($AN$8:$AN$1039,$O$8:$O$1039,AY7,$AB$8:$AB$1039,AS25,$R$8:$R$1039,AR25)&lt;=E61,SUMIFS($AO$8:$AO$1039,$O$8:$O$1039,AY7,$AB$8:$AB$1039,AS25,$R$8:$R$1039,AR25)&lt;=E67)</f>
        <v>1</v>
      </c>
      <c r="AZ25" t="b">
        <f>AND(SUMIFS($AN$8:$AN$1039,$O$8:$O$1039,AZ7,$AB$8:$AB$1039,AS25,$R$8:$R$1039,AR25)&lt;=E73,SUMIFS($AO$8:$AO$1039,$O$8:$O$1039,AZ7,$AB$8:$AB$1039,AS25,$R$8:$R$1039,AR25)&lt;=E79)</f>
        <v>1</v>
      </c>
      <c r="BA25" t="b">
        <f>AND(SUMIFS($AN$8:$AN$1039,$O$8:$O$1039,BA7,$AB$8:$AB$1039,AS25,$R$8:$R$1039,AR25)&lt;=E85,SUMIFS($AO$8:$AO$1039,$O$8:$O$1039,BA7,$AB$8:$AB$1039,AS25,$R$8:$R$1039,AR25)&lt;=E91)</f>
        <v>1</v>
      </c>
      <c r="BB25" t="b">
        <f>AND(SUMIFS($AN$8:$AN$1039,$O$8:$O$1039,BB7,$AB$8:$AB$1039,AS25,$R$8:$R$1039,AR25)&lt;=E97,SUMIFS($AO$8:$AO$1039,$O$8:$O$1039,BB7,$AB$8:$AB$1039,AS25,$R$8:$R$1039,AR25)&lt;=E103)</f>
        <v>1</v>
      </c>
    </row>
    <row r="26" spans="1:54" ht="14.55" customHeight="1" x14ac:dyDescent="0.45">
      <c r="A26" s="85"/>
      <c r="B26" s="31" t="s">
        <v>17</v>
      </c>
      <c r="C26" s="45"/>
      <c r="D26" s="45"/>
      <c r="E26" s="45"/>
      <c r="I26" s="64"/>
      <c r="O26" s="43" t="s">
        <v>11</v>
      </c>
      <c r="P26" s="43">
        <v>1</v>
      </c>
      <c r="Q26" s="43">
        <v>7</v>
      </c>
      <c r="R26" s="43">
        <v>1</v>
      </c>
      <c r="S26" s="45"/>
      <c r="T26" t="b">
        <f>(S26+S27+S28)=N2</f>
        <v>0</v>
      </c>
      <c r="X26" s="1">
        <f t="shared" si="5"/>
        <v>0</v>
      </c>
      <c r="Y26" s="48">
        <v>0</v>
      </c>
      <c r="AA26" s="1">
        <v>9</v>
      </c>
      <c r="AB26" s="1" t="s">
        <v>14</v>
      </c>
      <c r="AC26" s="1" t="s">
        <v>20</v>
      </c>
      <c r="AD26" s="1">
        <v>17</v>
      </c>
      <c r="AE26" s="1">
        <v>13</v>
      </c>
      <c r="AF26" s="1">
        <v>0.8</v>
      </c>
      <c r="AG26" s="1">
        <v>0.88</v>
      </c>
      <c r="AH26" s="1">
        <v>0</v>
      </c>
      <c r="AI26" s="1">
        <v>0</v>
      </c>
      <c r="AJ26" s="1">
        <f t="shared" si="1"/>
        <v>0</v>
      </c>
      <c r="AK26" s="1">
        <f>C11</f>
        <v>50</v>
      </c>
      <c r="AL26" s="1">
        <f>C17</f>
        <v>0</v>
      </c>
      <c r="AM26" s="1">
        <f t="shared" si="2"/>
        <v>0</v>
      </c>
      <c r="AN26" s="1">
        <f t="shared" si="3"/>
        <v>0</v>
      </c>
      <c r="AO26" s="1">
        <f t="shared" si="4"/>
        <v>0</v>
      </c>
      <c r="AP26" t="b" cm="1">
        <f t="array" ref="AP26">INDEX($AU$8:$BB$25,6*(R26-1)+MATCH(AB26,$AS$8:$AS$13,0),MATCH(O26,$AU$7:$BB$7,0))</f>
        <v>1</v>
      </c>
    </row>
    <row r="27" spans="1:54" ht="14.55" customHeight="1" x14ac:dyDescent="0.45">
      <c r="A27" s="85"/>
      <c r="B27" s="31" t="s">
        <v>18</v>
      </c>
      <c r="C27" s="45"/>
      <c r="D27" s="45"/>
      <c r="E27" s="45"/>
      <c r="I27" s="64"/>
      <c r="O27" s="43" t="s">
        <v>11</v>
      </c>
      <c r="P27" s="43">
        <v>1</v>
      </c>
      <c r="Q27" s="43">
        <v>7</v>
      </c>
      <c r="R27" s="43">
        <v>2</v>
      </c>
      <c r="S27" s="45"/>
      <c r="T27" t="b">
        <f>(S26+S27+S28)=N2</f>
        <v>0</v>
      </c>
      <c r="X27" s="1">
        <f t="shared" si="5"/>
        <v>0</v>
      </c>
      <c r="Y27" s="48">
        <v>0</v>
      </c>
      <c r="AA27" s="1">
        <v>9</v>
      </c>
      <c r="AB27" s="1" t="s">
        <v>14</v>
      </c>
      <c r="AC27" s="1" t="s">
        <v>20</v>
      </c>
      <c r="AD27" s="1">
        <v>17</v>
      </c>
      <c r="AE27" s="1">
        <v>13</v>
      </c>
      <c r="AF27" s="1">
        <v>0.8</v>
      </c>
      <c r="AG27" s="1">
        <v>0.88</v>
      </c>
      <c r="AH27" s="1">
        <v>0</v>
      </c>
      <c r="AI27" s="1">
        <v>0</v>
      </c>
      <c r="AJ27" s="1">
        <f t="shared" si="1"/>
        <v>0</v>
      </c>
      <c r="AK27" s="1">
        <f>D11</f>
        <v>50</v>
      </c>
      <c r="AL27" s="1">
        <f>D17</f>
        <v>0</v>
      </c>
      <c r="AM27" s="1">
        <f t="shared" si="2"/>
        <v>0</v>
      </c>
      <c r="AN27" s="1">
        <f t="shared" si="3"/>
        <v>0</v>
      </c>
      <c r="AO27" s="1">
        <f t="shared" si="4"/>
        <v>0</v>
      </c>
      <c r="AP27" t="b" cm="1">
        <f t="array" ref="AP27">INDEX($AU$8:$BB$25,6*(R27-1)+MATCH(AB27,$AS$8:$AS$13,0),MATCH(O27,$AU$7:$BB$7,0))</f>
        <v>1</v>
      </c>
    </row>
    <row r="28" spans="1:54" ht="14.55" customHeight="1" x14ac:dyDescent="0.45">
      <c r="A28" s="85"/>
      <c r="B28" s="31" t="s">
        <v>19</v>
      </c>
      <c r="C28" s="45"/>
      <c r="D28" s="45"/>
      <c r="E28" s="45"/>
      <c r="I28" s="64"/>
      <c r="J28">
        <f>4/16</f>
        <v>0.25</v>
      </c>
      <c r="O28" s="43" t="s">
        <v>11</v>
      </c>
      <c r="P28" s="43">
        <v>1</v>
      </c>
      <c r="Q28" s="43">
        <v>7</v>
      </c>
      <c r="R28" s="43">
        <v>3</v>
      </c>
      <c r="S28" s="45"/>
      <c r="T28" t="b">
        <f>(S26+S27+S28)=N2</f>
        <v>0</v>
      </c>
      <c r="X28" s="1">
        <f t="shared" si="5"/>
        <v>0</v>
      </c>
      <c r="Y28" s="48">
        <v>0</v>
      </c>
      <c r="AA28" s="1">
        <v>9</v>
      </c>
      <c r="AB28" s="1" t="s">
        <v>14</v>
      </c>
      <c r="AC28" s="1" t="s">
        <v>20</v>
      </c>
      <c r="AD28" s="1">
        <v>17</v>
      </c>
      <c r="AE28" s="1">
        <v>13</v>
      </c>
      <c r="AF28" s="1">
        <v>0.8</v>
      </c>
      <c r="AG28" s="1">
        <v>0.88</v>
      </c>
      <c r="AH28" s="1">
        <v>0</v>
      </c>
      <c r="AI28" s="1">
        <v>0</v>
      </c>
      <c r="AJ28" s="1">
        <f t="shared" si="1"/>
        <v>0</v>
      </c>
      <c r="AK28" s="1">
        <f>E11</f>
        <v>35</v>
      </c>
      <c r="AL28" s="1">
        <f>E17</f>
        <v>0</v>
      </c>
      <c r="AM28" s="1">
        <f t="shared" si="2"/>
        <v>0</v>
      </c>
      <c r="AN28" s="1">
        <f t="shared" si="3"/>
        <v>0</v>
      </c>
      <c r="AO28" s="1">
        <f t="shared" si="4"/>
        <v>0</v>
      </c>
      <c r="AP28" t="b" cm="1">
        <f t="array" ref="AP28">INDEX($AU$8:$BB$25,6*(R28-1)+MATCH(AB28,$AS$8:$AS$13,0),MATCH(O28,$AU$7:$BB$7,0))</f>
        <v>1</v>
      </c>
    </row>
    <row r="29" spans="1:54" ht="14.55" customHeight="1" x14ac:dyDescent="0.45">
      <c r="A29" s="85"/>
      <c r="B29" s="31" t="s">
        <v>20</v>
      </c>
      <c r="C29" s="45"/>
      <c r="D29" s="45"/>
      <c r="E29" s="45"/>
      <c r="I29" s="64"/>
      <c r="O29" s="43" t="s">
        <v>11</v>
      </c>
      <c r="P29" s="43">
        <v>1</v>
      </c>
      <c r="Q29" s="43">
        <v>8</v>
      </c>
      <c r="R29" s="43">
        <v>1</v>
      </c>
      <c r="S29" s="45"/>
      <c r="T29" t="b">
        <f>(S29+S30+S31)=N2</f>
        <v>0</v>
      </c>
      <c r="X29" s="1">
        <f t="shared" si="5"/>
        <v>0</v>
      </c>
      <c r="Y29" s="48">
        <v>0</v>
      </c>
      <c r="AA29" s="1">
        <v>1</v>
      </c>
      <c r="AB29" s="1" t="s">
        <v>10</v>
      </c>
      <c r="AC29" s="1" t="s">
        <v>17</v>
      </c>
      <c r="AD29" s="1">
        <v>18</v>
      </c>
      <c r="AE29" s="1">
        <v>16</v>
      </c>
      <c r="AF29" s="1">
        <v>0.78</v>
      </c>
      <c r="AG29" s="1">
        <v>0.84</v>
      </c>
      <c r="AH29" s="1">
        <v>0</v>
      </c>
      <c r="AI29" s="1">
        <v>0</v>
      </c>
      <c r="AJ29" s="1">
        <f t="shared" si="1"/>
        <v>0</v>
      </c>
      <c r="AK29" s="1">
        <f>C8</f>
        <v>50</v>
      </c>
      <c r="AL29" s="1">
        <f>C14</f>
        <v>0</v>
      </c>
      <c r="AM29" s="1">
        <f t="shared" si="2"/>
        <v>0</v>
      </c>
      <c r="AN29" s="1">
        <f t="shared" si="3"/>
        <v>0</v>
      </c>
      <c r="AO29" s="1">
        <f t="shared" si="4"/>
        <v>0</v>
      </c>
      <c r="AP29" t="b" cm="1">
        <f t="array" ref="AP29">INDEX($AU$8:$BB$25,6*(R29-1)+MATCH(AB29,$AS$8:$AS$13,0),MATCH(O29,$AU$7:$BB$7,0))</f>
        <v>1</v>
      </c>
    </row>
    <row r="30" spans="1:54" ht="14.55" customHeight="1" x14ac:dyDescent="0.45">
      <c r="A30" s="85"/>
      <c r="B30" s="31" t="s">
        <v>21</v>
      </c>
      <c r="C30" s="45"/>
      <c r="D30" s="45"/>
      <c r="E30" s="45"/>
      <c r="I30" s="64"/>
      <c r="O30" s="43" t="s">
        <v>11</v>
      </c>
      <c r="P30" s="43">
        <v>1</v>
      </c>
      <c r="Q30" s="43">
        <v>8</v>
      </c>
      <c r="R30" s="43">
        <v>2</v>
      </c>
      <c r="S30" s="45"/>
      <c r="T30" t="b">
        <f>(S29+S30+S31)=N2</f>
        <v>0</v>
      </c>
      <c r="X30" s="1">
        <f t="shared" si="5"/>
        <v>0</v>
      </c>
      <c r="Y30" s="48">
        <v>0</v>
      </c>
      <c r="AA30" s="1">
        <v>1</v>
      </c>
      <c r="AB30" s="1" t="s">
        <v>10</v>
      </c>
      <c r="AC30" s="1" t="s">
        <v>17</v>
      </c>
      <c r="AD30" s="1">
        <v>18</v>
      </c>
      <c r="AE30" s="1">
        <v>16</v>
      </c>
      <c r="AF30" s="1">
        <v>0.78</v>
      </c>
      <c r="AG30" s="1">
        <v>0.84</v>
      </c>
      <c r="AH30" s="1">
        <v>0</v>
      </c>
      <c r="AI30" s="1">
        <v>0</v>
      </c>
      <c r="AJ30" s="1">
        <f t="shared" si="1"/>
        <v>0</v>
      </c>
      <c r="AK30" s="1">
        <f>D8</f>
        <v>35</v>
      </c>
      <c r="AL30" s="1">
        <f>D14</f>
        <v>0</v>
      </c>
      <c r="AM30" s="1">
        <f t="shared" si="2"/>
        <v>0</v>
      </c>
      <c r="AN30" s="1">
        <f t="shared" si="3"/>
        <v>0</v>
      </c>
      <c r="AO30" s="1">
        <f t="shared" si="4"/>
        <v>0</v>
      </c>
      <c r="AP30" t="b" cm="1">
        <f t="array" ref="AP30">INDEX($AU$8:$BB$25,6*(R30-1)+MATCH(AB30,$AS$8:$AS$13,0),MATCH(O30,$AU$7:$BB$7,0))</f>
        <v>1</v>
      </c>
    </row>
    <row r="31" spans="1:54" ht="14.55" customHeight="1" x14ac:dyDescent="0.45">
      <c r="A31" s="85"/>
      <c r="B31" s="31" t="s">
        <v>22</v>
      </c>
      <c r="C31" s="45"/>
      <c r="D31" s="45"/>
      <c r="E31" s="45"/>
      <c r="F31" s="44" t="s">
        <v>134</v>
      </c>
      <c r="G31" s="44" t="s">
        <v>135</v>
      </c>
      <c r="H31" s="44" t="s">
        <v>136</v>
      </c>
      <c r="I31" s="64"/>
      <c r="O31" s="43" t="s">
        <v>11</v>
      </c>
      <c r="P31" s="43">
        <v>1</v>
      </c>
      <c r="Q31" s="43">
        <v>8</v>
      </c>
      <c r="R31" s="43">
        <v>3</v>
      </c>
      <c r="S31" s="45"/>
      <c r="T31" t="b">
        <f>(S29+S30+S31)=N2</f>
        <v>0</v>
      </c>
      <c r="X31" s="1">
        <f t="shared" si="5"/>
        <v>0</v>
      </c>
      <c r="Y31" s="48">
        <v>0</v>
      </c>
      <c r="AA31" s="1">
        <v>1</v>
      </c>
      <c r="AB31" s="1" t="s">
        <v>10</v>
      </c>
      <c r="AC31" s="1" t="s">
        <v>17</v>
      </c>
      <c r="AD31" s="1">
        <v>18</v>
      </c>
      <c r="AE31" s="1">
        <v>16</v>
      </c>
      <c r="AF31" s="1">
        <v>0.78</v>
      </c>
      <c r="AG31" s="1">
        <v>0.84</v>
      </c>
      <c r="AH31" s="1">
        <v>0</v>
      </c>
      <c r="AI31" s="1">
        <v>0</v>
      </c>
      <c r="AJ31" s="1">
        <f t="shared" si="1"/>
        <v>0</v>
      </c>
      <c r="AK31" s="1">
        <f>E8</f>
        <v>0</v>
      </c>
      <c r="AL31" s="1">
        <f>E14</f>
        <v>0</v>
      </c>
      <c r="AM31" s="1">
        <f t="shared" si="2"/>
        <v>0</v>
      </c>
      <c r="AN31" s="1">
        <f t="shared" si="3"/>
        <v>0</v>
      </c>
      <c r="AO31" s="1">
        <f t="shared" si="4"/>
        <v>0</v>
      </c>
      <c r="AP31" t="b" cm="1">
        <f t="array" ref="AP31">INDEX($AU$8:$BB$25,6*(R31-1)+MATCH(AB31,$AS$8:$AS$13,0),MATCH(O31,$AU$7:$BB$7,0))</f>
        <v>1</v>
      </c>
    </row>
    <row r="32" spans="1:54" ht="14.25" x14ac:dyDescent="0.45">
      <c r="A32" s="85" t="s">
        <v>24</v>
      </c>
      <c r="B32" s="31" t="s">
        <v>10</v>
      </c>
      <c r="C32" s="45"/>
      <c r="D32" s="45"/>
      <c r="E32" s="45"/>
      <c r="F32" cm="1">
        <f t="array" ref="F32">SUM(C32:C43*data!$B$3:$B$14)</f>
        <v>0</v>
      </c>
      <c r="G32" cm="1">
        <f t="array" ref="G32">SUM(D32:D43*data!$B$3:$B$14)</f>
        <v>0</v>
      </c>
      <c r="H32" cm="1">
        <f t="array" ref="H32">SUM(E32:E43*data!$B$3:$B$14)</f>
        <v>0</v>
      </c>
      <c r="I32" s="64" t="s">
        <v>156</v>
      </c>
      <c r="O32" s="43" t="s">
        <v>11</v>
      </c>
      <c r="P32" s="43">
        <v>1</v>
      </c>
      <c r="Q32" s="43">
        <v>9</v>
      </c>
      <c r="R32" s="43">
        <v>1</v>
      </c>
      <c r="S32" s="45"/>
      <c r="T32" t="b">
        <f>(S32+S33+S34)=N2</f>
        <v>0</v>
      </c>
      <c r="X32" s="1">
        <f t="shared" si="5"/>
        <v>0</v>
      </c>
      <c r="Y32" s="48">
        <v>0</v>
      </c>
      <c r="AA32" s="1">
        <v>2</v>
      </c>
      <c r="AB32" s="1" t="s">
        <v>10</v>
      </c>
      <c r="AC32" s="1" t="s">
        <v>17</v>
      </c>
      <c r="AD32" s="1">
        <v>16</v>
      </c>
      <c r="AE32" s="1">
        <v>13</v>
      </c>
      <c r="AF32" s="1">
        <v>0.78</v>
      </c>
      <c r="AG32" s="1">
        <v>0.84</v>
      </c>
      <c r="AH32" s="1">
        <v>0</v>
      </c>
      <c r="AI32" s="1">
        <v>0</v>
      </c>
      <c r="AJ32" s="1">
        <f t="shared" si="1"/>
        <v>0</v>
      </c>
      <c r="AK32" s="1">
        <f>C8</f>
        <v>50</v>
      </c>
      <c r="AL32" s="1">
        <f>C14</f>
        <v>0</v>
      </c>
      <c r="AM32" s="1">
        <f t="shared" si="2"/>
        <v>0</v>
      </c>
      <c r="AN32" s="1">
        <f t="shared" si="3"/>
        <v>0</v>
      </c>
      <c r="AO32" s="1">
        <f t="shared" si="4"/>
        <v>0</v>
      </c>
      <c r="AP32" t="b" cm="1">
        <f t="array" ref="AP32">INDEX($AU$8:$BB$25,6*(R32-1)+MATCH(AB32,$AS$8:$AS$13,0),MATCH(O32,$AU$7:$BB$7,0))</f>
        <v>1</v>
      </c>
    </row>
    <row r="33" spans="1:42" ht="14.55" customHeight="1" x14ac:dyDescent="0.45">
      <c r="A33" s="85"/>
      <c r="B33" s="31" t="s">
        <v>12</v>
      </c>
      <c r="C33" s="45"/>
      <c r="D33" s="45"/>
      <c r="E33" s="45"/>
      <c r="I33" s="64"/>
      <c r="O33" s="43" t="s">
        <v>11</v>
      </c>
      <c r="P33" s="43">
        <v>1</v>
      </c>
      <c r="Q33" s="43">
        <v>9</v>
      </c>
      <c r="R33" s="43">
        <v>2</v>
      </c>
      <c r="S33" s="45"/>
      <c r="T33" t="b">
        <f>(S32+S33+S34)=N2</f>
        <v>0</v>
      </c>
      <c r="X33" s="1">
        <f t="shared" si="5"/>
        <v>0</v>
      </c>
      <c r="Y33" s="48">
        <v>0</v>
      </c>
      <c r="AA33" s="1">
        <v>2</v>
      </c>
      <c r="AB33" s="1" t="s">
        <v>10</v>
      </c>
      <c r="AC33" s="1" t="s">
        <v>17</v>
      </c>
      <c r="AD33" s="1">
        <v>16</v>
      </c>
      <c r="AE33" s="1">
        <v>13</v>
      </c>
      <c r="AF33" s="1">
        <v>0.78</v>
      </c>
      <c r="AG33" s="1">
        <v>0.84</v>
      </c>
      <c r="AH33" s="1">
        <v>0</v>
      </c>
      <c r="AI33" s="1">
        <v>0</v>
      </c>
      <c r="AJ33" s="1">
        <f t="shared" si="1"/>
        <v>0</v>
      </c>
      <c r="AK33" s="1">
        <f>D8</f>
        <v>35</v>
      </c>
      <c r="AL33" s="1">
        <f>D14</f>
        <v>0</v>
      </c>
      <c r="AM33" s="1">
        <f t="shared" si="2"/>
        <v>0</v>
      </c>
      <c r="AN33" s="1">
        <f t="shared" si="3"/>
        <v>0</v>
      </c>
      <c r="AO33" s="1">
        <f t="shared" si="4"/>
        <v>0</v>
      </c>
      <c r="AP33" t="b" cm="1">
        <f t="array" ref="AP33">INDEX($AU$8:$BB$25,6*(R33-1)+MATCH(AB33,$AS$8:$AS$13,0),MATCH(O33,$AU$7:$BB$7,0))</f>
        <v>1</v>
      </c>
    </row>
    <row r="34" spans="1:42" ht="14.55" customHeight="1" x14ac:dyDescent="0.45">
      <c r="A34" s="85"/>
      <c r="B34" s="31" t="s">
        <v>13</v>
      </c>
      <c r="C34" s="45"/>
      <c r="D34" s="45"/>
      <c r="E34" s="45"/>
      <c r="F34" s="84" t="s">
        <v>137</v>
      </c>
      <c r="G34" s="84"/>
      <c r="I34" s="64"/>
      <c r="O34" s="43" t="s">
        <v>11</v>
      </c>
      <c r="P34" s="43">
        <v>1</v>
      </c>
      <c r="Q34" s="43">
        <v>9</v>
      </c>
      <c r="R34" s="43">
        <v>3</v>
      </c>
      <c r="S34" s="45"/>
      <c r="T34" t="b">
        <f>(S32+S33+S34)=N2</f>
        <v>0</v>
      </c>
      <c r="X34" s="1">
        <f t="shared" si="5"/>
        <v>0</v>
      </c>
      <c r="Y34" s="48">
        <v>0</v>
      </c>
      <c r="AA34" s="1">
        <v>2</v>
      </c>
      <c r="AB34" s="1" t="s">
        <v>10</v>
      </c>
      <c r="AC34" s="1" t="s">
        <v>17</v>
      </c>
      <c r="AD34" s="1">
        <v>16</v>
      </c>
      <c r="AE34" s="1">
        <v>13</v>
      </c>
      <c r="AF34" s="1">
        <v>0.78</v>
      </c>
      <c r="AG34" s="1">
        <v>0.84</v>
      </c>
      <c r="AH34" s="1">
        <v>0</v>
      </c>
      <c r="AI34" s="1">
        <v>0</v>
      </c>
      <c r="AJ34" s="1">
        <f t="shared" si="1"/>
        <v>0</v>
      </c>
      <c r="AK34" s="1">
        <f>E8</f>
        <v>0</v>
      </c>
      <c r="AL34" s="1">
        <f>E14</f>
        <v>0</v>
      </c>
      <c r="AM34" s="1">
        <f t="shared" si="2"/>
        <v>0</v>
      </c>
      <c r="AN34" s="1">
        <f t="shared" si="3"/>
        <v>0</v>
      </c>
      <c r="AO34" s="1">
        <f t="shared" si="4"/>
        <v>0</v>
      </c>
      <c r="AP34" t="b" cm="1">
        <f t="array" ref="AP34">INDEX($AU$8:$BB$25,6*(R34-1)+MATCH(AB34,$AS$8:$AS$13,0),MATCH(O34,$AU$7:$BB$7,0))</f>
        <v>1</v>
      </c>
    </row>
    <row r="35" spans="1:42" ht="14.55" customHeight="1" x14ac:dyDescent="0.45">
      <c r="A35" s="85"/>
      <c r="B35" s="31" t="s">
        <v>14</v>
      </c>
      <c r="C35" s="45"/>
      <c r="D35" s="45"/>
      <c r="E35" s="45"/>
      <c r="F35" s="83" cm="1">
        <f t="array" ref="F35">SUM(
     _xlfn.BYROW(
           IF(C32:E43-C20:E31&gt;0, C32:E43-C20:E31, 0),
           _xleta.SUM)
     *data!$C$3:$C$14
)</f>
        <v>0</v>
      </c>
      <c r="G35" s="83"/>
      <c r="I35" s="64"/>
      <c r="O35" s="43" t="s">
        <v>11</v>
      </c>
      <c r="P35" s="43">
        <v>1</v>
      </c>
      <c r="Q35" s="43">
        <v>10</v>
      </c>
      <c r="R35" s="43">
        <v>1</v>
      </c>
      <c r="S35" s="45"/>
      <c r="T35" t="b">
        <f>(S35+S36+S37)=N2</f>
        <v>0</v>
      </c>
      <c r="X35" s="1">
        <f t="shared" si="5"/>
        <v>0</v>
      </c>
      <c r="Y35" s="48">
        <v>0</v>
      </c>
      <c r="AA35" s="1">
        <v>6</v>
      </c>
      <c r="AB35" s="1" t="s">
        <v>14</v>
      </c>
      <c r="AC35" s="1" t="s">
        <v>20</v>
      </c>
      <c r="AD35" s="1">
        <v>14</v>
      </c>
      <c r="AE35" s="1">
        <v>11</v>
      </c>
      <c r="AF35" s="1">
        <v>0.8</v>
      </c>
      <c r="AG35" s="1">
        <v>0.88</v>
      </c>
      <c r="AH35" s="1">
        <v>0</v>
      </c>
      <c r="AI35" s="1">
        <v>0</v>
      </c>
      <c r="AJ35" s="1">
        <f t="shared" si="1"/>
        <v>0</v>
      </c>
      <c r="AK35" s="1">
        <f>C11</f>
        <v>50</v>
      </c>
      <c r="AL35" s="1">
        <f>C17</f>
        <v>0</v>
      </c>
      <c r="AM35" s="1">
        <f t="shared" si="2"/>
        <v>0</v>
      </c>
      <c r="AN35" s="1">
        <f t="shared" si="3"/>
        <v>0</v>
      </c>
      <c r="AO35" s="1">
        <f t="shared" si="4"/>
        <v>0</v>
      </c>
      <c r="AP35" t="b" cm="1">
        <f t="array" ref="AP35">INDEX($AU$8:$BB$25,6*(R35-1)+MATCH(AB35,$AS$8:$AS$13,0),MATCH(O35,$AU$7:$BB$7,0))</f>
        <v>1</v>
      </c>
    </row>
    <row r="36" spans="1:42" ht="14.55" customHeight="1" x14ac:dyDescent="0.45">
      <c r="A36" s="85"/>
      <c r="B36" s="31" t="s">
        <v>15</v>
      </c>
      <c r="C36" s="45"/>
      <c r="D36" s="45"/>
      <c r="E36" s="45"/>
      <c r="F36" s="84" t="s">
        <v>138</v>
      </c>
      <c r="G36" s="84"/>
      <c r="I36" s="64"/>
      <c r="O36" s="43" t="s">
        <v>11</v>
      </c>
      <c r="P36" s="43">
        <v>1</v>
      </c>
      <c r="Q36" s="43">
        <v>10</v>
      </c>
      <c r="R36" s="43">
        <v>2</v>
      </c>
      <c r="S36" s="45"/>
      <c r="T36" t="b">
        <f>(S35+S36+S37)=N2</f>
        <v>0</v>
      </c>
      <c r="X36" s="1">
        <f t="shared" si="5"/>
        <v>0</v>
      </c>
      <c r="Y36" s="48">
        <v>0</v>
      </c>
      <c r="AA36" s="1">
        <v>6</v>
      </c>
      <c r="AB36" s="1" t="s">
        <v>14</v>
      </c>
      <c r="AC36" s="1" t="s">
        <v>20</v>
      </c>
      <c r="AD36" s="1">
        <v>14</v>
      </c>
      <c r="AE36" s="1">
        <v>11</v>
      </c>
      <c r="AF36" s="1">
        <v>0.8</v>
      </c>
      <c r="AG36" s="1">
        <v>0.88</v>
      </c>
      <c r="AH36" s="1">
        <v>0</v>
      </c>
      <c r="AI36" s="1">
        <v>0</v>
      </c>
      <c r="AJ36" s="1">
        <f t="shared" si="1"/>
        <v>0</v>
      </c>
      <c r="AK36" s="1">
        <f>D11</f>
        <v>50</v>
      </c>
      <c r="AL36" s="1">
        <f>D17</f>
        <v>0</v>
      </c>
      <c r="AM36" s="1">
        <f t="shared" si="2"/>
        <v>0</v>
      </c>
      <c r="AN36" s="1">
        <f t="shared" si="3"/>
        <v>0</v>
      </c>
      <c r="AO36" s="1">
        <f t="shared" si="4"/>
        <v>0</v>
      </c>
      <c r="AP36" t="b" cm="1">
        <f t="array" ref="AP36">INDEX($AU$8:$BB$25,6*(R36-1)+MATCH(AB36,$AS$8:$AS$13,0),MATCH(O36,$AU$7:$BB$7,0))</f>
        <v>1</v>
      </c>
    </row>
    <row r="37" spans="1:42" ht="14.55" customHeight="1" x14ac:dyDescent="0.45">
      <c r="A37" s="85"/>
      <c r="B37" s="31" t="s">
        <v>16</v>
      </c>
      <c r="C37" s="45"/>
      <c r="D37" s="45"/>
      <c r="E37" s="45"/>
      <c r="F37" s="83" cm="1">
        <f t="array" ref="F37">SUM(
     _xlfn.BYROW(
           IF(C32:E43-C20:E31&lt;0, C32:E43-C20:E31, 0),
           _xleta.SUM)
     * -1000000
)</f>
        <v>0</v>
      </c>
      <c r="G37" s="83"/>
      <c r="I37" s="64"/>
      <c r="O37" s="43" t="s">
        <v>11</v>
      </c>
      <c r="P37" s="43">
        <v>1</v>
      </c>
      <c r="Q37" s="43">
        <v>10</v>
      </c>
      <c r="R37" s="43">
        <v>3</v>
      </c>
      <c r="S37" s="45"/>
      <c r="T37" t="b">
        <f>(S35+S36+S37)=N2</f>
        <v>0</v>
      </c>
      <c r="X37" s="1">
        <f t="shared" si="5"/>
        <v>0</v>
      </c>
      <c r="Y37" s="48">
        <v>0</v>
      </c>
      <c r="AA37" s="1">
        <v>6</v>
      </c>
      <c r="AB37" s="1" t="s">
        <v>14</v>
      </c>
      <c r="AC37" s="1" t="s">
        <v>20</v>
      </c>
      <c r="AD37" s="1">
        <v>14</v>
      </c>
      <c r="AE37" s="1">
        <v>11</v>
      </c>
      <c r="AF37" s="1">
        <v>0.8</v>
      </c>
      <c r="AG37" s="1">
        <v>0.88</v>
      </c>
      <c r="AH37" s="1">
        <v>0</v>
      </c>
      <c r="AI37" s="1">
        <v>0</v>
      </c>
      <c r="AJ37" s="1">
        <f t="shared" si="1"/>
        <v>0</v>
      </c>
      <c r="AK37" s="1">
        <f>E11</f>
        <v>35</v>
      </c>
      <c r="AL37" s="1">
        <f>E17</f>
        <v>0</v>
      </c>
      <c r="AM37" s="1">
        <f t="shared" si="2"/>
        <v>0</v>
      </c>
      <c r="AN37" s="1">
        <f t="shared" si="3"/>
        <v>0</v>
      </c>
      <c r="AO37" s="1">
        <f t="shared" si="4"/>
        <v>0</v>
      </c>
      <c r="AP37" t="b" cm="1">
        <f t="array" ref="AP37">INDEX($AU$8:$BB$25,6*(R37-1)+MATCH(AB37,$AS$8:$AS$13,0),MATCH(O37,$AU$7:$BB$7,0))</f>
        <v>1</v>
      </c>
    </row>
    <row r="38" spans="1:42" ht="14.55" customHeight="1" x14ac:dyDescent="0.45">
      <c r="A38" s="85"/>
      <c r="B38" s="31" t="s">
        <v>17</v>
      </c>
      <c r="C38" s="45"/>
      <c r="D38" s="45"/>
      <c r="E38" s="45"/>
      <c r="I38" s="64"/>
      <c r="O38" s="43" t="s">
        <v>11</v>
      </c>
      <c r="P38" s="43">
        <v>1</v>
      </c>
      <c r="Q38" s="43">
        <v>11</v>
      </c>
      <c r="R38" s="43">
        <v>1</v>
      </c>
      <c r="S38" s="45"/>
      <c r="T38" t="b">
        <f>(S38+S39+S40)=N2</f>
        <v>0</v>
      </c>
      <c r="X38" s="1">
        <f t="shared" si="5"/>
        <v>0</v>
      </c>
      <c r="Y38" s="48">
        <v>0</v>
      </c>
      <c r="AA38" s="1">
        <v>3</v>
      </c>
      <c r="AB38" s="1" t="s">
        <v>16</v>
      </c>
      <c r="AC38" s="1" t="s">
        <v>22</v>
      </c>
      <c r="AD38" s="1">
        <v>18</v>
      </c>
      <c r="AE38" s="1">
        <v>16</v>
      </c>
      <c r="AF38" s="1">
        <v>0.8</v>
      </c>
      <c r="AG38" s="1">
        <v>0.9</v>
      </c>
      <c r="AH38" s="1">
        <v>0</v>
      </c>
      <c r="AI38" s="1">
        <v>0</v>
      </c>
      <c r="AJ38" s="1">
        <f t="shared" si="1"/>
        <v>0</v>
      </c>
      <c r="AK38" s="1">
        <f>C13</f>
        <v>90</v>
      </c>
      <c r="AL38" s="1">
        <f>C19</f>
        <v>0</v>
      </c>
      <c r="AM38" s="1">
        <f t="shared" si="2"/>
        <v>0</v>
      </c>
      <c r="AN38" s="1">
        <f t="shared" si="3"/>
        <v>0</v>
      </c>
      <c r="AO38" s="1">
        <f t="shared" si="4"/>
        <v>0</v>
      </c>
      <c r="AP38" t="b" cm="1">
        <f t="array" ref="AP38">INDEX($AU$8:$BB$25,6*(R38-1)+MATCH(AB38,$AS$8:$AS$13,0),MATCH(O38,$AU$7:$BB$7,0))</f>
        <v>1</v>
      </c>
    </row>
    <row r="39" spans="1:42" ht="14.55" customHeight="1" x14ac:dyDescent="0.45">
      <c r="A39" s="85"/>
      <c r="B39" s="31" t="s">
        <v>18</v>
      </c>
      <c r="C39" s="45"/>
      <c r="D39" s="45"/>
      <c r="E39" s="45"/>
      <c r="I39" s="64"/>
      <c r="O39" s="43" t="s">
        <v>11</v>
      </c>
      <c r="P39" s="43">
        <v>1</v>
      </c>
      <c r="Q39" s="43">
        <v>11</v>
      </c>
      <c r="R39" s="43">
        <v>2</v>
      </c>
      <c r="S39" s="45"/>
      <c r="T39" t="b">
        <f>(S38+S39+S40)=N2</f>
        <v>0</v>
      </c>
      <c r="X39" s="1">
        <f t="shared" si="5"/>
        <v>0</v>
      </c>
      <c r="Y39" s="48">
        <v>0</v>
      </c>
      <c r="AA39" s="1">
        <v>3</v>
      </c>
      <c r="AB39" s="1" t="s">
        <v>16</v>
      </c>
      <c r="AC39" s="1" t="s">
        <v>22</v>
      </c>
      <c r="AD39" s="1">
        <v>18</v>
      </c>
      <c r="AE39" s="1">
        <v>16</v>
      </c>
      <c r="AF39" s="1">
        <v>0.8</v>
      </c>
      <c r="AG39" s="1">
        <v>0.9</v>
      </c>
      <c r="AH39" s="1">
        <v>0</v>
      </c>
      <c r="AI39" s="1">
        <v>0</v>
      </c>
      <c r="AJ39" s="1">
        <f t="shared" si="1"/>
        <v>0</v>
      </c>
      <c r="AK39" s="1">
        <f>D13</f>
        <v>60</v>
      </c>
      <c r="AL39" s="1">
        <f>D19</f>
        <v>0</v>
      </c>
      <c r="AM39" s="1">
        <f t="shared" si="2"/>
        <v>0</v>
      </c>
      <c r="AN39" s="1">
        <f t="shared" si="3"/>
        <v>0</v>
      </c>
      <c r="AO39" s="1">
        <f t="shared" si="4"/>
        <v>0</v>
      </c>
      <c r="AP39" t="b" cm="1">
        <f t="array" ref="AP39">INDEX($AU$8:$BB$25,6*(R39-1)+MATCH(AB39,$AS$8:$AS$13,0),MATCH(O39,$AU$7:$BB$7,0))</f>
        <v>1</v>
      </c>
    </row>
    <row r="40" spans="1:42" ht="14.55" customHeight="1" x14ac:dyDescent="0.45">
      <c r="A40" s="85"/>
      <c r="B40" s="31" t="s">
        <v>19</v>
      </c>
      <c r="C40" s="45"/>
      <c r="D40" s="45"/>
      <c r="E40" s="45"/>
      <c r="I40" s="64"/>
      <c r="O40" s="43" t="s">
        <v>11</v>
      </c>
      <c r="P40" s="43">
        <v>1</v>
      </c>
      <c r="Q40" s="43">
        <v>11</v>
      </c>
      <c r="R40" s="43">
        <v>3</v>
      </c>
      <c r="S40" s="45"/>
      <c r="T40" t="b">
        <f>(S38+S39+S40)=N2</f>
        <v>0</v>
      </c>
      <c r="X40" s="1">
        <f t="shared" si="5"/>
        <v>0</v>
      </c>
      <c r="Y40" s="48">
        <v>0</v>
      </c>
      <c r="AA40" s="1">
        <v>3</v>
      </c>
      <c r="AB40" s="1" t="s">
        <v>16</v>
      </c>
      <c r="AC40" s="1" t="s">
        <v>22</v>
      </c>
      <c r="AD40" s="1">
        <v>18</v>
      </c>
      <c r="AE40" s="1">
        <v>16</v>
      </c>
      <c r="AF40" s="1">
        <v>0.8</v>
      </c>
      <c r="AG40" s="1">
        <v>0.9</v>
      </c>
      <c r="AH40" s="1">
        <v>0</v>
      </c>
      <c r="AI40" s="1">
        <v>0</v>
      </c>
      <c r="AJ40" s="1">
        <f t="shared" si="1"/>
        <v>0</v>
      </c>
      <c r="AK40" s="1">
        <f>E13</f>
        <v>36</v>
      </c>
      <c r="AL40" s="1">
        <f>E19</f>
        <v>0</v>
      </c>
      <c r="AM40" s="1">
        <f t="shared" si="2"/>
        <v>0</v>
      </c>
      <c r="AN40" s="1">
        <f t="shared" si="3"/>
        <v>0</v>
      </c>
      <c r="AO40" s="1">
        <f t="shared" si="4"/>
        <v>0</v>
      </c>
      <c r="AP40" t="b" cm="1">
        <f t="array" ref="AP40">INDEX($AU$8:$BB$25,6*(R40-1)+MATCH(AB40,$AS$8:$AS$13,0),MATCH(O40,$AU$7:$BB$7,0))</f>
        <v>1</v>
      </c>
    </row>
    <row r="41" spans="1:42" ht="14.55" customHeight="1" x14ac:dyDescent="0.45">
      <c r="A41" s="85"/>
      <c r="B41" s="31" t="s">
        <v>20</v>
      </c>
      <c r="C41" s="45"/>
      <c r="D41" s="45"/>
      <c r="E41" s="45"/>
      <c r="I41" s="64"/>
      <c r="O41" s="43" t="s">
        <v>11</v>
      </c>
      <c r="P41" s="43">
        <v>2</v>
      </c>
      <c r="Q41" s="43">
        <v>1</v>
      </c>
      <c r="R41" s="43">
        <v>1</v>
      </c>
      <c r="S41" s="45"/>
      <c r="T41" t="b">
        <f>(S41+S42+S43)=N3</f>
        <v>0</v>
      </c>
      <c r="X41" s="1">
        <v>0</v>
      </c>
      <c r="Y41" s="48">
        <v>0</v>
      </c>
      <c r="AA41" s="1">
        <v>9</v>
      </c>
      <c r="AB41" s="1" t="s">
        <v>16</v>
      </c>
      <c r="AC41" s="1" t="s">
        <v>22</v>
      </c>
      <c r="AD41" s="1">
        <v>19</v>
      </c>
      <c r="AE41" s="1">
        <v>16</v>
      </c>
      <c r="AF41" s="1">
        <v>0.8</v>
      </c>
      <c r="AG41" s="1">
        <v>0.9</v>
      </c>
      <c r="AH41" s="1">
        <v>0</v>
      </c>
      <c r="AI41" s="1">
        <v>0</v>
      </c>
      <c r="AJ41" s="1">
        <f t="shared" si="1"/>
        <v>0</v>
      </c>
      <c r="AK41" s="1">
        <f>C13</f>
        <v>90</v>
      </c>
      <c r="AL41" s="1">
        <f>C19</f>
        <v>0</v>
      </c>
      <c r="AM41" s="1">
        <f t="shared" si="2"/>
        <v>0</v>
      </c>
      <c r="AN41" s="1">
        <f t="shared" si="3"/>
        <v>0</v>
      </c>
      <c r="AO41" s="1">
        <f t="shared" si="4"/>
        <v>0</v>
      </c>
      <c r="AP41" t="b" cm="1">
        <f t="array" ref="AP41">INDEX($AU$8:$BB$25,6*(R41-1)+MATCH(AB41,$AS$8:$AS$13,0),MATCH(O41,$AU$7:$BB$7,0))</f>
        <v>1</v>
      </c>
    </row>
    <row r="42" spans="1:42" ht="14.55" customHeight="1" x14ac:dyDescent="0.45">
      <c r="A42" s="85"/>
      <c r="B42" s="31" t="s">
        <v>21</v>
      </c>
      <c r="C42" s="45"/>
      <c r="D42" s="45"/>
      <c r="E42" s="45"/>
      <c r="I42" s="64"/>
      <c r="O42" s="43" t="s">
        <v>11</v>
      </c>
      <c r="P42" s="43">
        <v>2</v>
      </c>
      <c r="Q42" s="43">
        <v>1</v>
      </c>
      <c r="R42" s="43">
        <v>2</v>
      </c>
      <c r="S42" s="45"/>
      <c r="T42" t="b">
        <f>(S41+S42+S43)=N3</f>
        <v>0</v>
      </c>
      <c r="X42" s="1">
        <v>0</v>
      </c>
      <c r="Y42" s="48">
        <v>0</v>
      </c>
      <c r="AA42" s="1">
        <v>9</v>
      </c>
      <c r="AB42" s="1" t="s">
        <v>16</v>
      </c>
      <c r="AC42" s="1" t="s">
        <v>22</v>
      </c>
      <c r="AD42" s="1">
        <v>19</v>
      </c>
      <c r="AE42" s="1">
        <v>16</v>
      </c>
      <c r="AF42" s="1">
        <v>0.8</v>
      </c>
      <c r="AG42" s="1">
        <v>0.9</v>
      </c>
      <c r="AH42" s="1">
        <v>0</v>
      </c>
      <c r="AI42" s="1">
        <v>0</v>
      </c>
      <c r="AJ42" s="1">
        <f t="shared" si="1"/>
        <v>0</v>
      </c>
      <c r="AK42" s="1">
        <f>D13</f>
        <v>60</v>
      </c>
      <c r="AL42" s="1">
        <f>D19</f>
        <v>0</v>
      </c>
      <c r="AM42" s="1">
        <f t="shared" si="2"/>
        <v>0</v>
      </c>
      <c r="AN42" s="1">
        <f t="shared" si="3"/>
        <v>0</v>
      </c>
      <c r="AO42" s="1">
        <f t="shared" si="4"/>
        <v>0</v>
      </c>
      <c r="AP42" t="b" cm="1">
        <f t="array" ref="AP42">INDEX($AU$8:$BB$25,6*(R42-1)+MATCH(AB42,$AS$8:$AS$13,0),MATCH(O42,$AU$7:$BB$7,0))</f>
        <v>1</v>
      </c>
    </row>
    <row r="43" spans="1:42" ht="14.55" customHeight="1" x14ac:dyDescent="0.45">
      <c r="A43" s="85"/>
      <c r="B43" s="31" t="s">
        <v>22</v>
      </c>
      <c r="C43" s="45"/>
      <c r="D43" s="45"/>
      <c r="E43" s="45"/>
      <c r="F43" s="44" t="s">
        <v>134</v>
      </c>
      <c r="G43" s="44" t="s">
        <v>135</v>
      </c>
      <c r="H43" s="44" t="s">
        <v>136</v>
      </c>
      <c r="I43" s="64"/>
      <c r="O43" s="43" t="s">
        <v>11</v>
      </c>
      <c r="P43" s="43">
        <v>2</v>
      </c>
      <c r="Q43" s="43">
        <v>1</v>
      </c>
      <c r="R43" s="43">
        <v>3</v>
      </c>
      <c r="S43" s="45"/>
      <c r="T43" t="b">
        <f>(S41+S42+S43)=N3</f>
        <v>0</v>
      </c>
      <c r="X43" s="1">
        <v>0</v>
      </c>
      <c r="Y43" s="48">
        <v>0</v>
      </c>
      <c r="AA43" s="1">
        <v>9</v>
      </c>
      <c r="AB43" s="1" t="s">
        <v>16</v>
      </c>
      <c r="AC43" s="1" t="s">
        <v>22</v>
      </c>
      <c r="AD43" s="1">
        <v>19</v>
      </c>
      <c r="AE43" s="1">
        <v>16</v>
      </c>
      <c r="AF43" s="1">
        <v>0.8</v>
      </c>
      <c r="AG43" s="1">
        <v>0.9</v>
      </c>
      <c r="AH43" s="1">
        <v>0</v>
      </c>
      <c r="AI43" s="1">
        <v>0</v>
      </c>
      <c r="AJ43" s="1">
        <f t="shared" si="1"/>
        <v>0</v>
      </c>
      <c r="AK43" s="1">
        <f>E13</f>
        <v>36</v>
      </c>
      <c r="AL43" s="1">
        <f>E19</f>
        <v>0</v>
      </c>
      <c r="AM43" s="1">
        <f t="shared" si="2"/>
        <v>0</v>
      </c>
      <c r="AN43" s="1">
        <f t="shared" si="3"/>
        <v>0</v>
      </c>
      <c r="AO43" s="1">
        <f t="shared" si="4"/>
        <v>0</v>
      </c>
      <c r="AP43" t="b" cm="1">
        <f t="array" ref="AP43">INDEX($AU$8:$BB$25,6*(R43-1)+MATCH(AB43,$AS$8:$AS$13,0),MATCH(O43,$AU$7:$BB$7,0))</f>
        <v>1</v>
      </c>
    </row>
    <row r="44" spans="1:42" ht="14.25" x14ac:dyDescent="0.45">
      <c r="A44" s="85" t="s">
        <v>25</v>
      </c>
      <c r="B44" s="31" t="s">
        <v>10</v>
      </c>
      <c r="C44" s="45"/>
      <c r="D44" s="45"/>
      <c r="E44" s="45"/>
      <c r="F44" cm="1">
        <f t="array" ref="F44">SUM(C44:C55*data!$B$3:$B$14)</f>
        <v>0</v>
      </c>
      <c r="G44" cm="1">
        <f t="array" ref="G44">SUM(D44:D55*data!$B$3:$B$14)</f>
        <v>0</v>
      </c>
      <c r="H44" cm="1">
        <f t="array" ref="H44">SUM(E44:E55*data!$B$3:$B$14)</f>
        <v>0</v>
      </c>
      <c r="I44" s="64" t="s">
        <v>156</v>
      </c>
      <c r="O44" s="43" t="s">
        <v>11</v>
      </c>
      <c r="P44" s="43">
        <v>2</v>
      </c>
      <c r="Q44" s="43">
        <v>2</v>
      </c>
      <c r="R44" s="43">
        <v>1</v>
      </c>
      <c r="S44" s="45"/>
      <c r="T44" t="b">
        <f>(S44+S45+S46)=N3</f>
        <v>0</v>
      </c>
      <c r="X44" s="1">
        <f t="shared" ref="X44:X85" si="6">MAX(S41-S44,0)</f>
        <v>0</v>
      </c>
      <c r="Y44" s="48">
        <v>0</v>
      </c>
      <c r="AA44" s="1">
        <v>1</v>
      </c>
      <c r="AB44" s="1" t="s">
        <v>12</v>
      </c>
      <c r="AC44" s="1" t="s">
        <v>18</v>
      </c>
      <c r="AD44" s="1">
        <v>20</v>
      </c>
      <c r="AE44" s="1">
        <v>18</v>
      </c>
      <c r="AF44" s="1">
        <v>0.76</v>
      </c>
      <c r="AG44" s="1">
        <v>0.81</v>
      </c>
      <c r="AH44" s="1">
        <v>0</v>
      </c>
      <c r="AI44" s="1">
        <v>0</v>
      </c>
      <c r="AJ44" s="1">
        <f t="shared" si="1"/>
        <v>0</v>
      </c>
      <c r="AK44" s="1">
        <f>C9</f>
        <v>25</v>
      </c>
      <c r="AL44" s="1">
        <f>C15</f>
        <v>0</v>
      </c>
      <c r="AM44" s="1">
        <f t="shared" si="2"/>
        <v>0</v>
      </c>
      <c r="AN44" s="1">
        <f t="shared" si="3"/>
        <v>0</v>
      </c>
      <c r="AO44" s="1">
        <f t="shared" si="4"/>
        <v>0</v>
      </c>
      <c r="AP44" t="b" cm="1">
        <f t="array" ref="AP44">INDEX($AU$8:$BB$25,6*(R44-1)+MATCH(AB44,$AS$8:$AS$13,0),MATCH(O44,$AU$7:$BB$7,0))</f>
        <v>1</v>
      </c>
    </row>
    <row r="45" spans="1:42" ht="14.55" customHeight="1" x14ac:dyDescent="0.45">
      <c r="A45" s="85"/>
      <c r="B45" s="31" t="s">
        <v>12</v>
      </c>
      <c r="C45" s="45"/>
      <c r="D45" s="45"/>
      <c r="E45" s="45"/>
      <c r="I45" s="64"/>
      <c r="O45" s="43" t="s">
        <v>11</v>
      </c>
      <c r="P45" s="43">
        <v>2</v>
      </c>
      <c r="Q45" s="43">
        <v>2</v>
      </c>
      <c r="R45" s="43">
        <v>2</v>
      </c>
      <c r="S45" s="45"/>
      <c r="T45" t="b">
        <f>(S44+S45+S46)=N3</f>
        <v>0</v>
      </c>
      <c r="X45" s="1">
        <f t="shared" si="6"/>
        <v>0</v>
      </c>
      <c r="Y45" s="48">
        <v>0</v>
      </c>
      <c r="AA45" s="1">
        <v>1</v>
      </c>
      <c r="AB45" s="1" t="s">
        <v>12</v>
      </c>
      <c r="AC45" s="1" t="s">
        <v>18</v>
      </c>
      <c r="AD45" s="1">
        <v>20</v>
      </c>
      <c r="AE45" s="1">
        <v>18</v>
      </c>
      <c r="AF45" s="1">
        <v>0.76</v>
      </c>
      <c r="AG45" s="1">
        <v>0.81</v>
      </c>
      <c r="AH45" s="1">
        <v>0</v>
      </c>
      <c r="AI45" s="1">
        <v>0</v>
      </c>
      <c r="AJ45" s="1">
        <f t="shared" si="1"/>
        <v>0</v>
      </c>
      <c r="AK45" s="1">
        <f>D9</f>
        <v>30</v>
      </c>
      <c r="AL45" s="1">
        <f>D15</f>
        <v>0</v>
      </c>
      <c r="AM45" s="1">
        <f t="shared" si="2"/>
        <v>0</v>
      </c>
      <c r="AN45" s="1">
        <f t="shared" si="3"/>
        <v>0</v>
      </c>
      <c r="AO45" s="1">
        <f t="shared" si="4"/>
        <v>0</v>
      </c>
      <c r="AP45" t="b" cm="1">
        <f t="array" ref="AP45">INDEX($AU$8:$BB$25,6*(R45-1)+MATCH(AB45,$AS$8:$AS$13,0),MATCH(O45,$AU$7:$BB$7,0))</f>
        <v>1</v>
      </c>
    </row>
    <row r="46" spans="1:42" ht="14.55" customHeight="1" x14ac:dyDescent="0.45">
      <c r="A46" s="85"/>
      <c r="B46" s="31" t="s">
        <v>13</v>
      </c>
      <c r="C46" s="45"/>
      <c r="D46" s="45"/>
      <c r="E46" s="45"/>
      <c r="F46" s="84" t="s">
        <v>137</v>
      </c>
      <c r="G46" s="84"/>
      <c r="I46" s="64"/>
      <c r="O46" s="43" t="s">
        <v>11</v>
      </c>
      <c r="P46" s="43">
        <v>2</v>
      </c>
      <c r="Q46" s="43">
        <v>2</v>
      </c>
      <c r="R46" s="43">
        <v>3</v>
      </c>
      <c r="S46" s="45"/>
      <c r="T46" t="b">
        <f>(S44+S45+S46)=N3</f>
        <v>0</v>
      </c>
      <c r="X46" s="1">
        <f t="shared" si="6"/>
        <v>0</v>
      </c>
      <c r="Y46" s="48">
        <v>0</v>
      </c>
      <c r="AA46" s="1">
        <v>1</v>
      </c>
      <c r="AB46" s="1" t="s">
        <v>12</v>
      </c>
      <c r="AC46" s="1" t="s">
        <v>18</v>
      </c>
      <c r="AD46" s="1">
        <v>20</v>
      </c>
      <c r="AE46" s="1">
        <v>18</v>
      </c>
      <c r="AF46" s="1">
        <v>0.76</v>
      </c>
      <c r="AG46" s="1">
        <v>0.81</v>
      </c>
      <c r="AH46" s="1">
        <v>0</v>
      </c>
      <c r="AI46" s="1">
        <v>0</v>
      </c>
      <c r="AJ46" s="1">
        <f t="shared" si="1"/>
        <v>0</v>
      </c>
      <c r="AK46" s="1">
        <f>E9</f>
        <v>0</v>
      </c>
      <c r="AL46" s="1">
        <f>E15</f>
        <v>0</v>
      </c>
      <c r="AM46" s="1">
        <f t="shared" si="2"/>
        <v>0</v>
      </c>
      <c r="AN46" s="1">
        <f t="shared" si="3"/>
        <v>0</v>
      </c>
      <c r="AO46" s="1">
        <f t="shared" si="4"/>
        <v>0</v>
      </c>
      <c r="AP46" t="b" cm="1">
        <f t="array" ref="AP46">INDEX($AU$8:$BB$25,6*(R46-1)+MATCH(AB46,$AS$8:$AS$13,0),MATCH(O46,$AU$7:$BB$7,0))</f>
        <v>1</v>
      </c>
    </row>
    <row r="47" spans="1:42" ht="14.55" customHeight="1" x14ac:dyDescent="0.45">
      <c r="A47" s="85"/>
      <c r="B47" s="31" t="s">
        <v>14</v>
      </c>
      <c r="C47" s="45"/>
      <c r="D47" s="45"/>
      <c r="E47" s="45"/>
      <c r="F47" s="83" cm="1">
        <f t="array" ref="F47">SUM(
     _xlfn.BYROW(
           IF(C44:E55-C32:E43&gt;0, C44:E55-C32:E43, 0),
           _xleta.SUM)
     *data!$C$3:$C$14
)</f>
        <v>0</v>
      </c>
      <c r="G47" s="83"/>
      <c r="I47" s="64"/>
      <c r="O47" s="43" t="s">
        <v>11</v>
      </c>
      <c r="P47" s="43">
        <v>2</v>
      </c>
      <c r="Q47" s="43">
        <v>3</v>
      </c>
      <c r="R47" s="43">
        <v>1</v>
      </c>
      <c r="S47" s="45"/>
      <c r="T47" t="b">
        <f>(S47+S48+S49)=N3</f>
        <v>0</v>
      </c>
      <c r="X47" s="1">
        <f t="shared" si="6"/>
        <v>0</v>
      </c>
      <c r="Y47" s="48">
        <v>0</v>
      </c>
      <c r="AA47" s="1">
        <v>11</v>
      </c>
      <c r="AB47" s="1" t="s">
        <v>15</v>
      </c>
      <c r="AC47" s="1" t="s">
        <v>21</v>
      </c>
      <c r="AD47" s="1">
        <v>10</v>
      </c>
      <c r="AE47" s="1">
        <v>7</v>
      </c>
      <c r="AF47" s="1">
        <v>0.76</v>
      </c>
      <c r="AG47" s="1">
        <v>0.84</v>
      </c>
      <c r="AH47" s="1">
        <v>0</v>
      </c>
      <c r="AI47" s="1">
        <v>0</v>
      </c>
      <c r="AJ47" s="1">
        <f t="shared" si="1"/>
        <v>0</v>
      </c>
      <c r="AK47" s="1">
        <f>C12</f>
        <v>40</v>
      </c>
      <c r="AL47" s="1">
        <f>C18</f>
        <v>0</v>
      </c>
      <c r="AM47" s="1">
        <f t="shared" si="2"/>
        <v>0</v>
      </c>
      <c r="AN47" s="1">
        <f t="shared" si="3"/>
        <v>0</v>
      </c>
      <c r="AO47" s="1">
        <f t="shared" si="4"/>
        <v>0</v>
      </c>
      <c r="AP47" t="b" cm="1">
        <f t="array" ref="AP47">INDEX($AU$8:$BB$25,6*(R47-1)+MATCH(AB47,$AS$8:$AS$13,0),MATCH(O47,$AU$7:$BB$7,0))</f>
        <v>1</v>
      </c>
    </row>
    <row r="48" spans="1:42" ht="14.55" customHeight="1" x14ac:dyDescent="0.45">
      <c r="A48" s="85"/>
      <c r="B48" s="31" t="s">
        <v>15</v>
      </c>
      <c r="C48" s="45"/>
      <c r="D48" s="45"/>
      <c r="E48" s="45"/>
      <c r="F48" s="84" t="s">
        <v>138</v>
      </c>
      <c r="G48" s="84"/>
      <c r="I48" s="64"/>
      <c r="O48" s="43" t="s">
        <v>11</v>
      </c>
      <c r="P48" s="43">
        <v>2</v>
      </c>
      <c r="Q48" s="43">
        <v>3</v>
      </c>
      <c r="R48" s="43">
        <v>2</v>
      </c>
      <c r="S48" s="45"/>
      <c r="T48" t="b">
        <f>(S47+S48+S49)=N3</f>
        <v>0</v>
      </c>
      <c r="X48" s="1">
        <f t="shared" si="6"/>
        <v>0</v>
      </c>
      <c r="Y48" s="48">
        <v>0</v>
      </c>
      <c r="AA48" s="1">
        <v>11</v>
      </c>
      <c r="AB48" s="1" t="s">
        <v>15</v>
      </c>
      <c r="AC48" s="1" t="s">
        <v>21</v>
      </c>
      <c r="AD48" s="1">
        <v>10</v>
      </c>
      <c r="AE48" s="1">
        <v>7</v>
      </c>
      <c r="AF48" s="1">
        <v>0.76</v>
      </c>
      <c r="AG48" s="1">
        <v>0.84</v>
      </c>
      <c r="AH48" s="1">
        <v>0</v>
      </c>
      <c r="AI48" s="1">
        <v>0</v>
      </c>
      <c r="AJ48" s="1">
        <f t="shared" si="1"/>
        <v>0</v>
      </c>
      <c r="AK48" s="1">
        <f>D12</f>
        <v>30</v>
      </c>
      <c r="AL48" s="1">
        <f>D18</f>
        <v>0</v>
      </c>
      <c r="AM48" s="1">
        <f t="shared" si="2"/>
        <v>0</v>
      </c>
      <c r="AN48" s="1">
        <f t="shared" si="3"/>
        <v>0</v>
      </c>
      <c r="AO48" s="1">
        <f t="shared" si="4"/>
        <v>0</v>
      </c>
      <c r="AP48" t="b" cm="1">
        <f t="array" ref="AP48">INDEX($AU$8:$BB$25,6*(R48-1)+MATCH(AB48,$AS$8:$AS$13,0),MATCH(O48,$AU$7:$BB$7,0))</f>
        <v>1</v>
      </c>
    </row>
    <row r="49" spans="1:42" ht="14.55" customHeight="1" x14ac:dyDescent="0.45">
      <c r="A49" s="85"/>
      <c r="B49" s="31" t="s">
        <v>16</v>
      </c>
      <c r="C49" s="45"/>
      <c r="D49" s="45"/>
      <c r="E49" s="45"/>
      <c r="F49" s="83" cm="1">
        <f t="array" ref="F49">SUM(
     _xlfn.BYROW(
           IF(C44:E55-C32:E43&lt;0, C44:E55-C32:E43, 0),
           _xleta.SUM)
     * -1000000
)</f>
        <v>0</v>
      </c>
      <c r="G49" s="83"/>
      <c r="I49" s="64"/>
      <c r="O49" s="43" t="s">
        <v>11</v>
      </c>
      <c r="P49" s="43">
        <v>2</v>
      </c>
      <c r="Q49" s="43">
        <v>3</v>
      </c>
      <c r="R49" s="43">
        <v>3</v>
      </c>
      <c r="S49" s="45"/>
      <c r="T49" t="b">
        <f>(S47+S48+S49)=N3</f>
        <v>0</v>
      </c>
      <c r="X49" s="1">
        <f t="shared" si="6"/>
        <v>0</v>
      </c>
      <c r="Y49" s="48">
        <v>0</v>
      </c>
      <c r="AA49" s="1">
        <v>11</v>
      </c>
      <c r="AB49" s="1" t="s">
        <v>15</v>
      </c>
      <c r="AC49" s="1" t="s">
        <v>21</v>
      </c>
      <c r="AD49" s="1">
        <v>10</v>
      </c>
      <c r="AE49" s="1">
        <v>7</v>
      </c>
      <c r="AF49" s="1">
        <v>0.76</v>
      </c>
      <c r="AG49" s="1">
        <v>0.84</v>
      </c>
      <c r="AH49" s="1">
        <v>0</v>
      </c>
      <c r="AI49" s="1">
        <v>0</v>
      </c>
      <c r="AJ49" s="1">
        <f t="shared" si="1"/>
        <v>0</v>
      </c>
      <c r="AK49" s="1">
        <f>E12</f>
        <v>16</v>
      </c>
      <c r="AL49" s="1">
        <f>E18</f>
        <v>0</v>
      </c>
      <c r="AM49" s="1">
        <f t="shared" si="2"/>
        <v>0</v>
      </c>
      <c r="AN49" s="1">
        <f t="shared" si="3"/>
        <v>0</v>
      </c>
      <c r="AO49" s="1">
        <f t="shared" si="4"/>
        <v>0</v>
      </c>
      <c r="AP49" t="b" cm="1">
        <f t="array" ref="AP49">INDEX($AU$8:$BB$25,6*(R49-1)+MATCH(AB49,$AS$8:$AS$13,0),MATCH(O49,$AU$7:$BB$7,0))</f>
        <v>1</v>
      </c>
    </row>
    <row r="50" spans="1:42" ht="14.55" customHeight="1" x14ac:dyDescent="0.45">
      <c r="A50" s="85"/>
      <c r="B50" s="31" t="s">
        <v>17</v>
      </c>
      <c r="C50" s="45"/>
      <c r="D50" s="45"/>
      <c r="E50" s="45"/>
      <c r="I50" s="64"/>
      <c r="O50" s="43" t="s">
        <v>11</v>
      </c>
      <c r="P50" s="43">
        <v>2</v>
      </c>
      <c r="Q50" s="43">
        <v>4</v>
      </c>
      <c r="R50" s="43">
        <v>1</v>
      </c>
      <c r="S50" s="45"/>
      <c r="T50" t="b">
        <f>(S50+S51+S52)=N3</f>
        <v>0</v>
      </c>
      <c r="X50" s="1">
        <f t="shared" si="6"/>
        <v>0</v>
      </c>
      <c r="Y50" s="48">
        <v>0</v>
      </c>
      <c r="AA50" s="1">
        <v>2</v>
      </c>
      <c r="AB50" s="1" t="s">
        <v>12</v>
      </c>
      <c r="AC50" s="1" t="s">
        <v>18</v>
      </c>
      <c r="AD50" s="1">
        <v>25</v>
      </c>
      <c r="AE50" s="1">
        <v>19</v>
      </c>
      <c r="AF50" s="1">
        <v>0.76</v>
      </c>
      <c r="AG50" s="1">
        <v>0.81</v>
      </c>
      <c r="AH50" s="1">
        <v>0</v>
      </c>
      <c r="AI50" s="1">
        <v>0</v>
      </c>
      <c r="AJ50" s="1">
        <f t="shared" si="1"/>
        <v>0</v>
      </c>
      <c r="AK50" s="1">
        <f>C9</f>
        <v>25</v>
      </c>
      <c r="AL50" s="1">
        <f>C15</f>
        <v>0</v>
      </c>
      <c r="AM50" s="1">
        <f t="shared" si="2"/>
        <v>0</v>
      </c>
      <c r="AN50" s="1">
        <f t="shared" si="3"/>
        <v>0</v>
      </c>
      <c r="AO50" s="1">
        <f t="shared" si="4"/>
        <v>0</v>
      </c>
      <c r="AP50" t="b" cm="1">
        <f t="array" ref="AP50">INDEX($AU$8:$BB$25,6*(R50-1)+MATCH(AB50,$AS$8:$AS$13,0),MATCH(O50,$AU$7:$BB$7,0))</f>
        <v>1</v>
      </c>
    </row>
    <row r="51" spans="1:42" ht="14.55" customHeight="1" x14ac:dyDescent="0.45">
      <c r="A51" s="85"/>
      <c r="B51" s="31" t="s">
        <v>18</v>
      </c>
      <c r="C51" s="45"/>
      <c r="D51" s="45"/>
      <c r="E51" s="45"/>
      <c r="I51" s="64"/>
      <c r="O51" s="43" t="s">
        <v>11</v>
      </c>
      <c r="P51" s="43">
        <v>2</v>
      </c>
      <c r="Q51" s="43">
        <v>4</v>
      </c>
      <c r="R51" s="43">
        <v>2</v>
      </c>
      <c r="S51" s="45"/>
      <c r="T51" t="b">
        <f>(S50+S51+S52)=N3</f>
        <v>0</v>
      </c>
      <c r="X51" s="1">
        <f t="shared" si="6"/>
        <v>0</v>
      </c>
      <c r="Y51" s="48">
        <v>0</v>
      </c>
      <c r="AA51" s="1">
        <v>2</v>
      </c>
      <c r="AB51" s="1" t="s">
        <v>12</v>
      </c>
      <c r="AC51" s="1" t="s">
        <v>18</v>
      </c>
      <c r="AD51" s="1">
        <v>25</v>
      </c>
      <c r="AE51" s="1">
        <v>19</v>
      </c>
      <c r="AF51" s="1">
        <v>0.76</v>
      </c>
      <c r="AG51" s="1">
        <v>0.81</v>
      </c>
      <c r="AH51" s="1">
        <v>0</v>
      </c>
      <c r="AI51" s="1">
        <v>0</v>
      </c>
      <c r="AJ51" s="1">
        <f t="shared" si="1"/>
        <v>0</v>
      </c>
      <c r="AK51" s="1">
        <f>D9</f>
        <v>30</v>
      </c>
      <c r="AL51" s="1">
        <f>D15</f>
        <v>0</v>
      </c>
      <c r="AM51" s="1">
        <f t="shared" si="2"/>
        <v>0</v>
      </c>
      <c r="AN51" s="1">
        <f t="shared" si="3"/>
        <v>0</v>
      </c>
      <c r="AO51" s="1">
        <f t="shared" si="4"/>
        <v>0</v>
      </c>
      <c r="AP51" t="b" cm="1">
        <f t="array" ref="AP51">INDEX($AU$8:$BB$25,6*(R51-1)+MATCH(AB51,$AS$8:$AS$13,0),MATCH(O51,$AU$7:$BB$7,0))</f>
        <v>1</v>
      </c>
    </row>
    <row r="52" spans="1:42" ht="14.55" customHeight="1" x14ac:dyDescent="0.45">
      <c r="A52" s="85"/>
      <c r="B52" s="31" t="s">
        <v>19</v>
      </c>
      <c r="C52" s="45"/>
      <c r="D52" s="45"/>
      <c r="E52" s="45"/>
      <c r="I52" s="64"/>
      <c r="O52" s="43" t="s">
        <v>11</v>
      </c>
      <c r="P52" s="43">
        <v>2</v>
      </c>
      <c r="Q52" s="43">
        <v>4</v>
      </c>
      <c r="R52" s="43">
        <v>3</v>
      </c>
      <c r="S52" s="45"/>
      <c r="T52" t="b">
        <f>(S50+S51+S52)=N3</f>
        <v>0</v>
      </c>
      <c r="X52" s="1">
        <f t="shared" si="6"/>
        <v>0</v>
      </c>
      <c r="Y52" s="48">
        <v>0</v>
      </c>
      <c r="AA52" s="1">
        <v>2</v>
      </c>
      <c r="AB52" s="1" t="s">
        <v>12</v>
      </c>
      <c r="AC52" s="1" t="s">
        <v>18</v>
      </c>
      <c r="AD52" s="1">
        <v>25</v>
      </c>
      <c r="AE52" s="1">
        <v>19</v>
      </c>
      <c r="AF52" s="1">
        <v>0.76</v>
      </c>
      <c r="AG52" s="1">
        <v>0.81</v>
      </c>
      <c r="AH52" s="1">
        <v>0</v>
      </c>
      <c r="AI52" s="1">
        <v>0</v>
      </c>
      <c r="AJ52" s="1">
        <f t="shared" si="1"/>
        <v>0</v>
      </c>
      <c r="AK52" s="1">
        <f>E9</f>
        <v>0</v>
      </c>
      <c r="AL52" s="1">
        <f>E15</f>
        <v>0</v>
      </c>
      <c r="AM52" s="1">
        <f t="shared" si="2"/>
        <v>0</v>
      </c>
      <c r="AN52" s="1">
        <f t="shared" si="3"/>
        <v>0</v>
      </c>
      <c r="AO52" s="1">
        <f t="shared" si="4"/>
        <v>0</v>
      </c>
      <c r="AP52" t="b" cm="1">
        <f t="array" ref="AP52">INDEX($AU$8:$BB$25,6*(R52-1)+MATCH(AB52,$AS$8:$AS$13,0),MATCH(O52,$AU$7:$BB$7,0))</f>
        <v>1</v>
      </c>
    </row>
    <row r="53" spans="1:42" ht="14.55" customHeight="1" x14ac:dyDescent="0.45">
      <c r="A53" s="85"/>
      <c r="B53" s="31" t="s">
        <v>20</v>
      </c>
      <c r="C53" s="45"/>
      <c r="D53" s="45"/>
      <c r="E53" s="45"/>
      <c r="I53" s="64"/>
      <c r="O53" s="43" t="s">
        <v>11</v>
      </c>
      <c r="P53" s="43">
        <v>2</v>
      </c>
      <c r="Q53" s="43">
        <v>5</v>
      </c>
      <c r="R53" s="43">
        <v>1</v>
      </c>
      <c r="S53" s="45"/>
      <c r="T53" t="b">
        <f>(S53+S54+S55)=N3</f>
        <v>0</v>
      </c>
      <c r="X53" s="1">
        <f t="shared" si="6"/>
        <v>0</v>
      </c>
      <c r="Y53" s="48">
        <v>0</v>
      </c>
      <c r="AA53" s="1">
        <v>3</v>
      </c>
      <c r="AB53" s="1" t="s">
        <v>12</v>
      </c>
      <c r="AC53" s="1" t="s">
        <v>18</v>
      </c>
      <c r="AD53" s="1">
        <v>15</v>
      </c>
      <c r="AE53" s="1">
        <v>11</v>
      </c>
      <c r="AF53" s="1">
        <v>0.76</v>
      </c>
      <c r="AG53" s="1">
        <v>0.81</v>
      </c>
      <c r="AH53" s="1">
        <v>0</v>
      </c>
      <c r="AI53" s="1">
        <v>0</v>
      </c>
      <c r="AJ53" s="1">
        <f t="shared" si="1"/>
        <v>0</v>
      </c>
      <c r="AK53" s="1">
        <f>C9</f>
        <v>25</v>
      </c>
      <c r="AL53" s="1">
        <f>C15</f>
        <v>0</v>
      </c>
      <c r="AM53" s="1">
        <f t="shared" si="2"/>
        <v>0</v>
      </c>
      <c r="AN53" s="1">
        <f t="shared" si="3"/>
        <v>0</v>
      </c>
      <c r="AO53" s="1">
        <f t="shared" si="4"/>
        <v>0</v>
      </c>
      <c r="AP53" t="b" cm="1">
        <f t="array" ref="AP53">INDEX($AU$8:$BB$25,6*(R53-1)+MATCH(AB53,$AS$8:$AS$13,0),MATCH(O53,$AU$7:$BB$7,0))</f>
        <v>1</v>
      </c>
    </row>
    <row r="54" spans="1:42" ht="14.55" customHeight="1" x14ac:dyDescent="0.45">
      <c r="A54" s="85"/>
      <c r="B54" s="31" t="s">
        <v>21</v>
      </c>
      <c r="C54" s="45"/>
      <c r="D54" s="45"/>
      <c r="E54" s="45"/>
      <c r="I54" s="64"/>
      <c r="O54" s="43" t="s">
        <v>11</v>
      </c>
      <c r="P54" s="43">
        <v>2</v>
      </c>
      <c r="Q54" s="43">
        <v>5</v>
      </c>
      <c r="R54" s="43">
        <v>2</v>
      </c>
      <c r="S54" s="45"/>
      <c r="T54" t="b">
        <f>(S53+S54+S55)=N3</f>
        <v>0</v>
      </c>
      <c r="X54" s="1">
        <f t="shared" si="6"/>
        <v>0</v>
      </c>
      <c r="Y54" s="48">
        <v>0</v>
      </c>
      <c r="AA54" s="1">
        <v>3</v>
      </c>
      <c r="AB54" s="1" t="s">
        <v>12</v>
      </c>
      <c r="AC54" s="1" t="s">
        <v>18</v>
      </c>
      <c r="AD54" s="1">
        <v>15</v>
      </c>
      <c r="AE54" s="1">
        <v>11</v>
      </c>
      <c r="AF54" s="1">
        <v>0.76</v>
      </c>
      <c r="AG54" s="1">
        <v>0.81</v>
      </c>
      <c r="AH54" s="1">
        <v>0</v>
      </c>
      <c r="AI54" s="1">
        <v>0</v>
      </c>
      <c r="AJ54" s="1">
        <f t="shared" si="1"/>
        <v>0</v>
      </c>
      <c r="AK54" s="1">
        <f>D9</f>
        <v>30</v>
      </c>
      <c r="AL54" s="1">
        <f>D15</f>
        <v>0</v>
      </c>
      <c r="AM54" s="1">
        <f t="shared" si="2"/>
        <v>0</v>
      </c>
      <c r="AN54" s="1">
        <f t="shared" si="3"/>
        <v>0</v>
      </c>
      <c r="AO54" s="1">
        <f t="shared" si="4"/>
        <v>0</v>
      </c>
      <c r="AP54" t="b" cm="1">
        <f t="array" ref="AP54">INDEX($AU$8:$BB$25,6*(R54-1)+MATCH(AB54,$AS$8:$AS$13,0),MATCH(O54,$AU$7:$BB$7,0))</f>
        <v>1</v>
      </c>
    </row>
    <row r="55" spans="1:42" ht="14.55" customHeight="1" x14ac:dyDescent="0.45">
      <c r="A55" s="85"/>
      <c r="B55" s="31" t="s">
        <v>22</v>
      </c>
      <c r="C55" s="45"/>
      <c r="D55" s="45"/>
      <c r="E55" s="45"/>
      <c r="F55" s="44" t="s">
        <v>134</v>
      </c>
      <c r="G55" s="44" t="s">
        <v>135</v>
      </c>
      <c r="H55" s="44" t="s">
        <v>136</v>
      </c>
      <c r="I55" s="64"/>
      <c r="O55" s="43" t="s">
        <v>11</v>
      </c>
      <c r="P55" s="43">
        <v>2</v>
      </c>
      <c r="Q55" s="43">
        <v>5</v>
      </c>
      <c r="R55" s="43">
        <v>3</v>
      </c>
      <c r="S55" s="45"/>
      <c r="T55" t="b">
        <f>(S53+S54+S55)=N3</f>
        <v>0</v>
      </c>
      <c r="X55" s="1">
        <f t="shared" si="6"/>
        <v>0</v>
      </c>
      <c r="Y55" s="48">
        <v>0</v>
      </c>
      <c r="AA55" s="1">
        <v>3</v>
      </c>
      <c r="AB55" s="1" t="s">
        <v>12</v>
      </c>
      <c r="AC55" s="1" t="s">
        <v>18</v>
      </c>
      <c r="AD55" s="1">
        <v>15</v>
      </c>
      <c r="AE55" s="1">
        <v>11</v>
      </c>
      <c r="AF55" s="1">
        <v>0.76</v>
      </c>
      <c r="AG55" s="1">
        <v>0.81</v>
      </c>
      <c r="AH55" s="1">
        <v>0</v>
      </c>
      <c r="AI55" s="1">
        <v>0</v>
      </c>
      <c r="AJ55" s="1">
        <f t="shared" si="1"/>
        <v>0</v>
      </c>
      <c r="AK55" s="1">
        <f>E9</f>
        <v>0</v>
      </c>
      <c r="AL55" s="1">
        <f>E15</f>
        <v>0</v>
      </c>
      <c r="AM55" s="1">
        <f t="shared" si="2"/>
        <v>0</v>
      </c>
      <c r="AN55" s="1">
        <f t="shared" si="3"/>
        <v>0</v>
      </c>
      <c r="AO55" s="1">
        <f t="shared" si="4"/>
        <v>0</v>
      </c>
      <c r="AP55" t="b" cm="1">
        <f t="array" ref="AP55">INDEX($AU$8:$BB$25,6*(R55-1)+MATCH(AB55,$AS$8:$AS$13,0),MATCH(O55,$AU$7:$BB$7,0))</f>
        <v>1</v>
      </c>
    </row>
    <row r="56" spans="1:42" ht="14.25" x14ac:dyDescent="0.45">
      <c r="A56" s="85" t="s">
        <v>26</v>
      </c>
      <c r="B56" s="31" t="s">
        <v>10</v>
      </c>
      <c r="C56" s="45"/>
      <c r="D56" s="45"/>
      <c r="E56" s="45"/>
      <c r="F56" cm="1">
        <f t="array" ref="F56">SUM(C56:C67*data!$B$3:$B$14)</f>
        <v>0</v>
      </c>
      <c r="G56" cm="1">
        <f t="array" ref="G56">SUM(D56:D67*data!$B$3:$B$14)</f>
        <v>0</v>
      </c>
      <c r="H56" cm="1">
        <f t="array" ref="H56">SUM(E56:E67*data!$B$3:$B$14)</f>
        <v>0</v>
      </c>
      <c r="I56" s="64" t="s">
        <v>156</v>
      </c>
      <c r="O56" s="43" t="s">
        <v>11</v>
      </c>
      <c r="P56" s="43">
        <v>2</v>
      </c>
      <c r="Q56" s="43">
        <v>6</v>
      </c>
      <c r="R56" s="43">
        <v>1</v>
      </c>
      <c r="S56" s="45"/>
      <c r="T56" t="b">
        <f>(S56+S57+S58)=N3</f>
        <v>0</v>
      </c>
      <c r="X56" s="1">
        <f t="shared" si="6"/>
        <v>0</v>
      </c>
      <c r="Y56" s="48">
        <v>0</v>
      </c>
      <c r="AA56" s="1">
        <v>5</v>
      </c>
      <c r="AB56" s="1" t="s">
        <v>16</v>
      </c>
      <c r="AC56" s="1" t="s">
        <v>22</v>
      </c>
      <c r="AD56" s="1">
        <v>16</v>
      </c>
      <c r="AE56" s="1">
        <v>14</v>
      </c>
      <c r="AF56" s="1">
        <v>0.8</v>
      </c>
      <c r="AG56" s="1">
        <v>0.9</v>
      </c>
      <c r="AH56" s="1">
        <v>0</v>
      </c>
      <c r="AI56" s="1">
        <v>0</v>
      </c>
      <c r="AJ56" s="1">
        <f t="shared" si="1"/>
        <v>0</v>
      </c>
      <c r="AK56" s="1">
        <f>C13</f>
        <v>90</v>
      </c>
      <c r="AL56" s="1">
        <f>C19</f>
        <v>0</v>
      </c>
      <c r="AM56" s="1">
        <f t="shared" si="2"/>
        <v>0</v>
      </c>
      <c r="AN56" s="1">
        <f t="shared" si="3"/>
        <v>0</v>
      </c>
      <c r="AO56" s="1">
        <f t="shared" si="4"/>
        <v>0</v>
      </c>
      <c r="AP56" t="b" cm="1">
        <f t="array" ref="AP56">INDEX($AU$8:$BB$25,6*(R56-1)+MATCH(AB56,$AS$8:$AS$13,0),MATCH(O56,$AU$7:$BB$7,0))</f>
        <v>1</v>
      </c>
    </row>
    <row r="57" spans="1:42" ht="14.55" customHeight="1" x14ac:dyDescent="0.45">
      <c r="A57" s="85"/>
      <c r="B57" s="31" t="s">
        <v>12</v>
      </c>
      <c r="C57" s="45"/>
      <c r="D57" s="45"/>
      <c r="E57" s="45"/>
      <c r="I57" s="64"/>
      <c r="O57" s="43" t="s">
        <v>11</v>
      </c>
      <c r="P57" s="43">
        <v>2</v>
      </c>
      <c r="Q57" s="43">
        <v>6</v>
      </c>
      <c r="R57" s="43">
        <v>2</v>
      </c>
      <c r="S57" s="45"/>
      <c r="T57" t="b">
        <f>(S56+S57+S58)=N3</f>
        <v>0</v>
      </c>
      <c r="X57" s="1">
        <f t="shared" si="6"/>
        <v>0</v>
      </c>
      <c r="Y57" s="48">
        <v>0</v>
      </c>
      <c r="AA57" s="1">
        <v>5</v>
      </c>
      <c r="AB57" s="1" t="s">
        <v>16</v>
      </c>
      <c r="AC57" s="1" t="s">
        <v>22</v>
      </c>
      <c r="AD57" s="1">
        <v>16</v>
      </c>
      <c r="AE57" s="1">
        <v>14</v>
      </c>
      <c r="AF57" s="1">
        <v>0.8</v>
      </c>
      <c r="AG57" s="1">
        <v>0.9</v>
      </c>
      <c r="AH57" s="1">
        <v>0</v>
      </c>
      <c r="AI57" s="1">
        <v>0</v>
      </c>
      <c r="AJ57" s="1">
        <f t="shared" si="1"/>
        <v>0</v>
      </c>
      <c r="AK57" s="1">
        <f>D13</f>
        <v>60</v>
      </c>
      <c r="AL57" s="1">
        <f>D19</f>
        <v>0</v>
      </c>
      <c r="AM57" s="1">
        <f t="shared" si="2"/>
        <v>0</v>
      </c>
      <c r="AN57" s="1">
        <f t="shared" si="3"/>
        <v>0</v>
      </c>
      <c r="AO57" s="1">
        <f t="shared" si="4"/>
        <v>0</v>
      </c>
      <c r="AP57" t="b" cm="1">
        <f t="array" ref="AP57">INDEX($AU$8:$BB$25,6*(R57-1)+MATCH(AB57,$AS$8:$AS$13,0),MATCH(O57,$AU$7:$BB$7,0))</f>
        <v>1</v>
      </c>
    </row>
    <row r="58" spans="1:42" ht="14.55" customHeight="1" x14ac:dyDescent="0.45">
      <c r="A58" s="85"/>
      <c r="B58" s="31" t="s">
        <v>13</v>
      </c>
      <c r="C58" s="45"/>
      <c r="D58" s="45"/>
      <c r="E58" s="45"/>
      <c r="F58" s="84" t="s">
        <v>137</v>
      </c>
      <c r="G58" s="84"/>
      <c r="I58" s="64"/>
      <c r="O58" s="43" t="s">
        <v>11</v>
      </c>
      <c r="P58" s="43">
        <v>2</v>
      </c>
      <c r="Q58" s="43">
        <v>6</v>
      </c>
      <c r="R58" s="43">
        <v>3</v>
      </c>
      <c r="S58" s="45"/>
      <c r="T58" t="b">
        <f>(S56+S57+S58)=N3</f>
        <v>0</v>
      </c>
      <c r="X58" s="1">
        <f t="shared" si="6"/>
        <v>0</v>
      </c>
      <c r="Y58" s="48">
        <v>0</v>
      </c>
      <c r="AA58" s="1">
        <v>5</v>
      </c>
      <c r="AB58" s="1" t="s">
        <v>16</v>
      </c>
      <c r="AC58" s="1" t="s">
        <v>22</v>
      </c>
      <c r="AD58" s="1">
        <v>16</v>
      </c>
      <c r="AE58" s="1">
        <v>14</v>
      </c>
      <c r="AF58" s="1">
        <v>0.8</v>
      </c>
      <c r="AG58" s="1">
        <v>0.9</v>
      </c>
      <c r="AH58" s="1">
        <v>0</v>
      </c>
      <c r="AI58" s="1">
        <v>0</v>
      </c>
      <c r="AJ58" s="1">
        <f t="shared" si="1"/>
        <v>0</v>
      </c>
      <c r="AK58" s="1">
        <f>E13</f>
        <v>36</v>
      </c>
      <c r="AL58" s="1">
        <f>E19</f>
        <v>0</v>
      </c>
      <c r="AM58" s="1">
        <f t="shared" si="2"/>
        <v>0</v>
      </c>
      <c r="AN58" s="1">
        <f t="shared" si="3"/>
        <v>0</v>
      </c>
      <c r="AO58" s="1">
        <f t="shared" si="4"/>
        <v>0</v>
      </c>
      <c r="AP58" t="b" cm="1">
        <f t="array" ref="AP58">INDEX($AU$8:$BB$25,6*(R58-1)+MATCH(AB58,$AS$8:$AS$13,0),MATCH(O58,$AU$7:$BB$7,0))</f>
        <v>1</v>
      </c>
    </row>
    <row r="59" spans="1:42" ht="14.55" customHeight="1" x14ac:dyDescent="0.45">
      <c r="A59" s="85"/>
      <c r="B59" s="31" t="s">
        <v>14</v>
      </c>
      <c r="C59" s="45"/>
      <c r="D59" s="45"/>
      <c r="E59" s="45"/>
      <c r="F59" s="83" cm="1">
        <f t="array" ref="F59">SUM(
     _xlfn.BYROW(
           IF(C56:E67-C44:E55&gt;0, C56:E67-C44:E55, 0),
           _xleta.SUM)
     *data!$C$3:$C$14
)</f>
        <v>0</v>
      </c>
      <c r="G59" s="83"/>
      <c r="I59" s="64"/>
      <c r="O59" s="43" t="s">
        <v>11</v>
      </c>
      <c r="P59" s="43">
        <v>2</v>
      </c>
      <c r="Q59" s="43">
        <v>7</v>
      </c>
      <c r="R59" s="43">
        <v>1</v>
      </c>
      <c r="S59" s="45"/>
      <c r="T59" t="b">
        <f>(S59+S60+S61)=N3</f>
        <v>0</v>
      </c>
      <c r="X59" s="1">
        <f t="shared" si="6"/>
        <v>0</v>
      </c>
      <c r="Y59" s="48">
        <v>0</v>
      </c>
      <c r="AA59" s="1">
        <v>4</v>
      </c>
      <c r="AB59" s="1" t="s">
        <v>16</v>
      </c>
      <c r="AC59" s="1" t="s">
        <v>22</v>
      </c>
      <c r="AD59" s="1">
        <v>17</v>
      </c>
      <c r="AE59" s="1">
        <v>15</v>
      </c>
      <c r="AF59" s="1">
        <v>0.8</v>
      </c>
      <c r="AG59" s="1">
        <v>0.9</v>
      </c>
      <c r="AH59" s="1">
        <v>0</v>
      </c>
      <c r="AI59" s="1">
        <v>0</v>
      </c>
      <c r="AJ59" s="1">
        <f t="shared" si="1"/>
        <v>0</v>
      </c>
      <c r="AK59" s="1">
        <f>C13</f>
        <v>90</v>
      </c>
      <c r="AL59" s="1">
        <f>C19</f>
        <v>0</v>
      </c>
      <c r="AM59" s="1">
        <f t="shared" si="2"/>
        <v>0</v>
      </c>
      <c r="AN59" s="1">
        <f t="shared" si="3"/>
        <v>0</v>
      </c>
      <c r="AO59" s="1">
        <f t="shared" si="4"/>
        <v>0</v>
      </c>
      <c r="AP59" t="b" cm="1">
        <f t="array" ref="AP59">INDEX($AU$8:$BB$25,6*(R59-1)+MATCH(AB59,$AS$8:$AS$13,0),MATCH(O59,$AU$7:$BB$7,0))</f>
        <v>1</v>
      </c>
    </row>
    <row r="60" spans="1:42" ht="14.55" customHeight="1" x14ac:dyDescent="0.45">
      <c r="A60" s="85"/>
      <c r="B60" s="31" t="s">
        <v>15</v>
      </c>
      <c r="C60" s="45"/>
      <c r="D60" s="45"/>
      <c r="E60" s="45"/>
      <c r="F60" s="84" t="s">
        <v>138</v>
      </c>
      <c r="G60" s="84"/>
      <c r="I60" s="64"/>
      <c r="O60" s="43" t="s">
        <v>11</v>
      </c>
      <c r="P60" s="43">
        <v>2</v>
      </c>
      <c r="Q60" s="43">
        <v>7</v>
      </c>
      <c r="R60" s="43">
        <v>2</v>
      </c>
      <c r="S60" s="45"/>
      <c r="T60" t="b">
        <f>(S59+S60+S61)=N3</f>
        <v>0</v>
      </c>
      <c r="X60" s="1">
        <f t="shared" si="6"/>
        <v>0</v>
      </c>
      <c r="Y60" s="48">
        <v>0</v>
      </c>
      <c r="AA60" s="1">
        <v>4</v>
      </c>
      <c r="AB60" s="1" t="s">
        <v>16</v>
      </c>
      <c r="AC60" s="1" t="s">
        <v>22</v>
      </c>
      <c r="AD60" s="1">
        <v>17</v>
      </c>
      <c r="AE60" s="1">
        <v>15</v>
      </c>
      <c r="AF60" s="1">
        <v>0.8</v>
      </c>
      <c r="AG60" s="1">
        <v>0.9</v>
      </c>
      <c r="AH60" s="1">
        <v>0</v>
      </c>
      <c r="AI60" s="1">
        <v>0</v>
      </c>
      <c r="AJ60" s="1">
        <f t="shared" si="1"/>
        <v>0</v>
      </c>
      <c r="AK60" s="1">
        <f>D13</f>
        <v>60</v>
      </c>
      <c r="AL60" s="1">
        <f>D19</f>
        <v>0</v>
      </c>
      <c r="AM60" s="1">
        <f t="shared" si="2"/>
        <v>0</v>
      </c>
      <c r="AN60" s="1">
        <f t="shared" si="3"/>
        <v>0</v>
      </c>
      <c r="AO60" s="1">
        <f t="shared" si="4"/>
        <v>0</v>
      </c>
      <c r="AP60" t="b" cm="1">
        <f t="array" ref="AP60">INDEX($AU$8:$BB$25,6*(R60-1)+MATCH(AB60,$AS$8:$AS$13,0),MATCH(O60,$AU$7:$BB$7,0))</f>
        <v>1</v>
      </c>
    </row>
    <row r="61" spans="1:42" ht="14.55" customHeight="1" x14ac:dyDescent="0.45">
      <c r="A61" s="85"/>
      <c r="B61" s="31" t="s">
        <v>16</v>
      </c>
      <c r="C61" s="45"/>
      <c r="D61" s="45"/>
      <c r="E61" s="45"/>
      <c r="F61" s="83" cm="1">
        <f t="array" ref="F61">SUM(
     _xlfn.BYROW(
           IF(C56:E67-C44:E55&lt;0, C56:E67-C44:E55, 0),
           _xleta.SUM)
     * -1000000
)</f>
        <v>0</v>
      </c>
      <c r="G61" s="83"/>
      <c r="I61" s="64"/>
      <c r="O61" s="43" t="s">
        <v>11</v>
      </c>
      <c r="P61" s="43">
        <v>2</v>
      </c>
      <c r="Q61" s="43">
        <v>7</v>
      </c>
      <c r="R61" s="43">
        <v>3</v>
      </c>
      <c r="S61" s="45"/>
      <c r="T61" t="b">
        <f>(S59+S60+S61)=N3</f>
        <v>0</v>
      </c>
      <c r="X61" s="1">
        <f t="shared" si="6"/>
        <v>0</v>
      </c>
      <c r="Y61" s="48">
        <v>0</v>
      </c>
      <c r="AA61" s="1">
        <v>4</v>
      </c>
      <c r="AB61" s="1" t="s">
        <v>16</v>
      </c>
      <c r="AC61" s="1" t="s">
        <v>22</v>
      </c>
      <c r="AD61" s="1">
        <v>17</v>
      </c>
      <c r="AE61" s="1">
        <v>15</v>
      </c>
      <c r="AF61" s="1">
        <v>0.8</v>
      </c>
      <c r="AG61" s="1">
        <v>0.9</v>
      </c>
      <c r="AH61" s="1">
        <v>0</v>
      </c>
      <c r="AI61" s="1">
        <v>0</v>
      </c>
      <c r="AJ61" s="1">
        <f t="shared" si="1"/>
        <v>0</v>
      </c>
      <c r="AK61" s="1">
        <f>E13</f>
        <v>36</v>
      </c>
      <c r="AL61" s="1">
        <f>E19</f>
        <v>0</v>
      </c>
      <c r="AM61" s="1">
        <f t="shared" si="2"/>
        <v>0</v>
      </c>
      <c r="AN61" s="1">
        <f t="shared" si="3"/>
        <v>0</v>
      </c>
      <c r="AO61" s="1">
        <f t="shared" si="4"/>
        <v>0</v>
      </c>
      <c r="AP61" t="b" cm="1">
        <f t="array" ref="AP61">INDEX($AU$8:$BB$25,6*(R61-1)+MATCH(AB61,$AS$8:$AS$13,0),MATCH(O61,$AU$7:$BB$7,0))</f>
        <v>1</v>
      </c>
    </row>
    <row r="62" spans="1:42" ht="14.55" customHeight="1" x14ac:dyDescent="0.45">
      <c r="A62" s="85"/>
      <c r="B62" s="31" t="s">
        <v>17</v>
      </c>
      <c r="C62" s="45"/>
      <c r="D62" s="45"/>
      <c r="E62" s="45"/>
      <c r="I62" s="64"/>
      <c r="O62" s="43" t="s">
        <v>11</v>
      </c>
      <c r="P62" s="43">
        <v>2</v>
      </c>
      <c r="Q62" s="43">
        <v>8</v>
      </c>
      <c r="R62" s="43">
        <v>1</v>
      </c>
      <c r="S62" s="45"/>
      <c r="T62" t="b">
        <f>(S62+S63+S64)=N3</f>
        <v>0</v>
      </c>
      <c r="X62" s="1">
        <f t="shared" si="6"/>
        <v>0</v>
      </c>
      <c r="Y62" s="48">
        <v>0</v>
      </c>
      <c r="AA62" s="1">
        <v>4</v>
      </c>
      <c r="AB62" s="1" t="s">
        <v>12</v>
      </c>
      <c r="AC62" s="1" t="s">
        <v>18</v>
      </c>
      <c r="AD62" s="1">
        <v>22</v>
      </c>
      <c r="AE62" s="1">
        <v>16</v>
      </c>
      <c r="AF62" s="1">
        <v>0.76</v>
      </c>
      <c r="AG62" s="1">
        <v>0.81</v>
      </c>
      <c r="AH62" s="1">
        <v>0</v>
      </c>
      <c r="AI62" s="1">
        <v>0</v>
      </c>
      <c r="AJ62" s="1">
        <f t="shared" si="1"/>
        <v>0</v>
      </c>
      <c r="AK62" s="1">
        <f>C9</f>
        <v>25</v>
      </c>
      <c r="AL62" s="1">
        <f>C15</f>
        <v>0</v>
      </c>
      <c r="AM62" s="1">
        <f t="shared" si="2"/>
        <v>0</v>
      </c>
      <c r="AN62" s="1">
        <f t="shared" si="3"/>
        <v>0</v>
      </c>
      <c r="AO62" s="1">
        <f t="shared" si="4"/>
        <v>0</v>
      </c>
      <c r="AP62" t="b" cm="1">
        <f t="array" ref="AP62">INDEX($AU$8:$BB$25,6*(R62-1)+MATCH(AB62,$AS$8:$AS$13,0),MATCH(O62,$AU$7:$BB$7,0))</f>
        <v>1</v>
      </c>
    </row>
    <row r="63" spans="1:42" ht="14.55" customHeight="1" x14ac:dyDescent="0.45">
      <c r="A63" s="85"/>
      <c r="B63" s="31" t="s">
        <v>18</v>
      </c>
      <c r="C63" s="45"/>
      <c r="D63" s="45"/>
      <c r="E63" s="45"/>
      <c r="I63" s="64"/>
      <c r="O63" s="43" t="s">
        <v>11</v>
      </c>
      <c r="P63" s="43">
        <v>2</v>
      </c>
      <c r="Q63" s="43">
        <v>8</v>
      </c>
      <c r="R63" s="43">
        <v>2</v>
      </c>
      <c r="S63" s="45"/>
      <c r="T63" t="b">
        <f>(S62+S63+S64)=N3</f>
        <v>0</v>
      </c>
      <c r="X63" s="1">
        <f t="shared" si="6"/>
        <v>0</v>
      </c>
      <c r="Y63" s="48">
        <v>0</v>
      </c>
      <c r="AA63" s="1">
        <v>4</v>
      </c>
      <c r="AB63" s="1" t="s">
        <v>12</v>
      </c>
      <c r="AC63" s="1" t="s">
        <v>18</v>
      </c>
      <c r="AD63" s="1">
        <v>22</v>
      </c>
      <c r="AE63" s="1">
        <v>16</v>
      </c>
      <c r="AF63" s="1">
        <v>0.76</v>
      </c>
      <c r="AG63" s="1">
        <v>0.81</v>
      </c>
      <c r="AH63" s="1">
        <v>0</v>
      </c>
      <c r="AI63" s="1">
        <v>0</v>
      </c>
      <c r="AJ63" s="1">
        <f t="shared" si="1"/>
        <v>0</v>
      </c>
      <c r="AK63" s="1">
        <f>D9</f>
        <v>30</v>
      </c>
      <c r="AL63" s="1">
        <f>D15</f>
        <v>0</v>
      </c>
      <c r="AM63" s="1">
        <f t="shared" si="2"/>
        <v>0</v>
      </c>
      <c r="AN63" s="1">
        <f t="shared" si="3"/>
        <v>0</v>
      </c>
      <c r="AO63" s="1">
        <f t="shared" si="4"/>
        <v>0</v>
      </c>
      <c r="AP63" t="b" cm="1">
        <f t="array" ref="AP63">INDEX($AU$8:$BB$25,6*(R63-1)+MATCH(AB63,$AS$8:$AS$13,0),MATCH(O63,$AU$7:$BB$7,0))</f>
        <v>1</v>
      </c>
    </row>
    <row r="64" spans="1:42" ht="14.55" customHeight="1" x14ac:dyDescent="0.45">
      <c r="A64" s="85"/>
      <c r="B64" s="31" t="s">
        <v>19</v>
      </c>
      <c r="C64" s="45"/>
      <c r="D64" s="45"/>
      <c r="E64" s="45"/>
      <c r="I64" s="64"/>
      <c r="O64" s="43" t="s">
        <v>11</v>
      </c>
      <c r="P64" s="43">
        <v>2</v>
      </c>
      <c r="Q64" s="43">
        <v>8</v>
      </c>
      <c r="R64" s="43">
        <v>3</v>
      </c>
      <c r="S64" s="45"/>
      <c r="T64" t="b">
        <f>(S62+S63+S64)=N3</f>
        <v>0</v>
      </c>
      <c r="X64" s="1">
        <f t="shared" si="6"/>
        <v>0</v>
      </c>
      <c r="Y64" s="48">
        <v>0</v>
      </c>
      <c r="AA64" s="1">
        <v>4</v>
      </c>
      <c r="AB64" s="1" t="s">
        <v>12</v>
      </c>
      <c r="AC64" s="1" t="s">
        <v>18</v>
      </c>
      <c r="AD64" s="1">
        <v>22</v>
      </c>
      <c r="AE64" s="1">
        <v>16</v>
      </c>
      <c r="AF64" s="1">
        <v>0.76</v>
      </c>
      <c r="AG64" s="1">
        <v>0.81</v>
      </c>
      <c r="AH64" s="1">
        <v>0</v>
      </c>
      <c r="AI64" s="1">
        <v>0</v>
      </c>
      <c r="AJ64" s="1">
        <f t="shared" si="1"/>
        <v>0</v>
      </c>
      <c r="AK64" s="1">
        <f>E9</f>
        <v>0</v>
      </c>
      <c r="AL64" s="1">
        <f>E15</f>
        <v>0</v>
      </c>
      <c r="AM64" s="1">
        <f t="shared" si="2"/>
        <v>0</v>
      </c>
      <c r="AN64" s="1">
        <f t="shared" si="3"/>
        <v>0</v>
      </c>
      <c r="AO64" s="1">
        <f t="shared" si="4"/>
        <v>0</v>
      </c>
      <c r="AP64" t="b" cm="1">
        <f t="array" ref="AP64">INDEX($AU$8:$BB$25,6*(R64-1)+MATCH(AB64,$AS$8:$AS$13,0),MATCH(O64,$AU$7:$BB$7,0))</f>
        <v>1</v>
      </c>
    </row>
    <row r="65" spans="1:42" ht="14.55" customHeight="1" x14ac:dyDescent="0.45">
      <c r="A65" s="85"/>
      <c r="B65" s="31" t="s">
        <v>20</v>
      </c>
      <c r="C65" s="45"/>
      <c r="D65" s="45"/>
      <c r="E65" s="45"/>
      <c r="I65" s="64"/>
      <c r="O65" s="43" t="s">
        <v>11</v>
      </c>
      <c r="P65" s="43">
        <v>2</v>
      </c>
      <c r="Q65" s="43">
        <v>9</v>
      </c>
      <c r="R65" s="43">
        <v>1</v>
      </c>
      <c r="S65" s="45"/>
      <c r="T65" t="b">
        <f>(S65+S66+S67)=N3</f>
        <v>0</v>
      </c>
      <c r="X65" s="1">
        <f t="shared" si="6"/>
        <v>0</v>
      </c>
      <c r="Y65" s="48">
        <v>0</v>
      </c>
      <c r="AA65" s="1">
        <v>4</v>
      </c>
      <c r="AB65" s="1" t="s">
        <v>15</v>
      </c>
      <c r="AC65" s="1" t="s">
        <v>21</v>
      </c>
      <c r="AD65" s="1">
        <v>7</v>
      </c>
      <c r="AE65" s="1">
        <v>6</v>
      </c>
      <c r="AF65" s="1">
        <v>0.76</v>
      </c>
      <c r="AG65" s="1">
        <v>0.84</v>
      </c>
      <c r="AH65" s="1">
        <v>0</v>
      </c>
      <c r="AI65" s="1">
        <v>0</v>
      </c>
      <c r="AJ65" s="1">
        <f t="shared" si="1"/>
        <v>0</v>
      </c>
      <c r="AK65" s="1">
        <f>C12</f>
        <v>40</v>
      </c>
      <c r="AL65" s="1">
        <f>C18</f>
        <v>0</v>
      </c>
      <c r="AM65" s="1">
        <f t="shared" si="2"/>
        <v>0</v>
      </c>
      <c r="AN65" s="1">
        <f t="shared" si="3"/>
        <v>0</v>
      </c>
      <c r="AO65" s="1">
        <f t="shared" si="4"/>
        <v>0</v>
      </c>
      <c r="AP65" t="b" cm="1">
        <f t="array" ref="AP65">INDEX($AU$8:$BB$25,6*(R65-1)+MATCH(AB65,$AS$8:$AS$13,0),MATCH(O65,$AU$7:$BB$7,0))</f>
        <v>1</v>
      </c>
    </row>
    <row r="66" spans="1:42" ht="14.55" customHeight="1" x14ac:dyDescent="0.45">
      <c r="A66" s="85"/>
      <c r="B66" s="31" t="s">
        <v>21</v>
      </c>
      <c r="C66" s="45"/>
      <c r="D66" s="45"/>
      <c r="E66" s="45"/>
      <c r="I66" s="64"/>
      <c r="O66" s="43" t="s">
        <v>11</v>
      </c>
      <c r="P66" s="43">
        <v>2</v>
      </c>
      <c r="Q66" s="43">
        <v>9</v>
      </c>
      <c r="R66" s="43">
        <v>2</v>
      </c>
      <c r="S66" s="45"/>
      <c r="T66" t="b">
        <f>(S65+S66+S67)=N3</f>
        <v>0</v>
      </c>
      <c r="X66" s="1">
        <f t="shared" si="6"/>
        <v>0</v>
      </c>
      <c r="Y66" s="48">
        <v>0</v>
      </c>
      <c r="AA66" s="1">
        <v>4</v>
      </c>
      <c r="AB66" s="1" t="s">
        <v>15</v>
      </c>
      <c r="AC66" s="1" t="s">
        <v>21</v>
      </c>
      <c r="AD66" s="1">
        <v>7</v>
      </c>
      <c r="AE66" s="1">
        <v>6</v>
      </c>
      <c r="AF66" s="1">
        <v>0.76</v>
      </c>
      <c r="AG66" s="1">
        <v>0.84</v>
      </c>
      <c r="AH66" s="1">
        <v>0</v>
      </c>
      <c r="AI66" s="1">
        <v>0</v>
      </c>
      <c r="AJ66" s="1">
        <f t="shared" si="1"/>
        <v>0</v>
      </c>
      <c r="AK66" s="1">
        <f>D12</f>
        <v>30</v>
      </c>
      <c r="AL66" s="1">
        <f>D18</f>
        <v>0</v>
      </c>
      <c r="AM66" s="1">
        <f t="shared" si="2"/>
        <v>0</v>
      </c>
      <c r="AN66" s="1">
        <f t="shared" si="3"/>
        <v>0</v>
      </c>
      <c r="AO66" s="1">
        <f t="shared" si="4"/>
        <v>0</v>
      </c>
      <c r="AP66" t="b" cm="1">
        <f t="array" ref="AP66">INDEX($AU$8:$BB$25,6*(R66-1)+MATCH(AB66,$AS$8:$AS$13,0),MATCH(O66,$AU$7:$BB$7,0))</f>
        <v>1</v>
      </c>
    </row>
    <row r="67" spans="1:42" ht="14.55" customHeight="1" x14ac:dyDescent="0.45">
      <c r="A67" s="85"/>
      <c r="B67" s="31" t="s">
        <v>22</v>
      </c>
      <c r="C67" s="45"/>
      <c r="D67" s="45"/>
      <c r="E67" s="45"/>
      <c r="F67" s="44" t="s">
        <v>134</v>
      </c>
      <c r="G67" s="44" t="s">
        <v>135</v>
      </c>
      <c r="H67" s="44" t="s">
        <v>136</v>
      </c>
      <c r="I67" s="64"/>
      <c r="O67" s="43" t="s">
        <v>11</v>
      </c>
      <c r="P67" s="43">
        <v>2</v>
      </c>
      <c r="Q67" s="43">
        <v>9</v>
      </c>
      <c r="R67" s="43">
        <v>3</v>
      </c>
      <c r="S67" s="45"/>
      <c r="T67" t="b">
        <f>(S65+S66+S67)=N3</f>
        <v>0</v>
      </c>
      <c r="X67" s="1">
        <f t="shared" si="6"/>
        <v>0</v>
      </c>
      <c r="Y67" s="48">
        <v>0</v>
      </c>
      <c r="AA67" s="1">
        <v>4</v>
      </c>
      <c r="AB67" s="1" t="s">
        <v>15</v>
      </c>
      <c r="AC67" s="1" t="s">
        <v>21</v>
      </c>
      <c r="AD67" s="1">
        <v>7</v>
      </c>
      <c r="AE67" s="1">
        <v>6</v>
      </c>
      <c r="AF67" s="1">
        <v>0.76</v>
      </c>
      <c r="AG67" s="1">
        <v>0.84</v>
      </c>
      <c r="AH67" s="1">
        <v>0</v>
      </c>
      <c r="AI67" s="1">
        <v>0</v>
      </c>
      <c r="AJ67" s="1">
        <f t="shared" si="1"/>
        <v>0</v>
      </c>
      <c r="AK67" s="1">
        <f>E12</f>
        <v>16</v>
      </c>
      <c r="AL67" s="1">
        <f>E18</f>
        <v>0</v>
      </c>
      <c r="AM67" s="1">
        <f t="shared" si="2"/>
        <v>0</v>
      </c>
      <c r="AN67" s="1">
        <f t="shared" si="3"/>
        <v>0</v>
      </c>
      <c r="AO67" s="1">
        <f t="shared" si="4"/>
        <v>0</v>
      </c>
      <c r="AP67" t="b" cm="1">
        <f t="array" ref="AP67">INDEX($AU$8:$BB$25,6*(R67-1)+MATCH(AB67,$AS$8:$AS$13,0),MATCH(O67,$AU$7:$BB$7,0))</f>
        <v>1</v>
      </c>
    </row>
    <row r="68" spans="1:42" ht="14.25" x14ac:dyDescent="0.45">
      <c r="A68" s="85" t="s">
        <v>27</v>
      </c>
      <c r="B68" s="31" t="s">
        <v>10</v>
      </c>
      <c r="C68" s="45"/>
      <c r="D68" s="45"/>
      <c r="E68" s="45"/>
      <c r="F68" cm="1">
        <f t="array" ref="F68">SUM(C68:C79*data!$B$3:$B$14)</f>
        <v>0</v>
      </c>
      <c r="G68" cm="1">
        <f t="array" ref="G68">SUM(D68:D79*data!$B$3:$B$14)</f>
        <v>0</v>
      </c>
      <c r="H68" cm="1">
        <f t="array" ref="H68">SUM(E68:E79*data!$B$3:$B$14)</f>
        <v>0</v>
      </c>
      <c r="I68" s="64" t="s">
        <v>156</v>
      </c>
      <c r="O68" s="43" t="s">
        <v>11</v>
      </c>
      <c r="P68" s="43">
        <v>2</v>
      </c>
      <c r="Q68" s="43">
        <v>10</v>
      </c>
      <c r="R68" s="43">
        <v>1</v>
      </c>
      <c r="S68" s="45"/>
      <c r="T68" t="b">
        <f>(S68+S69+S70)=N3</f>
        <v>0</v>
      </c>
      <c r="X68" s="1">
        <f t="shared" si="6"/>
        <v>0</v>
      </c>
      <c r="Y68" s="48">
        <v>0</v>
      </c>
      <c r="AA68" s="1">
        <v>6</v>
      </c>
      <c r="AB68" s="1" t="s">
        <v>15</v>
      </c>
      <c r="AC68" s="1" t="s">
        <v>21</v>
      </c>
      <c r="AD68" s="1">
        <v>9</v>
      </c>
      <c r="AE68" s="1">
        <v>7</v>
      </c>
      <c r="AF68" s="1">
        <v>0.76</v>
      </c>
      <c r="AG68" s="1">
        <v>0.84</v>
      </c>
      <c r="AH68" s="1">
        <v>0</v>
      </c>
      <c r="AI68" s="1">
        <v>0</v>
      </c>
      <c r="AJ68" s="1">
        <f t="shared" si="1"/>
        <v>0</v>
      </c>
      <c r="AK68" s="1">
        <f>C12</f>
        <v>40</v>
      </c>
      <c r="AL68" s="1">
        <f>C18</f>
        <v>0</v>
      </c>
      <c r="AM68" s="1">
        <f t="shared" si="2"/>
        <v>0</v>
      </c>
      <c r="AN68" s="1">
        <f t="shared" si="3"/>
        <v>0</v>
      </c>
      <c r="AO68" s="1">
        <f t="shared" si="4"/>
        <v>0</v>
      </c>
      <c r="AP68" t="b" cm="1">
        <f t="array" ref="AP68">INDEX($AU$8:$BB$25,6*(R68-1)+MATCH(AB68,$AS$8:$AS$13,0),MATCH(O68,$AU$7:$BB$7,0))</f>
        <v>1</v>
      </c>
    </row>
    <row r="69" spans="1:42" ht="14.55" customHeight="1" x14ac:dyDescent="0.45">
      <c r="A69" s="85"/>
      <c r="B69" s="31" t="s">
        <v>12</v>
      </c>
      <c r="C69" s="45"/>
      <c r="D69" s="45"/>
      <c r="E69" s="45"/>
      <c r="I69" s="64"/>
      <c r="O69" s="43" t="s">
        <v>11</v>
      </c>
      <c r="P69" s="43">
        <v>2</v>
      </c>
      <c r="Q69" s="43">
        <v>10</v>
      </c>
      <c r="R69" s="43">
        <v>2</v>
      </c>
      <c r="S69" s="45"/>
      <c r="T69" t="b">
        <f>(S68+S69+S70)=N3</f>
        <v>0</v>
      </c>
      <c r="X69" s="1">
        <f t="shared" si="6"/>
        <v>0</v>
      </c>
      <c r="Y69" s="48">
        <v>0</v>
      </c>
      <c r="AA69" s="1">
        <v>6</v>
      </c>
      <c r="AB69" s="1" t="s">
        <v>15</v>
      </c>
      <c r="AC69" s="1" t="s">
        <v>21</v>
      </c>
      <c r="AD69" s="1">
        <v>9</v>
      </c>
      <c r="AE69" s="1">
        <v>7</v>
      </c>
      <c r="AF69" s="1">
        <v>0.76</v>
      </c>
      <c r="AG69" s="1">
        <v>0.84</v>
      </c>
      <c r="AH69" s="1">
        <v>0</v>
      </c>
      <c r="AI69" s="1">
        <v>0</v>
      </c>
      <c r="AJ69" s="1">
        <f t="shared" si="1"/>
        <v>0</v>
      </c>
      <c r="AK69" s="1">
        <f>D12</f>
        <v>30</v>
      </c>
      <c r="AL69" s="1">
        <f>D18</f>
        <v>0</v>
      </c>
      <c r="AM69" s="1">
        <f t="shared" si="2"/>
        <v>0</v>
      </c>
      <c r="AN69" s="1">
        <f t="shared" si="3"/>
        <v>0</v>
      </c>
      <c r="AO69" s="1">
        <f t="shared" si="4"/>
        <v>0</v>
      </c>
      <c r="AP69" t="b" cm="1">
        <f t="array" ref="AP69">INDEX($AU$8:$BB$25,6*(R69-1)+MATCH(AB69,$AS$8:$AS$13,0),MATCH(O69,$AU$7:$BB$7,0))</f>
        <v>1</v>
      </c>
    </row>
    <row r="70" spans="1:42" ht="14.55" customHeight="1" x14ac:dyDescent="0.45">
      <c r="A70" s="85"/>
      <c r="B70" s="31" t="s">
        <v>13</v>
      </c>
      <c r="C70" s="45"/>
      <c r="D70" s="45"/>
      <c r="E70" s="45"/>
      <c r="F70" s="84" t="s">
        <v>137</v>
      </c>
      <c r="G70" s="84"/>
      <c r="I70" s="64"/>
      <c r="O70" s="43" t="s">
        <v>11</v>
      </c>
      <c r="P70" s="43">
        <v>2</v>
      </c>
      <c r="Q70" s="43">
        <v>10</v>
      </c>
      <c r="R70" s="43">
        <v>3</v>
      </c>
      <c r="S70" s="45"/>
      <c r="T70" t="b">
        <f>(S68+S69+S70)=N3</f>
        <v>0</v>
      </c>
      <c r="X70" s="1">
        <f t="shared" si="6"/>
        <v>0</v>
      </c>
      <c r="Y70" s="48">
        <v>0</v>
      </c>
      <c r="AA70" s="1">
        <v>6</v>
      </c>
      <c r="AB70" s="1" t="s">
        <v>15</v>
      </c>
      <c r="AC70" s="1" t="s">
        <v>21</v>
      </c>
      <c r="AD70" s="1">
        <v>9</v>
      </c>
      <c r="AE70" s="1">
        <v>7</v>
      </c>
      <c r="AF70" s="1">
        <v>0.76</v>
      </c>
      <c r="AG70" s="1">
        <v>0.84</v>
      </c>
      <c r="AH70" s="1">
        <v>0</v>
      </c>
      <c r="AI70" s="1">
        <v>0</v>
      </c>
      <c r="AJ70" s="1">
        <f t="shared" si="1"/>
        <v>0</v>
      </c>
      <c r="AK70" s="1">
        <f>E12</f>
        <v>16</v>
      </c>
      <c r="AL70" s="1">
        <f>E18</f>
        <v>0</v>
      </c>
      <c r="AM70" s="1">
        <f t="shared" si="2"/>
        <v>0</v>
      </c>
      <c r="AN70" s="1">
        <f t="shared" si="3"/>
        <v>0</v>
      </c>
      <c r="AO70" s="1">
        <f t="shared" si="4"/>
        <v>0</v>
      </c>
      <c r="AP70" t="b" cm="1">
        <f t="array" ref="AP70">INDEX($AU$8:$BB$25,6*(R70-1)+MATCH(AB70,$AS$8:$AS$13,0),MATCH(O70,$AU$7:$BB$7,0))</f>
        <v>1</v>
      </c>
    </row>
    <row r="71" spans="1:42" ht="14.55" customHeight="1" x14ac:dyDescent="0.45">
      <c r="A71" s="85"/>
      <c r="B71" s="31" t="s">
        <v>14</v>
      </c>
      <c r="C71" s="45"/>
      <c r="D71" s="45"/>
      <c r="E71" s="45"/>
      <c r="F71" s="83" cm="1">
        <f t="array" ref="F71">SUM(
     _xlfn.BYROW(
           IF(C68:E79-C56:E67&gt;0, C68:E79-C56:E67, 0),
           _xleta.SUM)
     *data!$C$3:$C$14
)</f>
        <v>0</v>
      </c>
      <c r="G71" s="83"/>
      <c r="I71" s="64"/>
      <c r="O71" s="43" t="s">
        <v>11</v>
      </c>
      <c r="P71" s="43">
        <v>2</v>
      </c>
      <c r="Q71" s="43">
        <v>11</v>
      </c>
      <c r="R71" s="43">
        <v>1</v>
      </c>
      <c r="S71" s="45"/>
      <c r="T71" t="b">
        <f>(S71+S72+S73)=N3</f>
        <v>0</v>
      </c>
      <c r="X71" s="1">
        <f t="shared" si="6"/>
        <v>0</v>
      </c>
      <c r="Y71" s="48">
        <v>0</v>
      </c>
      <c r="AA71" s="1">
        <v>2</v>
      </c>
      <c r="AB71" s="1" t="s">
        <v>15</v>
      </c>
      <c r="AC71" s="1" t="s">
        <v>21</v>
      </c>
      <c r="AD71" s="1">
        <v>20</v>
      </c>
      <c r="AE71" s="1">
        <v>19</v>
      </c>
      <c r="AF71" s="1">
        <v>0.76</v>
      </c>
      <c r="AG71" s="1">
        <v>0.84</v>
      </c>
      <c r="AH71" s="1">
        <v>0</v>
      </c>
      <c r="AI71" s="1">
        <v>0</v>
      </c>
      <c r="AJ71" s="1">
        <f t="shared" si="1"/>
        <v>0</v>
      </c>
      <c r="AK71" s="1">
        <f>C12</f>
        <v>40</v>
      </c>
      <c r="AL71" s="1">
        <f>C18</f>
        <v>0</v>
      </c>
      <c r="AM71" s="1">
        <f t="shared" si="2"/>
        <v>0</v>
      </c>
      <c r="AN71" s="1">
        <f t="shared" si="3"/>
        <v>0</v>
      </c>
      <c r="AO71" s="1">
        <f t="shared" si="4"/>
        <v>0</v>
      </c>
      <c r="AP71" t="b" cm="1">
        <f t="array" ref="AP71">INDEX($AU$8:$BB$25,6*(R71-1)+MATCH(AB71,$AS$8:$AS$13,0),MATCH(O71,$AU$7:$BB$7,0))</f>
        <v>1</v>
      </c>
    </row>
    <row r="72" spans="1:42" ht="14.55" customHeight="1" x14ac:dyDescent="0.45">
      <c r="A72" s="85"/>
      <c r="B72" s="31" t="s">
        <v>15</v>
      </c>
      <c r="C72" s="45"/>
      <c r="D72" s="45"/>
      <c r="E72" s="45"/>
      <c r="F72" s="84" t="s">
        <v>138</v>
      </c>
      <c r="G72" s="84"/>
      <c r="I72" s="64"/>
      <c r="O72" s="43" t="s">
        <v>11</v>
      </c>
      <c r="P72" s="43">
        <v>2</v>
      </c>
      <c r="Q72" s="43">
        <v>11</v>
      </c>
      <c r="R72" s="43">
        <v>2</v>
      </c>
      <c r="S72" s="45"/>
      <c r="T72" t="b">
        <f>(S71+S72+S73)=N3</f>
        <v>0</v>
      </c>
      <c r="X72" s="1">
        <f t="shared" si="6"/>
        <v>0</v>
      </c>
      <c r="Y72" s="48">
        <v>0</v>
      </c>
      <c r="AA72" s="1">
        <v>2</v>
      </c>
      <c r="AB72" s="1" t="s">
        <v>15</v>
      </c>
      <c r="AC72" s="1" t="s">
        <v>21</v>
      </c>
      <c r="AD72" s="1">
        <v>20</v>
      </c>
      <c r="AE72" s="1">
        <v>19</v>
      </c>
      <c r="AF72" s="1">
        <v>0.76</v>
      </c>
      <c r="AG72" s="1">
        <v>0.84</v>
      </c>
      <c r="AH72" s="1">
        <v>0</v>
      </c>
      <c r="AI72" s="1">
        <v>0</v>
      </c>
      <c r="AJ72" s="1">
        <f t="shared" si="1"/>
        <v>0</v>
      </c>
      <c r="AK72" s="1">
        <f>D12</f>
        <v>30</v>
      </c>
      <c r="AL72" s="1">
        <f>D18</f>
        <v>0</v>
      </c>
      <c r="AM72" s="1">
        <f t="shared" si="2"/>
        <v>0</v>
      </c>
      <c r="AN72" s="1">
        <f t="shared" si="3"/>
        <v>0</v>
      </c>
      <c r="AO72" s="1">
        <f t="shared" si="4"/>
        <v>0</v>
      </c>
      <c r="AP72" t="b" cm="1">
        <f t="array" ref="AP72">INDEX($AU$8:$BB$25,6*(R72-1)+MATCH(AB72,$AS$8:$AS$13,0),MATCH(O72,$AU$7:$BB$7,0))</f>
        <v>1</v>
      </c>
    </row>
    <row r="73" spans="1:42" ht="14.55" customHeight="1" x14ac:dyDescent="0.45">
      <c r="A73" s="85"/>
      <c r="B73" s="31" t="s">
        <v>16</v>
      </c>
      <c r="C73" s="45"/>
      <c r="D73" s="45"/>
      <c r="E73" s="45"/>
      <c r="F73" s="83" cm="1">
        <f t="array" ref="F73">SUM(
     _xlfn.BYROW(
           IF(C68:E79-C56:E67&lt;0, C68:E79-C56:E67, 0),
           _xleta.SUM)
     * -1000000
)</f>
        <v>0</v>
      </c>
      <c r="G73" s="83"/>
      <c r="I73" s="64"/>
      <c r="O73" s="43" t="s">
        <v>11</v>
      </c>
      <c r="P73" s="43">
        <v>2</v>
      </c>
      <c r="Q73" s="43">
        <v>11</v>
      </c>
      <c r="R73" s="43">
        <v>3</v>
      </c>
      <c r="S73" s="45"/>
      <c r="T73" t="b">
        <f>(S71+S72+S73)=N3</f>
        <v>0</v>
      </c>
      <c r="X73" s="1">
        <f t="shared" si="6"/>
        <v>0</v>
      </c>
      <c r="Y73" s="48">
        <v>0</v>
      </c>
      <c r="AA73" s="1">
        <v>2</v>
      </c>
      <c r="AB73" s="1" t="s">
        <v>15</v>
      </c>
      <c r="AC73" s="1" t="s">
        <v>21</v>
      </c>
      <c r="AD73" s="1">
        <v>20</v>
      </c>
      <c r="AE73" s="1">
        <v>19</v>
      </c>
      <c r="AF73" s="1">
        <v>0.76</v>
      </c>
      <c r="AG73" s="1">
        <v>0.84</v>
      </c>
      <c r="AH73" s="1">
        <v>0</v>
      </c>
      <c r="AI73" s="1">
        <v>0</v>
      </c>
      <c r="AJ73" s="1">
        <f t="shared" ref="AJ73:AJ136" si="7">SUMIFS(AH$8:AH$1039,$O$8:$O$1039,O73,$AB$8:$AB$1039,AB73,$R$8:$R$1039,R73,$AA$8:$AA$1039,"&lt;="&amp;AA73)</f>
        <v>0</v>
      </c>
      <c r="AK73" s="1">
        <f>E12</f>
        <v>16</v>
      </c>
      <c r="AL73" s="1">
        <f>E18</f>
        <v>0</v>
      </c>
      <c r="AM73" s="1">
        <f t="shared" ref="AM73:AM136" si="8">MAX(0,AJ73-AK73)</f>
        <v>0</v>
      </c>
      <c r="AN73" s="1">
        <f t="shared" ref="AN73:AN136" si="9">IF(AM73=0,AH73,IF(AM73&gt;=AH73,0,AH73-AM73))</f>
        <v>0</v>
      </c>
      <c r="AO73" s="1">
        <f t="shared" ref="AO73:AO136" si="10">IF(AM73&gt;=AH73,AI73,AI73*AM73/AH73)</f>
        <v>0</v>
      </c>
      <c r="AP73" t="b" cm="1">
        <f t="array" ref="AP73">INDEX($AU$8:$BB$25,6*(R73-1)+MATCH(AB73,$AS$8:$AS$13,0),MATCH(O73,$AU$7:$BB$7,0))</f>
        <v>1</v>
      </c>
    </row>
    <row r="74" spans="1:42" ht="14.55" customHeight="1" x14ac:dyDescent="0.45">
      <c r="A74" s="85"/>
      <c r="B74" s="31" t="s">
        <v>17</v>
      </c>
      <c r="C74" s="45"/>
      <c r="D74" s="45"/>
      <c r="E74" s="45"/>
      <c r="I74" s="64"/>
      <c r="O74" s="43" t="s">
        <v>11</v>
      </c>
      <c r="P74" s="43">
        <v>2</v>
      </c>
      <c r="Q74" s="43">
        <v>12</v>
      </c>
      <c r="R74" s="43">
        <v>1</v>
      </c>
      <c r="S74" s="45"/>
      <c r="T74" t="b">
        <f>(S74+S75+S76)=N3</f>
        <v>0</v>
      </c>
      <c r="X74" s="1">
        <f t="shared" si="6"/>
        <v>0</v>
      </c>
      <c r="Y74" s="48">
        <v>0</v>
      </c>
      <c r="AA74" s="1">
        <v>7</v>
      </c>
      <c r="AB74" s="1" t="s">
        <v>16</v>
      </c>
      <c r="AC74" s="1" t="s">
        <v>22</v>
      </c>
      <c r="AD74" s="1">
        <v>21</v>
      </c>
      <c r="AE74" s="1">
        <v>18</v>
      </c>
      <c r="AF74" s="1">
        <v>0.8</v>
      </c>
      <c r="AG74" s="1">
        <v>0.9</v>
      </c>
      <c r="AH74" s="1">
        <v>0</v>
      </c>
      <c r="AI74" s="1">
        <v>0</v>
      </c>
      <c r="AJ74" s="1">
        <f t="shared" si="7"/>
        <v>0</v>
      </c>
      <c r="AK74" s="1">
        <f>C13</f>
        <v>90</v>
      </c>
      <c r="AL74" s="1">
        <f>C19</f>
        <v>0</v>
      </c>
      <c r="AM74" s="1">
        <f t="shared" si="8"/>
        <v>0</v>
      </c>
      <c r="AN74" s="1">
        <f t="shared" si="9"/>
        <v>0</v>
      </c>
      <c r="AO74" s="1">
        <f t="shared" si="10"/>
        <v>0</v>
      </c>
      <c r="AP74" t="b" cm="1">
        <f t="array" ref="AP74">INDEX($AU$8:$BB$25,6*(R74-1)+MATCH(AB74,$AS$8:$AS$13,0),MATCH(O74,$AU$7:$BB$7,0))</f>
        <v>1</v>
      </c>
    </row>
    <row r="75" spans="1:42" ht="14.55" customHeight="1" x14ac:dyDescent="0.45">
      <c r="A75" s="85"/>
      <c r="B75" s="31" t="s">
        <v>18</v>
      </c>
      <c r="C75" s="45"/>
      <c r="D75" s="45"/>
      <c r="E75" s="45"/>
      <c r="I75" s="64"/>
      <c r="O75" s="43" t="s">
        <v>11</v>
      </c>
      <c r="P75" s="43">
        <v>2</v>
      </c>
      <c r="Q75" s="43">
        <v>12</v>
      </c>
      <c r="R75" s="43">
        <v>2</v>
      </c>
      <c r="S75" s="45"/>
      <c r="T75" t="b">
        <f>(S74+S75+S76)=N3</f>
        <v>0</v>
      </c>
      <c r="X75" s="1">
        <f t="shared" si="6"/>
        <v>0</v>
      </c>
      <c r="Y75" s="48">
        <v>0</v>
      </c>
      <c r="AA75" s="1">
        <v>7</v>
      </c>
      <c r="AB75" s="1" t="s">
        <v>16</v>
      </c>
      <c r="AC75" s="1" t="s">
        <v>22</v>
      </c>
      <c r="AD75" s="1">
        <v>21</v>
      </c>
      <c r="AE75" s="1">
        <v>18</v>
      </c>
      <c r="AF75" s="1">
        <v>0.8</v>
      </c>
      <c r="AG75" s="1">
        <v>0.9</v>
      </c>
      <c r="AH75" s="1">
        <v>0</v>
      </c>
      <c r="AI75" s="1">
        <v>0</v>
      </c>
      <c r="AJ75" s="1">
        <f t="shared" si="7"/>
        <v>0</v>
      </c>
      <c r="AK75" s="1">
        <f>D13</f>
        <v>60</v>
      </c>
      <c r="AL75" s="1">
        <f>D19</f>
        <v>0</v>
      </c>
      <c r="AM75" s="1">
        <f t="shared" si="8"/>
        <v>0</v>
      </c>
      <c r="AN75" s="1">
        <f t="shared" si="9"/>
        <v>0</v>
      </c>
      <c r="AO75" s="1">
        <f t="shared" si="10"/>
        <v>0</v>
      </c>
      <c r="AP75" t="b" cm="1">
        <f t="array" ref="AP75">INDEX($AU$8:$BB$25,6*(R75-1)+MATCH(AB75,$AS$8:$AS$13,0),MATCH(O75,$AU$7:$BB$7,0))</f>
        <v>1</v>
      </c>
    </row>
    <row r="76" spans="1:42" ht="14.55" customHeight="1" x14ac:dyDescent="0.45">
      <c r="A76" s="85"/>
      <c r="B76" s="31" t="s">
        <v>19</v>
      </c>
      <c r="C76" s="45"/>
      <c r="D76" s="45"/>
      <c r="E76" s="45"/>
      <c r="I76" s="64"/>
      <c r="O76" s="43" t="s">
        <v>11</v>
      </c>
      <c r="P76" s="43">
        <v>2</v>
      </c>
      <c r="Q76" s="43">
        <v>12</v>
      </c>
      <c r="R76" s="43">
        <v>3</v>
      </c>
      <c r="S76" s="45"/>
      <c r="T76" t="b">
        <f>(S74+S75+S76)=N3</f>
        <v>0</v>
      </c>
      <c r="X76" s="1">
        <f t="shared" si="6"/>
        <v>0</v>
      </c>
      <c r="Y76" s="48">
        <v>0</v>
      </c>
      <c r="AA76" s="1">
        <v>7</v>
      </c>
      <c r="AB76" s="1" t="s">
        <v>16</v>
      </c>
      <c r="AC76" s="1" t="s">
        <v>22</v>
      </c>
      <c r="AD76" s="1">
        <v>21</v>
      </c>
      <c r="AE76" s="1">
        <v>18</v>
      </c>
      <c r="AF76" s="1">
        <v>0.8</v>
      </c>
      <c r="AG76" s="1">
        <v>0.9</v>
      </c>
      <c r="AH76" s="1">
        <v>0</v>
      </c>
      <c r="AI76" s="1">
        <v>0</v>
      </c>
      <c r="AJ76" s="1">
        <f t="shared" si="7"/>
        <v>0</v>
      </c>
      <c r="AK76" s="1">
        <f>E13</f>
        <v>36</v>
      </c>
      <c r="AL76" s="1">
        <f>E19</f>
        <v>0</v>
      </c>
      <c r="AM76" s="1">
        <f t="shared" si="8"/>
        <v>0</v>
      </c>
      <c r="AN76" s="1">
        <f t="shared" si="9"/>
        <v>0</v>
      </c>
      <c r="AO76" s="1">
        <f t="shared" si="10"/>
        <v>0</v>
      </c>
      <c r="AP76" t="b" cm="1">
        <f t="array" ref="AP76">INDEX($AU$8:$BB$25,6*(R76-1)+MATCH(AB76,$AS$8:$AS$13,0),MATCH(O76,$AU$7:$BB$7,0))</f>
        <v>1</v>
      </c>
    </row>
    <row r="77" spans="1:42" ht="14.55" customHeight="1" x14ac:dyDescent="0.45">
      <c r="A77" s="85"/>
      <c r="B77" s="31" t="s">
        <v>20</v>
      </c>
      <c r="C77" s="45"/>
      <c r="D77" s="45"/>
      <c r="E77" s="45"/>
      <c r="I77" s="64"/>
      <c r="O77" s="43" t="s">
        <v>11</v>
      </c>
      <c r="P77" s="43">
        <v>2</v>
      </c>
      <c r="Q77" s="43">
        <v>13</v>
      </c>
      <c r="R77" s="43">
        <v>1</v>
      </c>
      <c r="S77" s="45"/>
      <c r="T77" t="b">
        <f>(S77+S78+S79)=N3</f>
        <v>0</v>
      </c>
      <c r="X77" s="1">
        <f t="shared" si="6"/>
        <v>0</v>
      </c>
      <c r="Y77" s="48">
        <v>0</v>
      </c>
      <c r="AA77" s="1">
        <v>8</v>
      </c>
      <c r="AB77" s="1" t="s">
        <v>15</v>
      </c>
      <c r="AC77" s="1" t="s">
        <v>21</v>
      </c>
      <c r="AD77" s="1">
        <v>12</v>
      </c>
      <c r="AE77" s="1">
        <v>9</v>
      </c>
      <c r="AF77" s="1">
        <v>0.76</v>
      </c>
      <c r="AG77" s="1">
        <v>0.84</v>
      </c>
      <c r="AH77" s="1">
        <v>0</v>
      </c>
      <c r="AI77" s="1">
        <v>0</v>
      </c>
      <c r="AJ77" s="1">
        <f t="shared" si="7"/>
        <v>0</v>
      </c>
      <c r="AK77" s="1">
        <f>C12</f>
        <v>40</v>
      </c>
      <c r="AL77" s="1">
        <f>C18</f>
        <v>0</v>
      </c>
      <c r="AM77" s="1">
        <f t="shared" si="8"/>
        <v>0</v>
      </c>
      <c r="AN77" s="1">
        <f t="shared" si="9"/>
        <v>0</v>
      </c>
      <c r="AO77" s="1">
        <f t="shared" si="10"/>
        <v>0</v>
      </c>
      <c r="AP77" t="b" cm="1">
        <f t="array" ref="AP77">INDEX($AU$8:$BB$25,6*(R77-1)+MATCH(AB77,$AS$8:$AS$13,0),MATCH(O77,$AU$7:$BB$7,0))</f>
        <v>1</v>
      </c>
    </row>
    <row r="78" spans="1:42" ht="14.55" customHeight="1" x14ac:dyDescent="0.45">
      <c r="A78" s="85"/>
      <c r="B78" s="31" t="s">
        <v>21</v>
      </c>
      <c r="C78" s="45"/>
      <c r="D78" s="45"/>
      <c r="E78" s="45"/>
      <c r="I78" s="64"/>
      <c r="O78" s="43" t="s">
        <v>11</v>
      </c>
      <c r="P78" s="43">
        <v>2</v>
      </c>
      <c r="Q78" s="43">
        <v>13</v>
      </c>
      <c r="R78" s="43">
        <v>2</v>
      </c>
      <c r="S78" s="45"/>
      <c r="T78" t="b">
        <f>(S77+S78+S79)=N3</f>
        <v>0</v>
      </c>
      <c r="X78" s="1">
        <f t="shared" si="6"/>
        <v>0</v>
      </c>
      <c r="Y78" s="48">
        <v>0</v>
      </c>
      <c r="AA78" s="1">
        <v>8</v>
      </c>
      <c r="AB78" s="1" t="s">
        <v>15</v>
      </c>
      <c r="AC78" s="1" t="s">
        <v>21</v>
      </c>
      <c r="AD78" s="1">
        <v>12</v>
      </c>
      <c r="AE78" s="1">
        <v>9</v>
      </c>
      <c r="AF78" s="1">
        <v>0.76</v>
      </c>
      <c r="AG78" s="1">
        <v>0.84</v>
      </c>
      <c r="AH78" s="1">
        <v>0</v>
      </c>
      <c r="AI78" s="1">
        <v>0</v>
      </c>
      <c r="AJ78" s="1">
        <f t="shared" si="7"/>
        <v>0</v>
      </c>
      <c r="AK78" s="1">
        <f>D12</f>
        <v>30</v>
      </c>
      <c r="AL78" s="1">
        <f>D18</f>
        <v>0</v>
      </c>
      <c r="AM78" s="1">
        <f t="shared" si="8"/>
        <v>0</v>
      </c>
      <c r="AN78" s="1">
        <f t="shared" si="9"/>
        <v>0</v>
      </c>
      <c r="AO78" s="1">
        <f t="shared" si="10"/>
        <v>0</v>
      </c>
      <c r="AP78" t="b" cm="1">
        <f t="array" ref="AP78">INDEX($AU$8:$BB$25,6*(R78-1)+MATCH(AB78,$AS$8:$AS$13,0),MATCH(O78,$AU$7:$BB$7,0))</f>
        <v>1</v>
      </c>
    </row>
    <row r="79" spans="1:42" ht="14.55" customHeight="1" x14ac:dyDescent="0.45">
      <c r="A79" s="85"/>
      <c r="B79" s="31" t="s">
        <v>22</v>
      </c>
      <c r="C79" s="45"/>
      <c r="D79" s="45"/>
      <c r="E79" s="45"/>
      <c r="F79" s="44" t="s">
        <v>134</v>
      </c>
      <c r="G79" s="44" t="s">
        <v>135</v>
      </c>
      <c r="H79" s="44" t="s">
        <v>136</v>
      </c>
      <c r="I79" s="64"/>
      <c r="O79" s="43" t="s">
        <v>11</v>
      </c>
      <c r="P79" s="43">
        <v>2</v>
      </c>
      <c r="Q79" s="43">
        <v>13</v>
      </c>
      <c r="R79" s="43">
        <v>3</v>
      </c>
      <c r="S79" s="45"/>
      <c r="T79" t="b">
        <f>(S77+S78+S79)=N3</f>
        <v>0</v>
      </c>
      <c r="X79" s="1">
        <f t="shared" si="6"/>
        <v>0</v>
      </c>
      <c r="Y79" s="48">
        <v>0</v>
      </c>
      <c r="AA79" s="1">
        <v>8</v>
      </c>
      <c r="AB79" s="1" t="s">
        <v>15</v>
      </c>
      <c r="AC79" s="1" t="s">
        <v>21</v>
      </c>
      <c r="AD79" s="1">
        <v>12</v>
      </c>
      <c r="AE79" s="1">
        <v>9</v>
      </c>
      <c r="AF79" s="1">
        <v>0.76</v>
      </c>
      <c r="AG79" s="1">
        <v>0.84</v>
      </c>
      <c r="AH79" s="1">
        <v>0</v>
      </c>
      <c r="AI79" s="1">
        <v>0</v>
      </c>
      <c r="AJ79" s="1">
        <f t="shared" si="7"/>
        <v>0</v>
      </c>
      <c r="AK79" s="1">
        <f>E12</f>
        <v>16</v>
      </c>
      <c r="AL79" s="1">
        <f>E18</f>
        <v>0</v>
      </c>
      <c r="AM79" s="1">
        <f t="shared" si="8"/>
        <v>0</v>
      </c>
      <c r="AN79" s="1">
        <f t="shared" si="9"/>
        <v>0</v>
      </c>
      <c r="AO79" s="1">
        <f t="shared" si="10"/>
        <v>0</v>
      </c>
      <c r="AP79" t="b" cm="1">
        <f t="array" ref="AP79">INDEX($AU$8:$BB$25,6*(R79-1)+MATCH(AB79,$AS$8:$AS$13,0),MATCH(O79,$AU$7:$BB$7,0))</f>
        <v>1</v>
      </c>
    </row>
    <row r="80" spans="1:42" ht="14.25" x14ac:dyDescent="0.45">
      <c r="A80" s="85" t="s">
        <v>28</v>
      </c>
      <c r="B80" s="31" t="s">
        <v>10</v>
      </c>
      <c r="C80" s="45"/>
      <c r="D80" s="45"/>
      <c r="E80" s="45"/>
      <c r="F80" cm="1">
        <f t="array" ref="F80">SUM(C80:C91*data!$B$3:$B$14)</f>
        <v>0</v>
      </c>
      <c r="G80" cm="1">
        <f t="array" ref="G80">SUM(D80:D91*data!$B$3:$B$14)</f>
        <v>0</v>
      </c>
      <c r="H80" cm="1">
        <f t="array" ref="H80">SUM(E80:E91*data!$B$3:$B$14)</f>
        <v>0</v>
      </c>
      <c r="I80" s="64" t="s">
        <v>156</v>
      </c>
      <c r="O80" s="43" t="s">
        <v>11</v>
      </c>
      <c r="P80" s="43">
        <v>2</v>
      </c>
      <c r="Q80" s="43">
        <v>14</v>
      </c>
      <c r="R80" s="43">
        <v>1</v>
      </c>
      <c r="S80" s="45"/>
      <c r="T80" t="b">
        <f>(S80+S81+S82)=N3</f>
        <v>0</v>
      </c>
      <c r="X80" s="1">
        <f t="shared" si="6"/>
        <v>0</v>
      </c>
      <c r="Y80" s="48">
        <v>0</v>
      </c>
      <c r="AA80" s="1">
        <v>5</v>
      </c>
      <c r="AB80" s="1" t="s">
        <v>15</v>
      </c>
      <c r="AC80" s="1" t="s">
        <v>21</v>
      </c>
      <c r="AD80" s="1">
        <v>15</v>
      </c>
      <c r="AE80" s="1">
        <v>12</v>
      </c>
      <c r="AF80" s="1">
        <v>0.76</v>
      </c>
      <c r="AG80" s="1">
        <v>0.84</v>
      </c>
      <c r="AH80" s="1">
        <v>0</v>
      </c>
      <c r="AI80" s="1">
        <v>0</v>
      </c>
      <c r="AJ80" s="1">
        <f t="shared" si="7"/>
        <v>0</v>
      </c>
      <c r="AK80" s="1">
        <f>C12</f>
        <v>40</v>
      </c>
      <c r="AL80" s="1">
        <f>C18</f>
        <v>0</v>
      </c>
      <c r="AM80" s="1">
        <f t="shared" si="8"/>
        <v>0</v>
      </c>
      <c r="AN80" s="1">
        <f t="shared" si="9"/>
        <v>0</v>
      </c>
      <c r="AO80" s="1">
        <f t="shared" si="10"/>
        <v>0</v>
      </c>
      <c r="AP80" t="b" cm="1">
        <f t="array" ref="AP80">INDEX($AU$8:$BB$25,6*(R80-1)+MATCH(AB80,$AS$8:$AS$13,0),MATCH(O80,$AU$7:$BB$7,0))</f>
        <v>1</v>
      </c>
    </row>
    <row r="81" spans="1:42" ht="14.55" customHeight="1" x14ac:dyDescent="0.45">
      <c r="A81" s="85"/>
      <c r="B81" s="31" t="s">
        <v>12</v>
      </c>
      <c r="C81" s="45"/>
      <c r="D81" s="45"/>
      <c r="E81" s="45"/>
      <c r="I81" s="64"/>
      <c r="O81" s="43" t="s">
        <v>11</v>
      </c>
      <c r="P81" s="43">
        <v>2</v>
      </c>
      <c r="Q81" s="43">
        <v>14</v>
      </c>
      <c r="R81" s="43">
        <v>2</v>
      </c>
      <c r="S81" s="45"/>
      <c r="T81" t="b">
        <f>(S80+S81+S82)=N3</f>
        <v>0</v>
      </c>
      <c r="X81" s="1">
        <f t="shared" si="6"/>
        <v>0</v>
      </c>
      <c r="Y81" s="48">
        <v>0</v>
      </c>
      <c r="AA81" s="1">
        <v>5</v>
      </c>
      <c r="AB81" s="1" t="s">
        <v>15</v>
      </c>
      <c r="AC81" s="1" t="s">
        <v>21</v>
      </c>
      <c r="AD81" s="1">
        <v>15</v>
      </c>
      <c r="AE81" s="1">
        <v>12</v>
      </c>
      <c r="AF81" s="1">
        <v>0.76</v>
      </c>
      <c r="AG81" s="1">
        <v>0.84</v>
      </c>
      <c r="AH81" s="1">
        <v>0</v>
      </c>
      <c r="AI81" s="1">
        <v>0</v>
      </c>
      <c r="AJ81" s="1">
        <f t="shared" si="7"/>
        <v>0</v>
      </c>
      <c r="AK81" s="1">
        <f>D12</f>
        <v>30</v>
      </c>
      <c r="AL81" s="1">
        <f>D18</f>
        <v>0</v>
      </c>
      <c r="AM81" s="1">
        <f t="shared" si="8"/>
        <v>0</v>
      </c>
      <c r="AN81" s="1">
        <f t="shared" si="9"/>
        <v>0</v>
      </c>
      <c r="AO81" s="1">
        <f t="shared" si="10"/>
        <v>0</v>
      </c>
      <c r="AP81" t="b" cm="1">
        <f t="array" ref="AP81">INDEX($AU$8:$BB$25,6*(R81-1)+MATCH(AB81,$AS$8:$AS$13,0),MATCH(O81,$AU$7:$BB$7,0))</f>
        <v>1</v>
      </c>
    </row>
    <row r="82" spans="1:42" ht="14.55" customHeight="1" x14ac:dyDescent="0.45">
      <c r="A82" s="85"/>
      <c r="B82" s="31" t="s">
        <v>13</v>
      </c>
      <c r="C82" s="45"/>
      <c r="D82" s="45"/>
      <c r="E82" s="45"/>
      <c r="F82" s="84" t="s">
        <v>137</v>
      </c>
      <c r="G82" s="84"/>
      <c r="I82" s="64"/>
      <c r="O82" s="43" t="s">
        <v>11</v>
      </c>
      <c r="P82" s="43">
        <v>2</v>
      </c>
      <c r="Q82" s="43">
        <v>14</v>
      </c>
      <c r="R82" s="43">
        <v>3</v>
      </c>
      <c r="S82" s="45"/>
      <c r="T82" t="b">
        <f>(S80+S81+S82)=N3</f>
        <v>0</v>
      </c>
      <c r="X82" s="1">
        <f t="shared" si="6"/>
        <v>0</v>
      </c>
      <c r="Y82" s="48">
        <v>0</v>
      </c>
      <c r="AA82" s="1">
        <v>5</v>
      </c>
      <c r="AB82" s="1" t="s">
        <v>15</v>
      </c>
      <c r="AC82" s="1" t="s">
        <v>21</v>
      </c>
      <c r="AD82" s="1">
        <v>15</v>
      </c>
      <c r="AE82" s="1">
        <v>12</v>
      </c>
      <c r="AF82" s="1">
        <v>0.76</v>
      </c>
      <c r="AG82" s="1">
        <v>0.84</v>
      </c>
      <c r="AH82" s="1">
        <v>0</v>
      </c>
      <c r="AI82" s="1">
        <v>0</v>
      </c>
      <c r="AJ82" s="1">
        <f t="shared" si="7"/>
        <v>0</v>
      </c>
      <c r="AK82" s="1">
        <f>E12</f>
        <v>16</v>
      </c>
      <c r="AL82" s="1">
        <f>E18</f>
        <v>0</v>
      </c>
      <c r="AM82" s="1">
        <f t="shared" si="8"/>
        <v>0</v>
      </c>
      <c r="AN82" s="1">
        <f t="shared" si="9"/>
        <v>0</v>
      </c>
      <c r="AO82" s="1">
        <f t="shared" si="10"/>
        <v>0</v>
      </c>
      <c r="AP82" t="b" cm="1">
        <f t="array" ref="AP82">INDEX($AU$8:$BB$25,6*(R82-1)+MATCH(AB82,$AS$8:$AS$13,0),MATCH(O82,$AU$7:$BB$7,0))</f>
        <v>1</v>
      </c>
    </row>
    <row r="83" spans="1:42" ht="14.55" customHeight="1" x14ac:dyDescent="0.45">
      <c r="A83" s="85"/>
      <c r="B83" s="31" t="s">
        <v>14</v>
      </c>
      <c r="C83" s="45"/>
      <c r="D83" s="45"/>
      <c r="E83" s="45"/>
      <c r="F83" s="83" cm="1">
        <f t="array" ref="F83">SUM(
     _xlfn.BYROW(
           IF(C80:E91-C68:E79&gt;0, C80:E91-C68:E79, 0),
           _xleta.SUM)
     *data!$C$3:$C$14
)</f>
        <v>0</v>
      </c>
      <c r="G83" s="83"/>
      <c r="I83" s="64"/>
      <c r="O83" s="43" t="s">
        <v>11</v>
      </c>
      <c r="P83" s="43">
        <v>2</v>
      </c>
      <c r="Q83" s="43">
        <v>15</v>
      </c>
      <c r="R83" s="43">
        <v>1</v>
      </c>
      <c r="S83" s="45"/>
      <c r="T83" t="b">
        <f>(S83+S84+S85)=N3</f>
        <v>0</v>
      </c>
      <c r="X83" s="1">
        <f t="shared" si="6"/>
        <v>0</v>
      </c>
      <c r="Y83" s="48">
        <v>0</v>
      </c>
      <c r="AA83" s="1">
        <v>7</v>
      </c>
      <c r="AB83" s="1" t="s">
        <v>15</v>
      </c>
      <c r="AC83" s="1" t="s">
        <v>21</v>
      </c>
      <c r="AD83" s="1">
        <v>13</v>
      </c>
      <c r="AE83" s="1">
        <v>10</v>
      </c>
      <c r="AF83" s="1">
        <v>0.76</v>
      </c>
      <c r="AG83" s="1">
        <v>0.84</v>
      </c>
      <c r="AH83" s="1">
        <v>0</v>
      </c>
      <c r="AI83" s="1">
        <v>0</v>
      </c>
      <c r="AJ83" s="1">
        <f t="shared" si="7"/>
        <v>0</v>
      </c>
      <c r="AK83" s="1">
        <f>C12</f>
        <v>40</v>
      </c>
      <c r="AL83" s="1">
        <f>C18</f>
        <v>0</v>
      </c>
      <c r="AM83" s="1">
        <f t="shared" si="8"/>
        <v>0</v>
      </c>
      <c r="AN83" s="1">
        <f t="shared" si="9"/>
        <v>0</v>
      </c>
      <c r="AO83" s="1">
        <f t="shared" si="10"/>
        <v>0</v>
      </c>
      <c r="AP83" t="b" cm="1">
        <f t="array" ref="AP83">INDEX($AU$8:$BB$25,6*(R83-1)+MATCH(AB83,$AS$8:$AS$13,0),MATCH(O83,$AU$7:$BB$7,0))</f>
        <v>1</v>
      </c>
    </row>
    <row r="84" spans="1:42" ht="14.55" customHeight="1" x14ac:dyDescent="0.45">
      <c r="A84" s="85"/>
      <c r="B84" s="31" t="s">
        <v>15</v>
      </c>
      <c r="C84" s="45"/>
      <c r="D84" s="45"/>
      <c r="E84" s="45"/>
      <c r="F84" s="84" t="s">
        <v>138</v>
      </c>
      <c r="G84" s="84"/>
      <c r="I84" s="64"/>
      <c r="O84" s="43" t="s">
        <v>11</v>
      </c>
      <c r="P84" s="43">
        <v>2</v>
      </c>
      <c r="Q84" s="43">
        <v>15</v>
      </c>
      <c r="R84" s="43">
        <v>2</v>
      </c>
      <c r="S84" s="45"/>
      <c r="T84" t="b">
        <f>(S83+S84+S85)=N3</f>
        <v>0</v>
      </c>
      <c r="X84" s="1">
        <f t="shared" si="6"/>
        <v>0</v>
      </c>
      <c r="Y84" s="48">
        <v>0</v>
      </c>
      <c r="AA84" s="1">
        <v>7</v>
      </c>
      <c r="AB84" s="1" t="s">
        <v>15</v>
      </c>
      <c r="AC84" s="1" t="s">
        <v>21</v>
      </c>
      <c r="AD84" s="1">
        <v>13</v>
      </c>
      <c r="AE84" s="1">
        <v>10</v>
      </c>
      <c r="AF84" s="1">
        <v>0.76</v>
      </c>
      <c r="AG84" s="1">
        <v>0.84</v>
      </c>
      <c r="AH84" s="1">
        <v>0</v>
      </c>
      <c r="AI84" s="1">
        <v>0</v>
      </c>
      <c r="AJ84" s="1">
        <f t="shared" si="7"/>
        <v>0</v>
      </c>
      <c r="AK84" s="1">
        <f>D12</f>
        <v>30</v>
      </c>
      <c r="AL84" s="1">
        <f>D18</f>
        <v>0</v>
      </c>
      <c r="AM84" s="1">
        <f t="shared" si="8"/>
        <v>0</v>
      </c>
      <c r="AN84" s="1">
        <f t="shared" si="9"/>
        <v>0</v>
      </c>
      <c r="AO84" s="1">
        <f t="shared" si="10"/>
        <v>0</v>
      </c>
      <c r="AP84" t="b" cm="1">
        <f t="array" ref="AP84">INDEX($AU$8:$BB$25,6*(R84-1)+MATCH(AB84,$AS$8:$AS$13,0),MATCH(O84,$AU$7:$BB$7,0))</f>
        <v>1</v>
      </c>
    </row>
    <row r="85" spans="1:42" ht="14.55" customHeight="1" x14ac:dyDescent="0.45">
      <c r="A85" s="85"/>
      <c r="B85" s="31" t="s">
        <v>16</v>
      </c>
      <c r="C85" s="45"/>
      <c r="D85" s="45"/>
      <c r="E85" s="45"/>
      <c r="F85" s="83" cm="1">
        <f t="array" ref="F85">SUM(
     _xlfn.BYROW(
           IF(C80:E91-C68:E79&lt;0, C80:E91-C68:E79, 0),
           _xleta.SUM)
     * -1000000
)</f>
        <v>0</v>
      </c>
      <c r="G85" s="83"/>
      <c r="I85" s="64"/>
      <c r="O85" s="43" t="s">
        <v>11</v>
      </c>
      <c r="P85" s="43">
        <v>2</v>
      </c>
      <c r="Q85" s="43">
        <v>15</v>
      </c>
      <c r="R85" s="43">
        <v>3</v>
      </c>
      <c r="S85" s="45"/>
      <c r="T85" t="b">
        <f>(S83+S84+S85)=N3</f>
        <v>0</v>
      </c>
      <c r="X85" s="1">
        <f t="shared" si="6"/>
        <v>0</v>
      </c>
      <c r="Y85" s="48">
        <v>0</v>
      </c>
      <c r="AA85" s="1">
        <v>7</v>
      </c>
      <c r="AB85" s="1" t="s">
        <v>15</v>
      </c>
      <c r="AC85" s="1" t="s">
        <v>21</v>
      </c>
      <c r="AD85" s="1">
        <v>13</v>
      </c>
      <c r="AE85" s="1">
        <v>10</v>
      </c>
      <c r="AF85" s="1">
        <v>0.76</v>
      </c>
      <c r="AG85" s="1">
        <v>0.84</v>
      </c>
      <c r="AH85" s="1">
        <v>0</v>
      </c>
      <c r="AI85" s="1">
        <v>0</v>
      </c>
      <c r="AJ85" s="1">
        <f t="shared" si="7"/>
        <v>0</v>
      </c>
      <c r="AK85" s="1">
        <f>E12</f>
        <v>16</v>
      </c>
      <c r="AL85" s="1">
        <f>E18</f>
        <v>0</v>
      </c>
      <c r="AM85" s="1">
        <f t="shared" si="8"/>
        <v>0</v>
      </c>
      <c r="AN85" s="1">
        <f t="shared" si="9"/>
        <v>0</v>
      </c>
      <c r="AO85" s="1">
        <f t="shared" si="10"/>
        <v>0</v>
      </c>
      <c r="AP85" t="b" cm="1">
        <f t="array" ref="AP85">INDEX($AU$8:$BB$25,6*(R85-1)+MATCH(AB85,$AS$8:$AS$13,0),MATCH(O85,$AU$7:$BB$7,0))</f>
        <v>1</v>
      </c>
    </row>
    <row r="86" spans="1:42" ht="14.55" customHeight="1" x14ac:dyDescent="0.45">
      <c r="A86" s="85"/>
      <c r="B86" s="31" t="s">
        <v>17</v>
      </c>
      <c r="C86" s="45"/>
      <c r="D86" s="45"/>
      <c r="E86" s="45"/>
      <c r="I86" s="64"/>
      <c r="O86" s="43" t="s">
        <v>11</v>
      </c>
      <c r="P86" s="43">
        <v>3</v>
      </c>
      <c r="Q86" s="43">
        <v>1</v>
      </c>
      <c r="R86" s="43">
        <v>1</v>
      </c>
      <c r="S86" s="45"/>
      <c r="T86" t="b">
        <f>(S86+S87+S88)=N4</f>
        <v>0</v>
      </c>
      <c r="X86" s="1">
        <v>0</v>
      </c>
      <c r="Y86" s="48">
        <v>0</v>
      </c>
      <c r="AA86" s="1">
        <v>1</v>
      </c>
      <c r="AB86" s="1" t="s">
        <v>13</v>
      </c>
      <c r="AC86" s="1" t="s">
        <v>19</v>
      </c>
      <c r="AD86" s="1">
        <v>21</v>
      </c>
      <c r="AE86" s="1">
        <v>20</v>
      </c>
      <c r="AF86" s="1">
        <v>0.8</v>
      </c>
      <c r="AG86" s="1">
        <v>0.86</v>
      </c>
      <c r="AH86" s="1">
        <v>0</v>
      </c>
      <c r="AI86" s="1">
        <v>0</v>
      </c>
      <c r="AJ86" s="1">
        <f t="shared" si="7"/>
        <v>0</v>
      </c>
      <c r="AK86" s="1">
        <f>C10</f>
        <v>0</v>
      </c>
      <c r="AL86" s="1">
        <f>C16</f>
        <v>0</v>
      </c>
      <c r="AM86" s="1">
        <f t="shared" si="8"/>
        <v>0</v>
      </c>
      <c r="AN86" s="1">
        <f t="shared" si="9"/>
        <v>0</v>
      </c>
      <c r="AO86" s="1">
        <f t="shared" si="10"/>
        <v>0</v>
      </c>
      <c r="AP86" t="b" cm="1">
        <f t="array" ref="AP86">INDEX($AU$8:$BB$25,6*(R86-1)+MATCH(AB86,$AS$8:$AS$13,0),MATCH(O86,$AU$7:$BB$7,0))</f>
        <v>1</v>
      </c>
    </row>
    <row r="87" spans="1:42" ht="14.55" customHeight="1" x14ac:dyDescent="0.45">
      <c r="A87" s="85"/>
      <c r="B87" s="31" t="s">
        <v>18</v>
      </c>
      <c r="C87" s="45"/>
      <c r="D87" s="45"/>
      <c r="E87" s="45"/>
      <c r="I87" s="64"/>
      <c r="O87" s="43" t="s">
        <v>11</v>
      </c>
      <c r="P87" s="43">
        <v>3</v>
      </c>
      <c r="Q87" s="43">
        <v>1</v>
      </c>
      <c r="R87" s="43">
        <v>2</v>
      </c>
      <c r="S87" s="45"/>
      <c r="T87" t="b">
        <f>(S86+S87+S88)=N4</f>
        <v>0</v>
      </c>
      <c r="X87" s="1">
        <v>0</v>
      </c>
      <c r="Y87" s="48">
        <v>0</v>
      </c>
      <c r="AA87" s="1">
        <v>1</v>
      </c>
      <c r="AB87" s="1" t="s">
        <v>13</v>
      </c>
      <c r="AC87" s="1" t="s">
        <v>19</v>
      </c>
      <c r="AD87" s="1">
        <v>21</v>
      </c>
      <c r="AE87" s="1">
        <v>20</v>
      </c>
      <c r="AF87" s="1">
        <v>0.8</v>
      </c>
      <c r="AG87" s="1">
        <v>0.86</v>
      </c>
      <c r="AH87" s="1">
        <v>0</v>
      </c>
      <c r="AI87" s="1">
        <v>0</v>
      </c>
      <c r="AJ87" s="1">
        <f t="shared" si="7"/>
        <v>0</v>
      </c>
      <c r="AK87" s="1">
        <f>D10</f>
        <v>0</v>
      </c>
      <c r="AL87" s="1">
        <f>D16</f>
        <v>0</v>
      </c>
      <c r="AM87" s="1">
        <f t="shared" si="8"/>
        <v>0</v>
      </c>
      <c r="AN87" s="1">
        <f t="shared" si="9"/>
        <v>0</v>
      </c>
      <c r="AO87" s="1">
        <f t="shared" si="10"/>
        <v>0</v>
      </c>
      <c r="AP87" t="b" cm="1">
        <f t="array" ref="AP87">INDEX($AU$8:$BB$25,6*(R87-1)+MATCH(AB87,$AS$8:$AS$13,0),MATCH(O87,$AU$7:$BB$7,0))</f>
        <v>1</v>
      </c>
    </row>
    <row r="88" spans="1:42" ht="14.55" customHeight="1" x14ac:dyDescent="0.45">
      <c r="A88" s="85"/>
      <c r="B88" s="31" t="s">
        <v>19</v>
      </c>
      <c r="C88" s="45"/>
      <c r="D88" s="45"/>
      <c r="E88" s="45"/>
      <c r="I88" s="64"/>
      <c r="O88" s="43" t="s">
        <v>11</v>
      </c>
      <c r="P88" s="43">
        <v>3</v>
      </c>
      <c r="Q88" s="43">
        <v>1</v>
      </c>
      <c r="R88" s="43">
        <v>3</v>
      </c>
      <c r="S88" s="45"/>
      <c r="T88" t="b">
        <f>(S86+S87+S88)=N4</f>
        <v>0</v>
      </c>
      <c r="X88" s="1">
        <v>0</v>
      </c>
      <c r="Y88" s="48">
        <v>0</v>
      </c>
      <c r="AA88" s="1">
        <v>1</v>
      </c>
      <c r="AB88" s="1" t="s">
        <v>13</v>
      </c>
      <c r="AC88" s="1" t="s">
        <v>19</v>
      </c>
      <c r="AD88" s="1">
        <v>21</v>
      </c>
      <c r="AE88" s="1">
        <v>20</v>
      </c>
      <c r="AF88" s="1">
        <v>0.8</v>
      </c>
      <c r="AG88" s="1">
        <v>0.86</v>
      </c>
      <c r="AH88" s="1">
        <v>0</v>
      </c>
      <c r="AI88" s="1">
        <v>0</v>
      </c>
      <c r="AJ88" s="1">
        <f t="shared" si="7"/>
        <v>0</v>
      </c>
      <c r="AK88" s="1">
        <f>E10</f>
        <v>40</v>
      </c>
      <c r="AL88" s="1">
        <f>E16</f>
        <v>0</v>
      </c>
      <c r="AM88" s="1">
        <f t="shared" si="8"/>
        <v>0</v>
      </c>
      <c r="AN88" s="1">
        <f t="shared" si="9"/>
        <v>0</v>
      </c>
      <c r="AO88" s="1">
        <f t="shared" si="10"/>
        <v>0</v>
      </c>
      <c r="AP88" t="b" cm="1">
        <f t="array" ref="AP88">INDEX($AU$8:$BB$25,6*(R88-1)+MATCH(AB88,$AS$8:$AS$13,0),MATCH(O88,$AU$7:$BB$7,0))</f>
        <v>1</v>
      </c>
    </row>
    <row r="89" spans="1:42" ht="14.55" customHeight="1" x14ac:dyDescent="0.45">
      <c r="A89" s="85"/>
      <c r="B89" s="31" t="s">
        <v>20</v>
      </c>
      <c r="C89" s="45"/>
      <c r="D89" s="45"/>
      <c r="E89" s="45"/>
      <c r="I89" s="64"/>
      <c r="O89" s="43" t="s">
        <v>11</v>
      </c>
      <c r="P89" s="43">
        <v>3</v>
      </c>
      <c r="Q89" s="43">
        <v>2</v>
      </c>
      <c r="R89" s="43">
        <v>1</v>
      </c>
      <c r="S89" s="45"/>
      <c r="T89" t="b">
        <f>(S89+S90+S91)=N4</f>
        <v>0</v>
      </c>
      <c r="X89" s="1">
        <f t="shared" ref="X89:X136" si="11">MAX(S86-S89,0)</f>
        <v>0</v>
      </c>
      <c r="Y89" s="48">
        <v>0</v>
      </c>
      <c r="AA89" s="1">
        <v>8</v>
      </c>
      <c r="AB89" s="1" t="s">
        <v>14</v>
      </c>
      <c r="AC89" s="1" t="s">
        <v>20</v>
      </c>
      <c r="AD89" s="1">
        <v>9</v>
      </c>
      <c r="AE89" s="1">
        <v>7</v>
      </c>
      <c r="AF89" s="1">
        <v>0.8</v>
      </c>
      <c r="AG89" s="1">
        <v>0.88</v>
      </c>
      <c r="AH89" s="1">
        <v>0</v>
      </c>
      <c r="AI89" s="1">
        <v>0</v>
      </c>
      <c r="AJ89" s="1">
        <f t="shared" si="7"/>
        <v>0</v>
      </c>
      <c r="AK89" s="1">
        <f>C11</f>
        <v>50</v>
      </c>
      <c r="AL89" s="1">
        <f>C17</f>
        <v>0</v>
      </c>
      <c r="AM89" s="1">
        <f t="shared" si="8"/>
        <v>0</v>
      </c>
      <c r="AN89" s="1">
        <f t="shared" si="9"/>
        <v>0</v>
      </c>
      <c r="AO89" s="1">
        <f t="shared" si="10"/>
        <v>0</v>
      </c>
      <c r="AP89" t="b" cm="1">
        <f t="array" ref="AP89">INDEX($AU$8:$BB$25,6*(R89-1)+MATCH(AB89,$AS$8:$AS$13,0),MATCH(O89,$AU$7:$BB$7,0))</f>
        <v>1</v>
      </c>
    </row>
    <row r="90" spans="1:42" ht="14.55" customHeight="1" x14ac:dyDescent="0.45">
      <c r="A90" s="85"/>
      <c r="B90" s="31" t="s">
        <v>21</v>
      </c>
      <c r="C90" s="45"/>
      <c r="D90" s="45"/>
      <c r="E90" s="45"/>
      <c r="I90" s="64"/>
      <c r="O90" s="43" t="s">
        <v>11</v>
      </c>
      <c r="P90" s="43">
        <v>3</v>
      </c>
      <c r="Q90" s="43">
        <v>2</v>
      </c>
      <c r="R90" s="43">
        <v>2</v>
      </c>
      <c r="S90" s="45"/>
      <c r="T90" t="b">
        <f>(S89+S90+S91)=N4</f>
        <v>0</v>
      </c>
      <c r="X90" s="1">
        <f t="shared" si="11"/>
        <v>0</v>
      </c>
      <c r="Y90" s="48">
        <v>0</v>
      </c>
      <c r="AA90" s="1">
        <v>8</v>
      </c>
      <c r="AB90" s="1" t="s">
        <v>14</v>
      </c>
      <c r="AC90" s="1" t="s">
        <v>20</v>
      </c>
      <c r="AD90" s="1">
        <v>9</v>
      </c>
      <c r="AE90" s="1">
        <v>7</v>
      </c>
      <c r="AF90" s="1">
        <v>0.8</v>
      </c>
      <c r="AG90" s="1">
        <v>0.88</v>
      </c>
      <c r="AH90" s="1">
        <v>0</v>
      </c>
      <c r="AI90" s="1">
        <v>0</v>
      </c>
      <c r="AJ90" s="1">
        <f t="shared" si="7"/>
        <v>0</v>
      </c>
      <c r="AK90" s="1">
        <f>D11</f>
        <v>50</v>
      </c>
      <c r="AL90" s="1">
        <f>D17</f>
        <v>0</v>
      </c>
      <c r="AM90" s="1">
        <f t="shared" si="8"/>
        <v>0</v>
      </c>
      <c r="AN90" s="1">
        <f t="shared" si="9"/>
        <v>0</v>
      </c>
      <c r="AO90" s="1">
        <f t="shared" si="10"/>
        <v>0</v>
      </c>
      <c r="AP90" t="b" cm="1">
        <f t="array" ref="AP90">INDEX($AU$8:$BB$25,6*(R90-1)+MATCH(AB90,$AS$8:$AS$13,0),MATCH(O90,$AU$7:$BB$7,0))</f>
        <v>1</v>
      </c>
    </row>
    <row r="91" spans="1:42" ht="14.55" customHeight="1" x14ac:dyDescent="0.45">
      <c r="A91" s="85"/>
      <c r="B91" s="31" t="s">
        <v>22</v>
      </c>
      <c r="C91" s="45"/>
      <c r="D91" s="45"/>
      <c r="E91" s="45"/>
      <c r="F91" s="44" t="s">
        <v>134</v>
      </c>
      <c r="G91" s="44" t="s">
        <v>135</v>
      </c>
      <c r="H91" s="44" t="s">
        <v>136</v>
      </c>
      <c r="I91" s="64"/>
      <c r="O91" s="43" t="s">
        <v>11</v>
      </c>
      <c r="P91" s="43">
        <v>3</v>
      </c>
      <c r="Q91" s="43">
        <v>2</v>
      </c>
      <c r="R91" s="43">
        <v>3</v>
      </c>
      <c r="S91" s="45"/>
      <c r="T91" t="b">
        <f>(S89+S90+S91)=N4</f>
        <v>0</v>
      </c>
      <c r="X91" s="1">
        <f t="shared" si="11"/>
        <v>0</v>
      </c>
      <c r="Y91" s="48">
        <v>0</v>
      </c>
      <c r="AA91" s="1">
        <v>8</v>
      </c>
      <c r="AB91" s="1" t="s">
        <v>14</v>
      </c>
      <c r="AC91" s="1" t="s">
        <v>20</v>
      </c>
      <c r="AD91" s="1">
        <v>9</v>
      </c>
      <c r="AE91" s="1">
        <v>7</v>
      </c>
      <c r="AF91" s="1">
        <v>0.8</v>
      </c>
      <c r="AG91" s="1">
        <v>0.88</v>
      </c>
      <c r="AH91" s="1">
        <v>0</v>
      </c>
      <c r="AI91" s="1">
        <v>0</v>
      </c>
      <c r="AJ91" s="1">
        <f t="shared" si="7"/>
        <v>0</v>
      </c>
      <c r="AK91" s="1">
        <f>E11</f>
        <v>35</v>
      </c>
      <c r="AL91" s="1">
        <f>E17</f>
        <v>0</v>
      </c>
      <c r="AM91" s="1">
        <f t="shared" si="8"/>
        <v>0</v>
      </c>
      <c r="AN91" s="1">
        <f t="shared" si="9"/>
        <v>0</v>
      </c>
      <c r="AO91" s="1">
        <f t="shared" si="10"/>
        <v>0</v>
      </c>
      <c r="AP91" t="b" cm="1">
        <f t="array" ref="AP91">INDEX($AU$8:$BB$25,6*(R91-1)+MATCH(AB91,$AS$8:$AS$13,0),MATCH(O91,$AU$7:$BB$7,0))</f>
        <v>1</v>
      </c>
    </row>
    <row r="92" spans="1:42" ht="14.25" x14ac:dyDescent="0.45">
      <c r="A92" s="85" t="s">
        <v>29</v>
      </c>
      <c r="B92" s="31" t="s">
        <v>10</v>
      </c>
      <c r="C92" s="45"/>
      <c r="D92" s="45"/>
      <c r="E92" s="45"/>
      <c r="F92" cm="1">
        <f t="array" ref="F92">SUM(C92:C103*data!$B$3:$B$14)</f>
        <v>0</v>
      </c>
      <c r="G92" cm="1">
        <f t="array" ref="G92">SUM(D92:D103*data!$B$3:$B$14)</f>
        <v>0</v>
      </c>
      <c r="H92" cm="1">
        <f t="array" ref="H92">SUM(E92:E103*data!$B$3:$B$14)</f>
        <v>0</v>
      </c>
      <c r="I92" s="64" t="s">
        <v>156</v>
      </c>
      <c r="O92" s="43" t="s">
        <v>11</v>
      </c>
      <c r="P92" s="43">
        <v>3</v>
      </c>
      <c r="Q92" s="43">
        <v>3</v>
      </c>
      <c r="R92" s="43">
        <v>1</v>
      </c>
      <c r="S92" s="45"/>
      <c r="T92" t="b">
        <f>(S92+S93+S94)=N4</f>
        <v>0</v>
      </c>
      <c r="X92" s="1">
        <f t="shared" si="11"/>
        <v>0</v>
      </c>
      <c r="Y92" s="48">
        <v>0</v>
      </c>
      <c r="AA92" s="1">
        <v>1</v>
      </c>
      <c r="AB92" s="1" t="s">
        <v>15</v>
      </c>
      <c r="AC92" s="1" t="s">
        <v>21</v>
      </c>
      <c r="AD92" s="1">
        <v>24</v>
      </c>
      <c r="AE92" s="1">
        <v>23</v>
      </c>
      <c r="AF92" s="1">
        <v>0.76</v>
      </c>
      <c r="AG92" s="1">
        <v>0.84</v>
      </c>
      <c r="AH92" s="1">
        <v>0</v>
      </c>
      <c r="AI92" s="1">
        <v>0</v>
      </c>
      <c r="AJ92" s="1">
        <f t="shared" si="7"/>
        <v>0</v>
      </c>
      <c r="AK92" s="1">
        <f>C12</f>
        <v>40</v>
      </c>
      <c r="AL92" s="1">
        <f>C18</f>
        <v>0</v>
      </c>
      <c r="AM92" s="1">
        <f t="shared" si="8"/>
        <v>0</v>
      </c>
      <c r="AN92" s="1">
        <f t="shared" si="9"/>
        <v>0</v>
      </c>
      <c r="AO92" s="1">
        <f t="shared" si="10"/>
        <v>0</v>
      </c>
      <c r="AP92" t="b" cm="1">
        <f t="array" ref="AP92">INDEX($AU$8:$BB$25,6*(R92-1)+MATCH(AB92,$AS$8:$AS$13,0),MATCH(O92,$AU$7:$BB$7,0))</f>
        <v>1</v>
      </c>
    </row>
    <row r="93" spans="1:42" ht="14.55" customHeight="1" x14ac:dyDescent="0.45">
      <c r="A93" s="85"/>
      <c r="B93" s="31" t="s">
        <v>12</v>
      </c>
      <c r="C93" s="45"/>
      <c r="D93" s="45"/>
      <c r="E93" s="45"/>
      <c r="I93" s="64"/>
      <c r="O93" s="43" t="s">
        <v>11</v>
      </c>
      <c r="P93" s="43">
        <v>3</v>
      </c>
      <c r="Q93" s="43">
        <v>3</v>
      </c>
      <c r="R93" s="43">
        <v>2</v>
      </c>
      <c r="S93" s="45"/>
      <c r="T93" t="b">
        <f>(S92+S93+S94)=N4</f>
        <v>0</v>
      </c>
      <c r="X93" s="1">
        <f t="shared" si="11"/>
        <v>0</v>
      </c>
      <c r="Y93" s="48">
        <v>0</v>
      </c>
      <c r="AA93" s="1">
        <v>1</v>
      </c>
      <c r="AB93" s="1" t="s">
        <v>15</v>
      </c>
      <c r="AC93" s="1" t="s">
        <v>21</v>
      </c>
      <c r="AD93" s="1">
        <v>24</v>
      </c>
      <c r="AE93" s="1">
        <v>23</v>
      </c>
      <c r="AF93" s="1">
        <v>0.76</v>
      </c>
      <c r="AG93" s="1">
        <v>0.84</v>
      </c>
      <c r="AH93" s="1">
        <v>0</v>
      </c>
      <c r="AI93" s="1">
        <v>0</v>
      </c>
      <c r="AJ93" s="1">
        <f t="shared" si="7"/>
        <v>0</v>
      </c>
      <c r="AK93" s="1">
        <f>D12</f>
        <v>30</v>
      </c>
      <c r="AL93" s="1">
        <f>D18</f>
        <v>0</v>
      </c>
      <c r="AM93" s="1">
        <f t="shared" si="8"/>
        <v>0</v>
      </c>
      <c r="AN93" s="1">
        <f t="shared" si="9"/>
        <v>0</v>
      </c>
      <c r="AO93" s="1">
        <f t="shared" si="10"/>
        <v>0</v>
      </c>
      <c r="AP93" t="b" cm="1">
        <f t="array" ref="AP93">INDEX($AU$8:$BB$25,6*(R93-1)+MATCH(AB93,$AS$8:$AS$13,0),MATCH(O93,$AU$7:$BB$7,0))</f>
        <v>1</v>
      </c>
    </row>
    <row r="94" spans="1:42" ht="14.55" customHeight="1" x14ac:dyDescent="0.45">
      <c r="A94" s="85"/>
      <c r="B94" s="31" t="s">
        <v>13</v>
      </c>
      <c r="C94" s="45"/>
      <c r="D94" s="45"/>
      <c r="E94" s="45"/>
      <c r="F94" s="84" t="s">
        <v>137</v>
      </c>
      <c r="G94" s="84"/>
      <c r="I94" s="64"/>
      <c r="O94" s="43" t="s">
        <v>11</v>
      </c>
      <c r="P94" s="43">
        <v>3</v>
      </c>
      <c r="Q94" s="43">
        <v>3</v>
      </c>
      <c r="R94" s="43">
        <v>3</v>
      </c>
      <c r="S94" s="45"/>
      <c r="T94" t="b">
        <f>(S92+S93+S94)=N4</f>
        <v>0</v>
      </c>
      <c r="X94" s="1">
        <f t="shared" si="11"/>
        <v>0</v>
      </c>
      <c r="Y94" s="48">
        <v>0</v>
      </c>
      <c r="AA94" s="1">
        <v>1</v>
      </c>
      <c r="AB94" s="1" t="s">
        <v>15</v>
      </c>
      <c r="AC94" s="1" t="s">
        <v>21</v>
      </c>
      <c r="AD94" s="1">
        <v>24</v>
      </c>
      <c r="AE94" s="1">
        <v>23</v>
      </c>
      <c r="AF94" s="1">
        <v>0.76</v>
      </c>
      <c r="AG94" s="1">
        <v>0.84</v>
      </c>
      <c r="AH94" s="1">
        <v>0</v>
      </c>
      <c r="AI94" s="1">
        <v>0</v>
      </c>
      <c r="AJ94" s="1">
        <f t="shared" si="7"/>
        <v>0</v>
      </c>
      <c r="AK94" s="1">
        <f>E12</f>
        <v>16</v>
      </c>
      <c r="AL94" s="1">
        <f>E18</f>
        <v>0</v>
      </c>
      <c r="AM94" s="1">
        <f t="shared" si="8"/>
        <v>0</v>
      </c>
      <c r="AN94" s="1">
        <f t="shared" si="9"/>
        <v>0</v>
      </c>
      <c r="AO94" s="1">
        <f t="shared" si="10"/>
        <v>0</v>
      </c>
      <c r="AP94" t="b" cm="1">
        <f t="array" ref="AP94">INDEX($AU$8:$BB$25,6*(R94-1)+MATCH(AB94,$AS$8:$AS$13,0),MATCH(O94,$AU$7:$BB$7,0))</f>
        <v>1</v>
      </c>
    </row>
    <row r="95" spans="1:42" ht="14.55" customHeight="1" x14ac:dyDescent="0.45">
      <c r="A95" s="85"/>
      <c r="B95" s="31" t="s">
        <v>14</v>
      </c>
      <c r="C95" s="45"/>
      <c r="D95" s="45"/>
      <c r="E95" s="45"/>
      <c r="F95" s="83" cm="1">
        <f t="array" ref="F95">SUM(
     _xlfn.BYROW(
           IF(C92:E103-C80:E91&gt;0, C92:E103-C80:E91, 0),
           _xleta.SUM)
     *data!$C$3:$C$14
)</f>
        <v>0</v>
      </c>
      <c r="G95" s="83"/>
      <c r="I95" s="64"/>
      <c r="O95" s="43" t="s">
        <v>11</v>
      </c>
      <c r="P95" s="43">
        <v>3</v>
      </c>
      <c r="Q95" s="43">
        <v>4</v>
      </c>
      <c r="R95" s="43">
        <v>1</v>
      </c>
      <c r="S95" s="45"/>
      <c r="T95" t="b">
        <f>(S95+S96+S97)=N4</f>
        <v>0</v>
      </c>
      <c r="X95" s="1">
        <f t="shared" si="11"/>
        <v>0</v>
      </c>
      <c r="Y95" s="48">
        <v>0</v>
      </c>
      <c r="AA95" s="1">
        <v>9</v>
      </c>
      <c r="AB95" s="1" t="s">
        <v>15</v>
      </c>
      <c r="AC95" s="1" t="s">
        <v>21</v>
      </c>
      <c r="AD95" s="1">
        <v>15</v>
      </c>
      <c r="AE95" s="1">
        <v>11</v>
      </c>
      <c r="AF95" s="1">
        <v>0.76</v>
      </c>
      <c r="AG95" s="1">
        <v>0.84</v>
      </c>
      <c r="AH95" s="1">
        <v>0</v>
      </c>
      <c r="AI95" s="1">
        <v>0</v>
      </c>
      <c r="AJ95" s="1">
        <f t="shared" si="7"/>
        <v>0</v>
      </c>
      <c r="AK95" s="1">
        <f>C12</f>
        <v>40</v>
      </c>
      <c r="AL95" s="1">
        <f>C18</f>
        <v>0</v>
      </c>
      <c r="AM95" s="1">
        <f t="shared" si="8"/>
        <v>0</v>
      </c>
      <c r="AN95" s="1">
        <f t="shared" si="9"/>
        <v>0</v>
      </c>
      <c r="AO95" s="1">
        <f t="shared" si="10"/>
        <v>0</v>
      </c>
      <c r="AP95" t="b" cm="1">
        <f t="array" ref="AP95">INDEX($AU$8:$BB$25,6*(R95-1)+MATCH(AB95,$AS$8:$AS$13,0),MATCH(O95,$AU$7:$BB$7,0))</f>
        <v>1</v>
      </c>
    </row>
    <row r="96" spans="1:42" ht="14.55" customHeight="1" x14ac:dyDescent="0.45">
      <c r="A96" s="85"/>
      <c r="B96" s="31" t="s">
        <v>15</v>
      </c>
      <c r="C96" s="45"/>
      <c r="D96" s="45"/>
      <c r="E96" s="45"/>
      <c r="F96" s="84" t="s">
        <v>138</v>
      </c>
      <c r="G96" s="84"/>
      <c r="I96" s="64"/>
      <c r="O96" s="43" t="s">
        <v>11</v>
      </c>
      <c r="P96" s="43">
        <v>3</v>
      </c>
      <c r="Q96" s="43">
        <v>4</v>
      </c>
      <c r="R96" s="43">
        <v>2</v>
      </c>
      <c r="S96" s="45"/>
      <c r="T96" t="b">
        <f>(S95+S96+S97)=N4</f>
        <v>0</v>
      </c>
      <c r="X96" s="1">
        <f t="shared" si="11"/>
        <v>0</v>
      </c>
      <c r="Y96" s="48">
        <v>0</v>
      </c>
      <c r="AA96" s="1">
        <v>9</v>
      </c>
      <c r="AB96" s="1" t="s">
        <v>15</v>
      </c>
      <c r="AC96" s="1" t="s">
        <v>21</v>
      </c>
      <c r="AD96" s="1">
        <v>15</v>
      </c>
      <c r="AE96" s="1">
        <v>11</v>
      </c>
      <c r="AF96" s="1">
        <v>0.76</v>
      </c>
      <c r="AG96" s="1">
        <v>0.84</v>
      </c>
      <c r="AH96" s="1">
        <v>0</v>
      </c>
      <c r="AI96" s="1">
        <v>0</v>
      </c>
      <c r="AJ96" s="1">
        <f t="shared" si="7"/>
        <v>0</v>
      </c>
      <c r="AK96" s="1">
        <f>D12</f>
        <v>30</v>
      </c>
      <c r="AL96" s="1">
        <f>D18</f>
        <v>0</v>
      </c>
      <c r="AM96" s="1">
        <f t="shared" si="8"/>
        <v>0</v>
      </c>
      <c r="AN96" s="1">
        <f t="shared" si="9"/>
        <v>0</v>
      </c>
      <c r="AO96" s="1">
        <f t="shared" si="10"/>
        <v>0</v>
      </c>
      <c r="AP96" t="b" cm="1">
        <f t="array" ref="AP96">INDEX($AU$8:$BB$25,6*(R96-1)+MATCH(AB96,$AS$8:$AS$13,0),MATCH(O96,$AU$7:$BB$7,0))</f>
        <v>1</v>
      </c>
    </row>
    <row r="97" spans="1:42" ht="14.55" customHeight="1" x14ac:dyDescent="0.45">
      <c r="A97" s="85"/>
      <c r="B97" s="31" t="s">
        <v>16</v>
      </c>
      <c r="C97" s="45"/>
      <c r="D97" s="45"/>
      <c r="E97" s="45"/>
      <c r="F97" s="83" cm="1">
        <f t="array" ref="F97">SUM(
     _xlfn.BYROW(
           IF(C92:E103-C80:E91&lt;0, C92:E103-C80:E91, 0),
           _xleta.SUM)
     * -1000000
)</f>
        <v>0</v>
      </c>
      <c r="G97" s="83"/>
      <c r="I97" s="64"/>
      <c r="O97" s="43" t="s">
        <v>11</v>
      </c>
      <c r="P97" s="43">
        <v>3</v>
      </c>
      <c r="Q97" s="43">
        <v>4</v>
      </c>
      <c r="R97" s="43">
        <v>3</v>
      </c>
      <c r="S97" s="45"/>
      <c r="T97" t="b">
        <f>(S95+S96+S97)=N4</f>
        <v>0</v>
      </c>
      <c r="X97" s="1">
        <f t="shared" si="11"/>
        <v>0</v>
      </c>
      <c r="Y97" s="48">
        <v>0</v>
      </c>
      <c r="AA97" s="1">
        <v>9</v>
      </c>
      <c r="AB97" s="1" t="s">
        <v>15</v>
      </c>
      <c r="AC97" s="1" t="s">
        <v>21</v>
      </c>
      <c r="AD97" s="1">
        <v>15</v>
      </c>
      <c r="AE97" s="1">
        <v>11</v>
      </c>
      <c r="AF97" s="1">
        <v>0.76</v>
      </c>
      <c r="AG97" s="1">
        <v>0.84</v>
      </c>
      <c r="AH97" s="1">
        <v>0</v>
      </c>
      <c r="AI97" s="1">
        <v>0</v>
      </c>
      <c r="AJ97" s="1">
        <f t="shared" si="7"/>
        <v>0</v>
      </c>
      <c r="AK97" s="1">
        <f>E12</f>
        <v>16</v>
      </c>
      <c r="AL97" s="1">
        <f>E18</f>
        <v>0</v>
      </c>
      <c r="AM97" s="1">
        <f t="shared" si="8"/>
        <v>0</v>
      </c>
      <c r="AN97" s="1">
        <f t="shared" si="9"/>
        <v>0</v>
      </c>
      <c r="AO97" s="1">
        <f t="shared" si="10"/>
        <v>0</v>
      </c>
      <c r="AP97" t="b" cm="1">
        <f t="array" ref="AP97">INDEX($AU$8:$BB$25,6*(R97-1)+MATCH(AB97,$AS$8:$AS$13,0),MATCH(O97,$AU$7:$BB$7,0))</f>
        <v>1</v>
      </c>
    </row>
    <row r="98" spans="1:42" ht="14.55" customHeight="1" x14ac:dyDescent="0.45">
      <c r="A98" s="85"/>
      <c r="B98" s="31" t="s">
        <v>17</v>
      </c>
      <c r="C98" s="45"/>
      <c r="D98" s="45"/>
      <c r="E98" s="45"/>
      <c r="I98" s="64"/>
      <c r="O98" s="43" t="s">
        <v>11</v>
      </c>
      <c r="P98" s="43">
        <v>3</v>
      </c>
      <c r="Q98" s="43">
        <v>5</v>
      </c>
      <c r="R98" s="43">
        <v>1</v>
      </c>
      <c r="S98" s="45"/>
      <c r="T98" t="b">
        <f>(S98+S99+S100)=N4</f>
        <v>0</v>
      </c>
      <c r="X98" s="1">
        <f t="shared" si="11"/>
        <v>0</v>
      </c>
      <c r="Y98" s="48">
        <v>0</v>
      </c>
      <c r="AA98" s="1">
        <v>6</v>
      </c>
      <c r="AB98" s="1" t="s">
        <v>16</v>
      </c>
      <c r="AC98" s="1" t="s">
        <v>22</v>
      </c>
      <c r="AD98" s="1">
        <v>16</v>
      </c>
      <c r="AE98" s="1">
        <v>14</v>
      </c>
      <c r="AF98" s="1">
        <v>0.8</v>
      </c>
      <c r="AG98" s="1">
        <v>0.9</v>
      </c>
      <c r="AH98" s="1">
        <v>0</v>
      </c>
      <c r="AI98" s="1">
        <v>0</v>
      </c>
      <c r="AJ98" s="1">
        <f t="shared" si="7"/>
        <v>0</v>
      </c>
      <c r="AK98" s="1">
        <f>C13</f>
        <v>90</v>
      </c>
      <c r="AL98" s="1">
        <f>C19</f>
        <v>0</v>
      </c>
      <c r="AM98" s="1">
        <f t="shared" si="8"/>
        <v>0</v>
      </c>
      <c r="AN98" s="1">
        <f t="shared" si="9"/>
        <v>0</v>
      </c>
      <c r="AO98" s="1">
        <f t="shared" si="10"/>
        <v>0</v>
      </c>
      <c r="AP98" t="b" cm="1">
        <f t="array" ref="AP98">INDEX($AU$8:$BB$25,6*(R98-1)+MATCH(AB98,$AS$8:$AS$13,0),MATCH(O98,$AU$7:$BB$7,0))</f>
        <v>1</v>
      </c>
    </row>
    <row r="99" spans="1:42" ht="14.55" customHeight="1" x14ac:dyDescent="0.45">
      <c r="A99" s="85"/>
      <c r="B99" s="31" t="s">
        <v>18</v>
      </c>
      <c r="C99" s="45"/>
      <c r="D99" s="45"/>
      <c r="E99" s="45"/>
      <c r="I99" s="64"/>
      <c r="O99" s="43" t="s">
        <v>11</v>
      </c>
      <c r="P99" s="43">
        <v>3</v>
      </c>
      <c r="Q99" s="43">
        <v>5</v>
      </c>
      <c r="R99" s="43">
        <v>2</v>
      </c>
      <c r="S99" s="45"/>
      <c r="T99" t="b">
        <f>(S98+S99+S100)=N4</f>
        <v>0</v>
      </c>
      <c r="X99" s="1">
        <f t="shared" si="11"/>
        <v>0</v>
      </c>
      <c r="Y99" s="48">
        <v>0</v>
      </c>
      <c r="AA99" s="1">
        <v>6</v>
      </c>
      <c r="AB99" s="1" t="s">
        <v>16</v>
      </c>
      <c r="AC99" s="1" t="s">
        <v>22</v>
      </c>
      <c r="AD99" s="1">
        <v>16</v>
      </c>
      <c r="AE99" s="1">
        <v>14</v>
      </c>
      <c r="AF99" s="1">
        <v>0.8</v>
      </c>
      <c r="AG99" s="1">
        <v>0.9</v>
      </c>
      <c r="AH99" s="1">
        <v>0</v>
      </c>
      <c r="AI99" s="1">
        <v>0</v>
      </c>
      <c r="AJ99" s="1">
        <f t="shared" si="7"/>
        <v>0</v>
      </c>
      <c r="AK99" s="1">
        <f>D13</f>
        <v>60</v>
      </c>
      <c r="AL99" s="1">
        <f>D19</f>
        <v>0</v>
      </c>
      <c r="AM99" s="1">
        <f t="shared" si="8"/>
        <v>0</v>
      </c>
      <c r="AN99" s="1">
        <f t="shared" si="9"/>
        <v>0</v>
      </c>
      <c r="AO99" s="1">
        <f t="shared" si="10"/>
        <v>0</v>
      </c>
      <c r="AP99" t="b" cm="1">
        <f t="array" ref="AP99">INDEX($AU$8:$BB$25,6*(R99-1)+MATCH(AB99,$AS$8:$AS$13,0),MATCH(O99,$AU$7:$BB$7,0))</f>
        <v>1</v>
      </c>
    </row>
    <row r="100" spans="1:42" ht="14.55" customHeight="1" x14ac:dyDescent="0.45">
      <c r="A100" s="85"/>
      <c r="B100" s="31" t="s">
        <v>19</v>
      </c>
      <c r="C100" s="45"/>
      <c r="D100" s="45"/>
      <c r="E100" s="45"/>
      <c r="I100" s="64"/>
      <c r="O100" s="43" t="s">
        <v>11</v>
      </c>
      <c r="P100" s="43">
        <v>3</v>
      </c>
      <c r="Q100" s="43">
        <v>5</v>
      </c>
      <c r="R100" s="43">
        <v>3</v>
      </c>
      <c r="S100" s="45"/>
      <c r="T100" t="b">
        <f>(S98+S99+S100)=N4</f>
        <v>0</v>
      </c>
      <c r="X100" s="1">
        <f t="shared" si="11"/>
        <v>0</v>
      </c>
      <c r="Y100" s="48">
        <v>0</v>
      </c>
      <c r="AA100" s="1">
        <v>6</v>
      </c>
      <c r="AB100" s="1" t="s">
        <v>16</v>
      </c>
      <c r="AC100" s="1" t="s">
        <v>22</v>
      </c>
      <c r="AD100" s="1">
        <v>16</v>
      </c>
      <c r="AE100" s="1">
        <v>14</v>
      </c>
      <c r="AF100" s="1">
        <v>0.8</v>
      </c>
      <c r="AG100" s="1">
        <v>0.9</v>
      </c>
      <c r="AH100" s="1">
        <v>0</v>
      </c>
      <c r="AI100" s="1">
        <v>0</v>
      </c>
      <c r="AJ100" s="1">
        <f t="shared" si="7"/>
        <v>0</v>
      </c>
      <c r="AK100" s="1">
        <f>E13</f>
        <v>36</v>
      </c>
      <c r="AL100" s="1">
        <f>E19</f>
        <v>0</v>
      </c>
      <c r="AM100" s="1">
        <f t="shared" si="8"/>
        <v>0</v>
      </c>
      <c r="AN100" s="1">
        <f t="shared" si="9"/>
        <v>0</v>
      </c>
      <c r="AO100" s="1">
        <f t="shared" si="10"/>
        <v>0</v>
      </c>
      <c r="AP100" t="b" cm="1">
        <f t="array" ref="AP100">INDEX($AU$8:$BB$25,6*(R100-1)+MATCH(AB100,$AS$8:$AS$13,0),MATCH(O100,$AU$7:$BB$7,0))</f>
        <v>1</v>
      </c>
    </row>
    <row r="101" spans="1:42" ht="14.55" customHeight="1" x14ac:dyDescent="0.45">
      <c r="A101" s="85"/>
      <c r="B101" s="31" t="s">
        <v>20</v>
      </c>
      <c r="C101" s="45"/>
      <c r="D101" s="45"/>
      <c r="E101" s="45"/>
      <c r="I101" s="64"/>
      <c r="O101" s="43" t="s">
        <v>11</v>
      </c>
      <c r="P101" s="43">
        <v>3</v>
      </c>
      <c r="Q101" s="43">
        <v>6</v>
      </c>
      <c r="R101" s="43">
        <v>1</v>
      </c>
      <c r="S101" s="45"/>
      <c r="T101" t="b">
        <f>(S101+S102+S103)=N4</f>
        <v>0</v>
      </c>
      <c r="X101" s="1">
        <f t="shared" si="11"/>
        <v>0</v>
      </c>
      <c r="Y101" s="48">
        <v>0</v>
      </c>
      <c r="AA101" s="1">
        <v>1</v>
      </c>
      <c r="AB101" s="1" t="s">
        <v>14</v>
      </c>
      <c r="AC101" s="1" t="s">
        <v>20</v>
      </c>
      <c r="AD101" s="1">
        <v>12</v>
      </c>
      <c r="AE101" s="1">
        <v>11</v>
      </c>
      <c r="AF101" s="1">
        <v>0.8</v>
      </c>
      <c r="AG101" s="1">
        <v>0.88</v>
      </c>
      <c r="AH101" s="1">
        <v>0</v>
      </c>
      <c r="AI101" s="1">
        <v>0</v>
      </c>
      <c r="AJ101" s="1">
        <f t="shared" si="7"/>
        <v>0</v>
      </c>
      <c r="AK101" s="1">
        <f>C11</f>
        <v>50</v>
      </c>
      <c r="AL101" s="1">
        <f>C17</f>
        <v>0</v>
      </c>
      <c r="AM101" s="1">
        <f t="shared" si="8"/>
        <v>0</v>
      </c>
      <c r="AN101" s="1">
        <f t="shared" si="9"/>
        <v>0</v>
      </c>
      <c r="AO101" s="1">
        <f t="shared" si="10"/>
        <v>0</v>
      </c>
      <c r="AP101" t="b" cm="1">
        <f t="array" ref="AP101">INDEX($AU$8:$BB$25,6*(R101-1)+MATCH(AB101,$AS$8:$AS$13,0),MATCH(O101,$AU$7:$BB$7,0))</f>
        <v>1</v>
      </c>
    </row>
    <row r="102" spans="1:42" ht="14.55" customHeight="1" x14ac:dyDescent="0.45">
      <c r="A102" s="85"/>
      <c r="B102" s="31" t="s">
        <v>21</v>
      </c>
      <c r="C102" s="45"/>
      <c r="D102" s="45"/>
      <c r="E102" s="45"/>
      <c r="I102" s="64"/>
      <c r="O102" s="43" t="s">
        <v>11</v>
      </c>
      <c r="P102" s="43">
        <v>3</v>
      </c>
      <c r="Q102" s="43">
        <v>6</v>
      </c>
      <c r="R102" s="43">
        <v>2</v>
      </c>
      <c r="S102" s="45"/>
      <c r="T102" t="b">
        <f>(S101+S102+S103)=N4</f>
        <v>0</v>
      </c>
      <c r="X102" s="1">
        <f t="shared" si="11"/>
        <v>0</v>
      </c>
      <c r="Y102" s="48">
        <v>0</v>
      </c>
      <c r="AA102" s="1">
        <v>1</v>
      </c>
      <c r="AB102" s="1" t="s">
        <v>14</v>
      </c>
      <c r="AC102" s="1" t="s">
        <v>20</v>
      </c>
      <c r="AD102" s="1">
        <v>12</v>
      </c>
      <c r="AE102" s="1">
        <v>11</v>
      </c>
      <c r="AF102" s="1">
        <v>0.8</v>
      </c>
      <c r="AG102" s="1">
        <v>0.88</v>
      </c>
      <c r="AH102" s="1">
        <v>0</v>
      </c>
      <c r="AI102" s="1">
        <v>0</v>
      </c>
      <c r="AJ102" s="1">
        <f t="shared" si="7"/>
        <v>0</v>
      </c>
      <c r="AK102" s="1">
        <f>D11</f>
        <v>50</v>
      </c>
      <c r="AL102" s="1">
        <f>D17</f>
        <v>0</v>
      </c>
      <c r="AM102" s="1">
        <f t="shared" si="8"/>
        <v>0</v>
      </c>
      <c r="AN102" s="1">
        <f t="shared" si="9"/>
        <v>0</v>
      </c>
      <c r="AO102" s="1">
        <f t="shared" si="10"/>
        <v>0</v>
      </c>
      <c r="AP102" t="b" cm="1">
        <f t="array" ref="AP102">INDEX($AU$8:$BB$25,6*(R102-1)+MATCH(AB102,$AS$8:$AS$13,0),MATCH(O102,$AU$7:$BB$7,0))</f>
        <v>1</v>
      </c>
    </row>
    <row r="103" spans="1:42" ht="14.55" customHeight="1" x14ac:dyDescent="0.45">
      <c r="A103" s="85"/>
      <c r="B103" s="31" t="s">
        <v>22</v>
      </c>
      <c r="C103" s="45"/>
      <c r="D103" s="45"/>
      <c r="E103" s="45"/>
      <c r="I103" s="64"/>
      <c r="O103" s="43" t="s">
        <v>11</v>
      </c>
      <c r="P103" s="43">
        <v>3</v>
      </c>
      <c r="Q103" s="43">
        <v>6</v>
      </c>
      <c r="R103" s="43">
        <v>3</v>
      </c>
      <c r="S103" s="45"/>
      <c r="T103" t="b">
        <f>(S101+S102+S103)=N4</f>
        <v>0</v>
      </c>
      <c r="X103" s="1">
        <f t="shared" si="11"/>
        <v>0</v>
      </c>
      <c r="Y103" s="48">
        <v>0</v>
      </c>
      <c r="AA103" s="1">
        <v>1</v>
      </c>
      <c r="AB103" s="1" t="s">
        <v>14</v>
      </c>
      <c r="AC103" s="1" t="s">
        <v>20</v>
      </c>
      <c r="AD103" s="1">
        <v>12</v>
      </c>
      <c r="AE103" s="1">
        <v>11</v>
      </c>
      <c r="AF103" s="1">
        <v>0.8</v>
      </c>
      <c r="AG103" s="1">
        <v>0.88</v>
      </c>
      <c r="AH103" s="1">
        <v>0</v>
      </c>
      <c r="AI103" s="1">
        <v>0</v>
      </c>
      <c r="AJ103" s="1">
        <f t="shared" si="7"/>
        <v>0</v>
      </c>
      <c r="AK103" s="1">
        <f>E11</f>
        <v>35</v>
      </c>
      <c r="AL103" s="1">
        <f>E17</f>
        <v>0</v>
      </c>
      <c r="AM103" s="1">
        <f t="shared" si="8"/>
        <v>0</v>
      </c>
      <c r="AN103" s="1">
        <f t="shared" si="9"/>
        <v>0</v>
      </c>
      <c r="AO103" s="1">
        <f t="shared" si="10"/>
        <v>0</v>
      </c>
      <c r="AP103" t="b" cm="1">
        <f t="array" ref="AP103">INDEX($AU$8:$BB$25,6*(R103-1)+MATCH(AB103,$AS$8:$AS$13,0),MATCH(O103,$AU$7:$BB$7,0))</f>
        <v>1</v>
      </c>
    </row>
    <row r="104" spans="1:42" ht="14.25" x14ac:dyDescent="0.45">
      <c r="O104" s="43" t="s">
        <v>11</v>
      </c>
      <c r="P104" s="43">
        <v>3</v>
      </c>
      <c r="Q104" s="43">
        <v>7</v>
      </c>
      <c r="R104" s="43">
        <v>1</v>
      </c>
      <c r="S104" s="45"/>
      <c r="T104" t="b">
        <f>(S104+S105+S106)=N4</f>
        <v>0</v>
      </c>
      <c r="X104" s="1">
        <f t="shared" si="11"/>
        <v>0</v>
      </c>
      <c r="Y104" s="48">
        <v>0</v>
      </c>
      <c r="AA104" s="1">
        <v>3</v>
      </c>
      <c r="AB104" s="1" t="s">
        <v>13</v>
      </c>
      <c r="AC104" s="1" t="s">
        <v>19</v>
      </c>
      <c r="AD104" s="1">
        <v>24</v>
      </c>
      <c r="AE104" s="1">
        <v>21</v>
      </c>
      <c r="AF104" s="1">
        <v>0.8</v>
      </c>
      <c r="AG104" s="1">
        <v>0.86</v>
      </c>
      <c r="AH104" s="1">
        <v>0</v>
      </c>
      <c r="AI104" s="1">
        <v>0</v>
      </c>
      <c r="AJ104" s="1">
        <f t="shared" si="7"/>
        <v>0</v>
      </c>
      <c r="AK104" s="1">
        <f>C10</f>
        <v>0</v>
      </c>
      <c r="AL104" s="1">
        <f>C16</f>
        <v>0</v>
      </c>
      <c r="AM104" s="1">
        <f t="shared" si="8"/>
        <v>0</v>
      </c>
      <c r="AN104" s="1">
        <f t="shared" si="9"/>
        <v>0</v>
      </c>
      <c r="AO104" s="1">
        <f t="shared" si="10"/>
        <v>0</v>
      </c>
      <c r="AP104" t="b" cm="1">
        <f t="array" ref="AP104">INDEX($AU$8:$BB$25,6*(R104-1)+MATCH(AB104,$AS$8:$AS$13,0),MATCH(O104,$AU$7:$BB$7,0))</f>
        <v>1</v>
      </c>
    </row>
    <row r="105" spans="1:42" ht="14.25" x14ac:dyDescent="0.45">
      <c r="O105" s="43" t="s">
        <v>11</v>
      </c>
      <c r="P105" s="43">
        <v>3</v>
      </c>
      <c r="Q105" s="43">
        <v>7</v>
      </c>
      <c r="R105" s="43">
        <v>2</v>
      </c>
      <c r="S105" s="45"/>
      <c r="T105" t="b">
        <f>(S104+S105+S106)=N4</f>
        <v>0</v>
      </c>
      <c r="X105" s="1">
        <f t="shared" si="11"/>
        <v>0</v>
      </c>
      <c r="Y105" s="48">
        <v>0</v>
      </c>
      <c r="AA105" s="1">
        <v>3</v>
      </c>
      <c r="AB105" s="1" t="s">
        <v>13</v>
      </c>
      <c r="AC105" s="1" t="s">
        <v>19</v>
      </c>
      <c r="AD105" s="1">
        <v>24</v>
      </c>
      <c r="AE105" s="1">
        <v>21</v>
      </c>
      <c r="AF105" s="1">
        <v>0.8</v>
      </c>
      <c r="AG105" s="1">
        <v>0.86</v>
      </c>
      <c r="AH105" s="1">
        <v>0</v>
      </c>
      <c r="AI105" s="1">
        <v>0</v>
      </c>
      <c r="AJ105" s="1">
        <f t="shared" si="7"/>
        <v>0</v>
      </c>
      <c r="AK105" s="1">
        <f>D10</f>
        <v>0</v>
      </c>
      <c r="AL105" s="1">
        <f>D16</f>
        <v>0</v>
      </c>
      <c r="AM105" s="1">
        <f t="shared" si="8"/>
        <v>0</v>
      </c>
      <c r="AN105" s="1">
        <f t="shared" si="9"/>
        <v>0</v>
      </c>
      <c r="AO105" s="1">
        <f t="shared" si="10"/>
        <v>0</v>
      </c>
      <c r="AP105" t="b" cm="1">
        <f t="array" ref="AP105">INDEX($AU$8:$BB$25,6*(R105-1)+MATCH(AB105,$AS$8:$AS$13,0),MATCH(O105,$AU$7:$BB$7,0))</f>
        <v>1</v>
      </c>
    </row>
    <row r="106" spans="1:42" ht="14.25" x14ac:dyDescent="0.45">
      <c r="O106" s="43" t="s">
        <v>11</v>
      </c>
      <c r="P106" s="43">
        <v>3</v>
      </c>
      <c r="Q106" s="43">
        <v>7</v>
      </c>
      <c r="R106" s="43">
        <v>3</v>
      </c>
      <c r="S106" s="45"/>
      <c r="T106" t="b">
        <f>(S104+S105+S106)=N4</f>
        <v>0</v>
      </c>
      <c r="X106" s="1">
        <f t="shared" si="11"/>
        <v>0</v>
      </c>
      <c r="Y106" s="48">
        <v>0</v>
      </c>
      <c r="AA106" s="1">
        <v>3</v>
      </c>
      <c r="AB106" s="1" t="s">
        <v>13</v>
      </c>
      <c r="AC106" s="1" t="s">
        <v>19</v>
      </c>
      <c r="AD106" s="1">
        <v>24</v>
      </c>
      <c r="AE106" s="1">
        <v>21</v>
      </c>
      <c r="AF106" s="1">
        <v>0.8</v>
      </c>
      <c r="AG106" s="1">
        <v>0.86</v>
      </c>
      <c r="AH106" s="1">
        <v>0</v>
      </c>
      <c r="AI106" s="1">
        <v>0</v>
      </c>
      <c r="AJ106" s="1">
        <f t="shared" si="7"/>
        <v>0</v>
      </c>
      <c r="AK106" s="1">
        <f>E10</f>
        <v>40</v>
      </c>
      <c r="AL106" s="1">
        <f>E16</f>
        <v>0</v>
      </c>
      <c r="AM106" s="1">
        <f t="shared" si="8"/>
        <v>0</v>
      </c>
      <c r="AN106" s="1">
        <f t="shared" si="9"/>
        <v>0</v>
      </c>
      <c r="AO106" s="1">
        <f t="shared" si="10"/>
        <v>0</v>
      </c>
      <c r="AP106" t="b" cm="1">
        <f t="array" ref="AP106">INDEX($AU$8:$BB$25,6*(R106-1)+MATCH(AB106,$AS$8:$AS$13,0),MATCH(O106,$AU$7:$BB$7,0))</f>
        <v>1</v>
      </c>
    </row>
    <row r="107" spans="1:42" ht="14.25" x14ac:dyDescent="0.45">
      <c r="O107" s="43" t="s">
        <v>11</v>
      </c>
      <c r="P107" s="43">
        <v>3</v>
      </c>
      <c r="Q107" s="43">
        <v>8</v>
      </c>
      <c r="R107" s="43">
        <v>1</v>
      </c>
      <c r="S107" s="45"/>
      <c r="T107" t="b">
        <f>(S107+S108+S109)=N4</f>
        <v>0</v>
      </c>
      <c r="X107" s="1">
        <f t="shared" si="11"/>
        <v>0</v>
      </c>
      <c r="Y107" s="48">
        <v>0</v>
      </c>
      <c r="AA107" s="1">
        <v>5</v>
      </c>
      <c r="AB107" s="1" t="s">
        <v>13</v>
      </c>
      <c r="AC107" s="1" t="s">
        <v>19</v>
      </c>
      <c r="AD107" s="1">
        <v>19</v>
      </c>
      <c r="AE107" s="1">
        <v>13</v>
      </c>
      <c r="AF107" s="1">
        <v>0.8</v>
      </c>
      <c r="AG107" s="1">
        <v>0.86</v>
      </c>
      <c r="AH107" s="1">
        <v>0</v>
      </c>
      <c r="AI107" s="1">
        <v>0</v>
      </c>
      <c r="AJ107" s="1">
        <f t="shared" si="7"/>
        <v>0</v>
      </c>
      <c r="AK107" s="1">
        <f>C10</f>
        <v>0</v>
      </c>
      <c r="AL107" s="1">
        <f>C16</f>
        <v>0</v>
      </c>
      <c r="AM107" s="1">
        <f t="shared" si="8"/>
        <v>0</v>
      </c>
      <c r="AN107" s="1">
        <f t="shared" si="9"/>
        <v>0</v>
      </c>
      <c r="AO107" s="1">
        <f t="shared" si="10"/>
        <v>0</v>
      </c>
      <c r="AP107" t="b" cm="1">
        <f t="array" ref="AP107">INDEX($AU$8:$BB$25,6*(R107-1)+MATCH(AB107,$AS$8:$AS$13,0),MATCH(O107,$AU$7:$BB$7,0))</f>
        <v>1</v>
      </c>
    </row>
    <row r="108" spans="1:42" ht="14.25" x14ac:dyDescent="0.45">
      <c r="O108" s="43" t="s">
        <v>11</v>
      </c>
      <c r="P108" s="43">
        <v>3</v>
      </c>
      <c r="Q108" s="43">
        <v>8</v>
      </c>
      <c r="R108" s="43">
        <v>2</v>
      </c>
      <c r="S108" s="45"/>
      <c r="T108" t="b">
        <f>(S107+S108+S109)=N4</f>
        <v>0</v>
      </c>
      <c r="X108" s="1">
        <f t="shared" si="11"/>
        <v>0</v>
      </c>
      <c r="Y108" s="48">
        <v>0</v>
      </c>
      <c r="AA108" s="1">
        <v>5</v>
      </c>
      <c r="AB108" s="1" t="s">
        <v>13</v>
      </c>
      <c r="AC108" s="1" t="s">
        <v>19</v>
      </c>
      <c r="AD108" s="1">
        <v>19</v>
      </c>
      <c r="AE108" s="1">
        <v>13</v>
      </c>
      <c r="AF108" s="1">
        <v>0.8</v>
      </c>
      <c r="AG108" s="1">
        <v>0.86</v>
      </c>
      <c r="AH108" s="1">
        <v>0</v>
      </c>
      <c r="AI108" s="1">
        <v>0</v>
      </c>
      <c r="AJ108" s="1">
        <f t="shared" si="7"/>
        <v>0</v>
      </c>
      <c r="AK108" s="1">
        <f>D10</f>
        <v>0</v>
      </c>
      <c r="AL108" s="1">
        <f>D16</f>
        <v>0</v>
      </c>
      <c r="AM108" s="1">
        <f t="shared" si="8"/>
        <v>0</v>
      </c>
      <c r="AN108" s="1">
        <f t="shared" si="9"/>
        <v>0</v>
      </c>
      <c r="AO108" s="1">
        <f t="shared" si="10"/>
        <v>0</v>
      </c>
      <c r="AP108" t="b" cm="1">
        <f t="array" ref="AP108">INDEX($AU$8:$BB$25,6*(R108-1)+MATCH(AB108,$AS$8:$AS$13,0),MATCH(O108,$AU$7:$BB$7,0))</f>
        <v>1</v>
      </c>
    </row>
    <row r="109" spans="1:42" ht="14.25" x14ac:dyDescent="0.45">
      <c r="O109" s="43" t="s">
        <v>11</v>
      </c>
      <c r="P109" s="43">
        <v>3</v>
      </c>
      <c r="Q109" s="43">
        <v>8</v>
      </c>
      <c r="R109" s="43">
        <v>3</v>
      </c>
      <c r="S109" s="45"/>
      <c r="T109" t="b">
        <f>(S107+S108+S109)=N4</f>
        <v>0</v>
      </c>
      <c r="X109" s="1">
        <f t="shared" si="11"/>
        <v>0</v>
      </c>
      <c r="Y109" s="48">
        <v>0</v>
      </c>
      <c r="AA109" s="1">
        <v>5</v>
      </c>
      <c r="AB109" s="1" t="s">
        <v>13</v>
      </c>
      <c r="AC109" s="1" t="s">
        <v>19</v>
      </c>
      <c r="AD109" s="1">
        <v>19</v>
      </c>
      <c r="AE109" s="1">
        <v>13</v>
      </c>
      <c r="AF109" s="1">
        <v>0.8</v>
      </c>
      <c r="AG109" s="1">
        <v>0.86</v>
      </c>
      <c r="AH109" s="1">
        <v>0</v>
      </c>
      <c r="AI109" s="1">
        <v>0</v>
      </c>
      <c r="AJ109" s="1">
        <f t="shared" si="7"/>
        <v>0</v>
      </c>
      <c r="AK109" s="1">
        <f>E10</f>
        <v>40</v>
      </c>
      <c r="AL109" s="1">
        <f>E16</f>
        <v>0</v>
      </c>
      <c r="AM109" s="1">
        <f t="shared" si="8"/>
        <v>0</v>
      </c>
      <c r="AN109" s="1">
        <f t="shared" si="9"/>
        <v>0</v>
      </c>
      <c r="AO109" s="1">
        <f t="shared" si="10"/>
        <v>0</v>
      </c>
      <c r="AP109" t="b" cm="1">
        <f t="array" ref="AP109">INDEX($AU$8:$BB$25,6*(R109-1)+MATCH(AB109,$AS$8:$AS$13,0),MATCH(O109,$AU$7:$BB$7,0))</f>
        <v>1</v>
      </c>
    </row>
    <row r="110" spans="1:42" ht="14.25" x14ac:dyDescent="0.45">
      <c r="O110" s="43" t="s">
        <v>11</v>
      </c>
      <c r="P110" s="43">
        <v>3</v>
      </c>
      <c r="Q110" s="43">
        <v>9</v>
      </c>
      <c r="R110" s="43">
        <v>1</v>
      </c>
      <c r="S110" s="45"/>
      <c r="T110" t="b">
        <f>(S110+S111+S112)=N4</f>
        <v>0</v>
      </c>
      <c r="X110" s="1">
        <f t="shared" si="11"/>
        <v>0</v>
      </c>
      <c r="Y110" s="48">
        <v>0</v>
      </c>
      <c r="AA110" s="1">
        <v>3</v>
      </c>
      <c r="AB110" s="1" t="s">
        <v>14</v>
      </c>
      <c r="AC110" s="1" t="s">
        <v>20</v>
      </c>
      <c r="AD110" s="1">
        <v>15</v>
      </c>
      <c r="AE110" s="1">
        <v>13</v>
      </c>
      <c r="AF110" s="1">
        <v>0.8</v>
      </c>
      <c r="AG110" s="1">
        <v>0.88</v>
      </c>
      <c r="AH110" s="1">
        <v>0</v>
      </c>
      <c r="AI110" s="1">
        <v>0</v>
      </c>
      <c r="AJ110" s="1">
        <f t="shared" si="7"/>
        <v>0</v>
      </c>
      <c r="AK110" s="1">
        <f>C11</f>
        <v>50</v>
      </c>
      <c r="AL110" s="1">
        <f>C17</f>
        <v>0</v>
      </c>
      <c r="AM110" s="1">
        <f t="shared" si="8"/>
        <v>0</v>
      </c>
      <c r="AN110" s="1">
        <f t="shared" si="9"/>
        <v>0</v>
      </c>
      <c r="AO110" s="1">
        <f t="shared" si="10"/>
        <v>0</v>
      </c>
      <c r="AP110" t="b" cm="1">
        <f t="array" ref="AP110">INDEX($AU$8:$BB$25,6*(R110-1)+MATCH(AB110,$AS$8:$AS$13,0),MATCH(O110,$AU$7:$BB$7,0))</f>
        <v>1</v>
      </c>
    </row>
    <row r="111" spans="1:42" ht="14.25" x14ac:dyDescent="0.45">
      <c r="O111" s="43" t="s">
        <v>11</v>
      </c>
      <c r="P111" s="43">
        <v>3</v>
      </c>
      <c r="Q111" s="43">
        <v>9</v>
      </c>
      <c r="R111" s="43">
        <v>2</v>
      </c>
      <c r="S111" s="45"/>
      <c r="T111" t="b">
        <f>(S110+S111+S112)=N4</f>
        <v>0</v>
      </c>
      <c r="X111" s="1">
        <f t="shared" si="11"/>
        <v>0</v>
      </c>
      <c r="Y111" s="48">
        <v>0</v>
      </c>
      <c r="AA111" s="1">
        <v>3</v>
      </c>
      <c r="AB111" s="1" t="s">
        <v>14</v>
      </c>
      <c r="AC111" s="1" t="s">
        <v>20</v>
      </c>
      <c r="AD111" s="1">
        <v>15</v>
      </c>
      <c r="AE111" s="1">
        <v>13</v>
      </c>
      <c r="AF111" s="1">
        <v>0.8</v>
      </c>
      <c r="AG111" s="1">
        <v>0.88</v>
      </c>
      <c r="AH111" s="1">
        <v>0</v>
      </c>
      <c r="AI111" s="1">
        <v>0</v>
      </c>
      <c r="AJ111" s="1">
        <f t="shared" si="7"/>
        <v>0</v>
      </c>
      <c r="AK111" s="1">
        <f>D11</f>
        <v>50</v>
      </c>
      <c r="AL111" s="1">
        <f>D17</f>
        <v>0</v>
      </c>
      <c r="AM111" s="1">
        <f t="shared" si="8"/>
        <v>0</v>
      </c>
      <c r="AN111" s="1">
        <f t="shared" si="9"/>
        <v>0</v>
      </c>
      <c r="AO111" s="1">
        <f t="shared" si="10"/>
        <v>0</v>
      </c>
      <c r="AP111" t="b" cm="1">
        <f t="array" ref="AP111">INDEX($AU$8:$BB$25,6*(R111-1)+MATCH(AB111,$AS$8:$AS$13,0),MATCH(O111,$AU$7:$BB$7,0))</f>
        <v>1</v>
      </c>
    </row>
    <row r="112" spans="1:42" ht="14.25" x14ac:dyDescent="0.45">
      <c r="O112" s="43" t="s">
        <v>11</v>
      </c>
      <c r="P112" s="43">
        <v>3</v>
      </c>
      <c r="Q112" s="43">
        <v>9</v>
      </c>
      <c r="R112" s="43">
        <v>3</v>
      </c>
      <c r="S112" s="45"/>
      <c r="T112" t="b">
        <f>(S110+S111+S112)=N4</f>
        <v>0</v>
      </c>
      <c r="X112" s="1">
        <f t="shared" si="11"/>
        <v>0</v>
      </c>
      <c r="Y112" s="48">
        <v>0</v>
      </c>
      <c r="AA112" s="1">
        <v>3</v>
      </c>
      <c r="AB112" s="1" t="s">
        <v>14</v>
      </c>
      <c r="AC112" s="1" t="s">
        <v>20</v>
      </c>
      <c r="AD112" s="1">
        <v>15</v>
      </c>
      <c r="AE112" s="1">
        <v>13</v>
      </c>
      <c r="AF112" s="1">
        <v>0.8</v>
      </c>
      <c r="AG112" s="1">
        <v>0.88</v>
      </c>
      <c r="AH112" s="1">
        <v>0</v>
      </c>
      <c r="AI112" s="1">
        <v>0</v>
      </c>
      <c r="AJ112" s="1">
        <f t="shared" si="7"/>
        <v>0</v>
      </c>
      <c r="AK112" s="1">
        <f>E11</f>
        <v>35</v>
      </c>
      <c r="AL112" s="1">
        <f>E17</f>
        <v>0</v>
      </c>
      <c r="AM112" s="1">
        <f t="shared" si="8"/>
        <v>0</v>
      </c>
      <c r="AN112" s="1">
        <f t="shared" si="9"/>
        <v>0</v>
      </c>
      <c r="AO112" s="1">
        <f t="shared" si="10"/>
        <v>0</v>
      </c>
      <c r="AP112" t="b" cm="1">
        <f t="array" ref="AP112">INDEX($AU$8:$BB$25,6*(R112-1)+MATCH(AB112,$AS$8:$AS$13,0),MATCH(O112,$AU$7:$BB$7,0))</f>
        <v>1</v>
      </c>
    </row>
    <row r="113" spans="15:42" ht="14.25" x14ac:dyDescent="0.45">
      <c r="O113" s="43" t="s">
        <v>11</v>
      </c>
      <c r="P113" s="43">
        <v>3</v>
      </c>
      <c r="Q113" s="43">
        <v>10</v>
      </c>
      <c r="R113" s="43">
        <v>1</v>
      </c>
      <c r="S113" s="45"/>
      <c r="T113" t="b">
        <f>(S113+S114+S115)=N4</f>
        <v>0</v>
      </c>
      <c r="X113" s="1">
        <f t="shared" si="11"/>
        <v>0</v>
      </c>
      <c r="Y113" s="48">
        <v>0</v>
      </c>
      <c r="AA113" s="1">
        <v>5</v>
      </c>
      <c r="AB113" s="1" t="s">
        <v>14</v>
      </c>
      <c r="AC113" s="1" t="s">
        <v>20</v>
      </c>
      <c r="AD113" s="1">
        <v>24</v>
      </c>
      <c r="AE113" s="1">
        <v>20</v>
      </c>
      <c r="AF113" s="1">
        <v>0.8</v>
      </c>
      <c r="AG113" s="1">
        <v>0.88</v>
      </c>
      <c r="AH113" s="1">
        <v>0</v>
      </c>
      <c r="AI113" s="1">
        <v>0</v>
      </c>
      <c r="AJ113" s="1">
        <f t="shared" si="7"/>
        <v>0</v>
      </c>
      <c r="AK113" s="1">
        <f>C11</f>
        <v>50</v>
      </c>
      <c r="AL113" s="1">
        <f>C17</f>
        <v>0</v>
      </c>
      <c r="AM113" s="1">
        <f t="shared" si="8"/>
        <v>0</v>
      </c>
      <c r="AN113" s="1">
        <f t="shared" si="9"/>
        <v>0</v>
      </c>
      <c r="AO113" s="1">
        <f t="shared" si="10"/>
        <v>0</v>
      </c>
      <c r="AP113" t="b" cm="1">
        <f t="array" ref="AP113">INDEX($AU$8:$BB$25,6*(R113-1)+MATCH(AB113,$AS$8:$AS$13,0),MATCH(O113,$AU$7:$BB$7,0))</f>
        <v>1</v>
      </c>
    </row>
    <row r="114" spans="15:42" ht="14.25" x14ac:dyDescent="0.45">
      <c r="O114" s="43" t="s">
        <v>11</v>
      </c>
      <c r="P114" s="43">
        <v>3</v>
      </c>
      <c r="Q114" s="43">
        <v>10</v>
      </c>
      <c r="R114" s="43">
        <v>2</v>
      </c>
      <c r="S114" s="45"/>
      <c r="T114" t="b">
        <f>(S113+S114+S115)=N4</f>
        <v>0</v>
      </c>
      <c r="X114" s="1">
        <f t="shared" si="11"/>
        <v>0</v>
      </c>
      <c r="Y114" s="48">
        <v>0</v>
      </c>
      <c r="AA114" s="1">
        <v>5</v>
      </c>
      <c r="AB114" s="1" t="s">
        <v>14</v>
      </c>
      <c r="AC114" s="1" t="s">
        <v>20</v>
      </c>
      <c r="AD114" s="1">
        <v>24</v>
      </c>
      <c r="AE114" s="1">
        <v>20</v>
      </c>
      <c r="AF114" s="1">
        <v>0.8</v>
      </c>
      <c r="AG114" s="1">
        <v>0.88</v>
      </c>
      <c r="AH114" s="1">
        <v>0</v>
      </c>
      <c r="AI114" s="1">
        <v>0</v>
      </c>
      <c r="AJ114" s="1">
        <f t="shared" si="7"/>
        <v>0</v>
      </c>
      <c r="AK114" s="1">
        <f>D11</f>
        <v>50</v>
      </c>
      <c r="AL114" s="1">
        <f>D17</f>
        <v>0</v>
      </c>
      <c r="AM114" s="1">
        <f t="shared" si="8"/>
        <v>0</v>
      </c>
      <c r="AN114" s="1">
        <f t="shared" si="9"/>
        <v>0</v>
      </c>
      <c r="AO114" s="1">
        <f t="shared" si="10"/>
        <v>0</v>
      </c>
      <c r="AP114" t="b" cm="1">
        <f t="array" ref="AP114">INDEX($AU$8:$BB$25,6*(R114-1)+MATCH(AB114,$AS$8:$AS$13,0),MATCH(O114,$AU$7:$BB$7,0))</f>
        <v>1</v>
      </c>
    </row>
    <row r="115" spans="15:42" ht="14.25" x14ac:dyDescent="0.45">
      <c r="O115" s="43" t="s">
        <v>11</v>
      </c>
      <c r="P115" s="43">
        <v>3</v>
      </c>
      <c r="Q115" s="43">
        <v>10</v>
      </c>
      <c r="R115" s="43">
        <v>3</v>
      </c>
      <c r="S115" s="45"/>
      <c r="T115" t="b">
        <f>(S113+S114+S115)=N4</f>
        <v>0</v>
      </c>
      <c r="X115" s="1">
        <f t="shared" si="11"/>
        <v>0</v>
      </c>
      <c r="Y115" s="48">
        <v>0</v>
      </c>
      <c r="AA115" s="1">
        <v>5</v>
      </c>
      <c r="AB115" s="1" t="s">
        <v>14</v>
      </c>
      <c r="AC115" s="1" t="s">
        <v>20</v>
      </c>
      <c r="AD115" s="1">
        <v>24</v>
      </c>
      <c r="AE115" s="1">
        <v>20</v>
      </c>
      <c r="AF115" s="1">
        <v>0.8</v>
      </c>
      <c r="AG115" s="1">
        <v>0.88</v>
      </c>
      <c r="AH115" s="1">
        <v>0</v>
      </c>
      <c r="AI115" s="1">
        <v>0</v>
      </c>
      <c r="AJ115" s="1">
        <f t="shared" si="7"/>
        <v>0</v>
      </c>
      <c r="AK115" s="1">
        <f>E11</f>
        <v>35</v>
      </c>
      <c r="AL115" s="1">
        <f>E17</f>
        <v>0</v>
      </c>
      <c r="AM115" s="1">
        <f t="shared" si="8"/>
        <v>0</v>
      </c>
      <c r="AN115" s="1">
        <f t="shared" si="9"/>
        <v>0</v>
      </c>
      <c r="AO115" s="1">
        <f t="shared" si="10"/>
        <v>0</v>
      </c>
      <c r="AP115" t="b" cm="1">
        <f t="array" ref="AP115">INDEX($AU$8:$BB$25,6*(R115-1)+MATCH(AB115,$AS$8:$AS$13,0),MATCH(O115,$AU$7:$BB$7,0))</f>
        <v>1</v>
      </c>
    </row>
    <row r="116" spans="15:42" ht="14.25" x14ac:dyDescent="0.45">
      <c r="O116" s="43" t="s">
        <v>11</v>
      </c>
      <c r="P116" s="43">
        <v>3</v>
      </c>
      <c r="Q116" s="43">
        <v>11</v>
      </c>
      <c r="R116" s="43">
        <v>1</v>
      </c>
      <c r="S116" s="45"/>
      <c r="T116" t="b">
        <f>(S116+S117+S118)=N4</f>
        <v>0</v>
      </c>
      <c r="X116" s="1">
        <f t="shared" si="11"/>
        <v>0</v>
      </c>
      <c r="Y116" s="48">
        <v>0</v>
      </c>
      <c r="AA116" s="1">
        <v>3</v>
      </c>
      <c r="AB116" s="1" t="s">
        <v>15</v>
      </c>
      <c r="AC116" s="1" t="s">
        <v>21</v>
      </c>
      <c r="AD116" s="1">
        <v>17</v>
      </c>
      <c r="AE116" s="1">
        <v>15</v>
      </c>
      <c r="AF116" s="1">
        <v>0.76</v>
      </c>
      <c r="AG116" s="1">
        <v>0.84</v>
      </c>
      <c r="AH116" s="1">
        <v>0</v>
      </c>
      <c r="AI116" s="1">
        <v>0</v>
      </c>
      <c r="AJ116" s="1">
        <f t="shared" si="7"/>
        <v>0</v>
      </c>
      <c r="AK116" s="1">
        <f>C12</f>
        <v>40</v>
      </c>
      <c r="AL116" s="1">
        <f>C18</f>
        <v>0</v>
      </c>
      <c r="AM116" s="1">
        <f t="shared" si="8"/>
        <v>0</v>
      </c>
      <c r="AN116" s="1">
        <f t="shared" si="9"/>
        <v>0</v>
      </c>
      <c r="AO116" s="1">
        <f t="shared" si="10"/>
        <v>0</v>
      </c>
      <c r="AP116" t="b" cm="1">
        <f t="array" ref="AP116">INDEX($AU$8:$BB$25,6*(R116-1)+MATCH(AB116,$AS$8:$AS$13,0),MATCH(O116,$AU$7:$BB$7,0))</f>
        <v>1</v>
      </c>
    </row>
    <row r="117" spans="15:42" ht="14.25" x14ac:dyDescent="0.45">
      <c r="O117" s="43" t="s">
        <v>11</v>
      </c>
      <c r="P117" s="43">
        <v>3</v>
      </c>
      <c r="Q117" s="43">
        <v>11</v>
      </c>
      <c r="R117" s="43">
        <v>2</v>
      </c>
      <c r="S117" s="45"/>
      <c r="T117" t="b">
        <f>(S116+S117+S118)=N4</f>
        <v>0</v>
      </c>
      <c r="X117" s="1">
        <f t="shared" si="11"/>
        <v>0</v>
      </c>
      <c r="Y117" s="48">
        <v>0</v>
      </c>
      <c r="AA117" s="1">
        <v>3</v>
      </c>
      <c r="AB117" s="1" t="s">
        <v>15</v>
      </c>
      <c r="AC117" s="1" t="s">
        <v>21</v>
      </c>
      <c r="AD117" s="1">
        <v>17</v>
      </c>
      <c r="AE117" s="1">
        <v>15</v>
      </c>
      <c r="AF117" s="1">
        <v>0.76</v>
      </c>
      <c r="AG117" s="1">
        <v>0.84</v>
      </c>
      <c r="AH117" s="1">
        <v>0</v>
      </c>
      <c r="AI117" s="1">
        <v>0</v>
      </c>
      <c r="AJ117" s="1">
        <f t="shared" si="7"/>
        <v>0</v>
      </c>
      <c r="AK117" s="1">
        <f>D12</f>
        <v>30</v>
      </c>
      <c r="AL117" s="1">
        <f>D18</f>
        <v>0</v>
      </c>
      <c r="AM117" s="1">
        <f t="shared" si="8"/>
        <v>0</v>
      </c>
      <c r="AN117" s="1">
        <f t="shared" si="9"/>
        <v>0</v>
      </c>
      <c r="AO117" s="1">
        <f t="shared" si="10"/>
        <v>0</v>
      </c>
      <c r="AP117" t="b" cm="1">
        <f t="array" ref="AP117">INDEX($AU$8:$BB$25,6*(R117-1)+MATCH(AB117,$AS$8:$AS$13,0),MATCH(O117,$AU$7:$BB$7,0))</f>
        <v>1</v>
      </c>
    </row>
    <row r="118" spans="15:42" ht="14.25" x14ac:dyDescent="0.45">
      <c r="O118" s="43" t="s">
        <v>11</v>
      </c>
      <c r="P118" s="43">
        <v>3</v>
      </c>
      <c r="Q118" s="43">
        <v>11</v>
      </c>
      <c r="R118" s="43">
        <v>3</v>
      </c>
      <c r="S118" s="45"/>
      <c r="T118" t="b">
        <f>(S116+S117+S118)=N4</f>
        <v>0</v>
      </c>
      <c r="X118" s="1">
        <f t="shared" si="11"/>
        <v>0</v>
      </c>
      <c r="Y118" s="48">
        <v>0</v>
      </c>
      <c r="AA118" s="1">
        <v>3</v>
      </c>
      <c r="AB118" s="1" t="s">
        <v>15</v>
      </c>
      <c r="AC118" s="1" t="s">
        <v>21</v>
      </c>
      <c r="AD118" s="1">
        <v>17</v>
      </c>
      <c r="AE118" s="1">
        <v>15</v>
      </c>
      <c r="AF118" s="1">
        <v>0.76</v>
      </c>
      <c r="AG118" s="1">
        <v>0.84</v>
      </c>
      <c r="AH118" s="1">
        <v>0</v>
      </c>
      <c r="AI118" s="1">
        <v>0</v>
      </c>
      <c r="AJ118" s="1">
        <f t="shared" si="7"/>
        <v>0</v>
      </c>
      <c r="AK118" s="1">
        <f>E12</f>
        <v>16</v>
      </c>
      <c r="AL118" s="1">
        <f>E18</f>
        <v>0</v>
      </c>
      <c r="AM118" s="1">
        <f t="shared" si="8"/>
        <v>0</v>
      </c>
      <c r="AN118" s="1">
        <f t="shared" si="9"/>
        <v>0</v>
      </c>
      <c r="AO118" s="1">
        <f t="shared" si="10"/>
        <v>0</v>
      </c>
      <c r="AP118" t="b" cm="1">
        <f t="array" ref="AP118">INDEX($AU$8:$BB$25,6*(R118-1)+MATCH(AB118,$AS$8:$AS$13,0),MATCH(O118,$AU$7:$BB$7,0))</f>
        <v>1</v>
      </c>
    </row>
    <row r="119" spans="15:42" ht="14.25" x14ac:dyDescent="0.45">
      <c r="O119" s="43" t="s">
        <v>11</v>
      </c>
      <c r="P119" s="43">
        <v>3</v>
      </c>
      <c r="Q119" s="43">
        <v>12</v>
      </c>
      <c r="R119" s="43">
        <v>1</v>
      </c>
      <c r="S119" s="45"/>
      <c r="T119" t="b">
        <f>(S119+S120+S121)=N4</f>
        <v>0</v>
      </c>
      <c r="X119" s="1">
        <f t="shared" si="11"/>
        <v>0</v>
      </c>
      <c r="Y119" s="48">
        <v>0</v>
      </c>
      <c r="AA119" s="1">
        <v>10</v>
      </c>
      <c r="AB119" s="1" t="s">
        <v>15</v>
      </c>
      <c r="AC119" s="1" t="s">
        <v>21</v>
      </c>
      <c r="AD119" s="1">
        <v>18</v>
      </c>
      <c r="AE119" s="1">
        <v>13</v>
      </c>
      <c r="AF119" s="1">
        <v>0.76</v>
      </c>
      <c r="AG119" s="1">
        <v>0.84</v>
      </c>
      <c r="AH119" s="1">
        <v>0</v>
      </c>
      <c r="AI119" s="1">
        <v>0</v>
      </c>
      <c r="AJ119" s="1">
        <f t="shared" si="7"/>
        <v>0</v>
      </c>
      <c r="AK119" s="1">
        <f>C12</f>
        <v>40</v>
      </c>
      <c r="AL119" s="1">
        <f>C18</f>
        <v>0</v>
      </c>
      <c r="AM119" s="1">
        <f t="shared" si="8"/>
        <v>0</v>
      </c>
      <c r="AN119" s="1">
        <f t="shared" si="9"/>
        <v>0</v>
      </c>
      <c r="AO119" s="1">
        <f t="shared" si="10"/>
        <v>0</v>
      </c>
      <c r="AP119" t="b" cm="1">
        <f t="array" ref="AP119">INDEX($AU$8:$BB$25,6*(R119-1)+MATCH(AB119,$AS$8:$AS$13,0),MATCH(O119,$AU$7:$BB$7,0))</f>
        <v>1</v>
      </c>
    </row>
    <row r="120" spans="15:42" ht="14.25" x14ac:dyDescent="0.45">
      <c r="O120" s="43" t="s">
        <v>11</v>
      </c>
      <c r="P120" s="43">
        <v>3</v>
      </c>
      <c r="Q120" s="43">
        <v>12</v>
      </c>
      <c r="R120" s="43">
        <v>2</v>
      </c>
      <c r="S120" s="45"/>
      <c r="T120" t="b">
        <f>(S119+S120+S121)=N4</f>
        <v>0</v>
      </c>
      <c r="X120" s="1">
        <f t="shared" si="11"/>
        <v>0</v>
      </c>
      <c r="Y120" s="48">
        <v>0</v>
      </c>
      <c r="AA120" s="1">
        <v>10</v>
      </c>
      <c r="AB120" s="1" t="s">
        <v>15</v>
      </c>
      <c r="AC120" s="1" t="s">
        <v>21</v>
      </c>
      <c r="AD120" s="1">
        <v>18</v>
      </c>
      <c r="AE120" s="1">
        <v>13</v>
      </c>
      <c r="AF120" s="1">
        <v>0.76</v>
      </c>
      <c r="AG120" s="1">
        <v>0.84</v>
      </c>
      <c r="AH120" s="1">
        <v>0</v>
      </c>
      <c r="AI120" s="1">
        <v>0</v>
      </c>
      <c r="AJ120" s="1">
        <f t="shared" si="7"/>
        <v>0</v>
      </c>
      <c r="AK120" s="1">
        <f>D12</f>
        <v>30</v>
      </c>
      <c r="AL120" s="1">
        <f>D18</f>
        <v>0</v>
      </c>
      <c r="AM120" s="1">
        <f t="shared" si="8"/>
        <v>0</v>
      </c>
      <c r="AN120" s="1">
        <f t="shared" si="9"/>
        <v>0</v>
      </c>
      <c r="AO120" s="1">
        <f t="shared" si="10"/>
        <v>0</v>
      </c>
      <c r="AP120" t="b" cm="1">
        <f t="array" ref="AP120">INDEX($AU$8:$BB$25,6*(R120-1)+MATCH(AB120,$AS$8:$AS$13,0),MATCH(O120,$AU$7:$BB$7,0))</f>
        <v>1</v>
      </c>
    </row>
    <row r="121" spans="15:42" ht="14.25" x14ac:dyDescent="0.45">
      <c r="O121" s="43" t="s">
        <v>11</v>
      </c>
      <c r="P121" s="43">
        <v>3</v>
      </c>
      <c r="Q121" s="43">
        <v>12</v>
      </c>
      <c r="R121" s="43">
        <v>3</v>
      </c>
      <c r="S121" s="45"/>
      <c r="T121" t="b">
        <f>(S119+S120+S121)=N4</f>
        <v>0</v>
      </c>
      <c r="X121" s="1">
        <f t="shared" si="11"/>
        <v>0</v>
      </c>
      <c r="Y121" s="48">
        <v>0</v>
      </c>
      <c r="AA121" s="1">
        <v>10</v>
      </c>
      <c r="AB121" s="1" t="s">
        <v>15</v>
      </c>
      <c r="AC121" s="1" t="s">
        <v>21</v>
      </c>
      <c r="AD121" s="1">
        <v>18</v>
      </c>
      <c r="AE121" s="1">
        <v>13</v>
      </c>
      <c r="AF121" s="1">
        <v>0.76</v>
      </c>
      <c r="AG121" s="1">
        <v>0.84</v>
      </c>
      <c r="AH121" s="1">
        <v>0</v>
      </c>
      <c r="AI121" s="1">
        <v>0</v>
      </c>
      <c r="AJ121" s="1">
        <f t="shared" si="7"/>
        <v>0</v>
      </c>
      <c r="AK121" s="1">
        <f>E12</f>
        <v>16</v>
      </c>
      <c r="AL121" s="1">
        <f>E18</f>
        <v>0</v>
      </c>
      <c r="AM121" s="1">
        <f t="shared" si="8"/>
        <v>0</v>
      </c>
      <c r="AN121" s="1">
        <f t="shared" si="9"/>
        <v>0</v>
      </c>
      <c r="AO121" s="1">
        <f t="shared" si="10"/>
        <v>0</v>
      </c>
      <c r="AP121" t="b" cm="1">
        <f t="array" ref="AP121">INDEX($AU$8:$BB$25,6*(R121-1)+MATCH(AB121,$AS$8:$AS$13,0),MATCH(O121,$AU$7:$BB$7,0))</f>
        <v>1</v>
      </c>
    </row>
    <row r="122" spans="15:42" ht="14.25" x14ac:dyDescent="0.45">
      <c r="O122" s="43" t="s">
        <v>11</v>
      </c>
      <c r="P122" s="43">
        <v>3</v>
      </c>
      <c r="Q122" s="43">
        <v>13</v>
      </c>
      <c r="R122" s="43">
        <v>1</v>
      </c>
      <c r="S122" s="45"/>
      <c r="T122" t="b">
        <f>(S122+S123+S124)=N4</f>
        <v>0</v>
      </c>
      <c r="X122" s="1">
        <f t="shared" si="11"/>
        <v>0</v>
      </c>
      <c r="Y122" s="48">
        <v>0</v>
      </c>
      <c r="AA122" s="1">
        <v>2</v>
      </c>
      <c r="AB122" s="1" t="s">
        <v>16</v>
      </c>
      <c r="AC122" s="1" t="s">
        <v>22</v>
      </c>
      <c r="AD122" s="1">
        <v>20</v>
      </c>
      <c r="AE122" s="1">
        <v>18</v>
      </c>
      <c r="AF122" s="1">
        <v>0.8</v>
      </c>
      <c r="AG122" s="1">
        <v>0.9</v>
      </c>
      <c r="AH122" s="1">
        <v>0</v>
      </c>
      <c r="AI122" s="1">
        <v>0</v>
      </c>
      <c r="AJ122" s="1">
        <f t="shared" si="7"/>
        <v>0</v>
      </c>
      <c r="AK122" s="1">
        <f>C13</f>
        <v>90</v>
      </c>
      <c r="AL122" s="1">
        <f>C19</f>
        <v>0</v>
      </c>
      <c r="AM122" s="1">
        <f t="shared" si="8"/>
        <v>0</v>
      </c>
      <c r="AN122" s="1">
        <f t="shared" si="9"/>
        <v>0</v>
      </c>
      <c r="AO122" s="1">
        <f t="shared" si="10"/>
        <v>0</v>
      </c>
      <c r="AP122" t="b" cm="1">
        <f t="array" ref="AP122">INDEX($AU$8:$BB$25,6*(R122-1)+MATCH(AB122,$AS$8:$AS$13,0),MATCH(O122,$AU$7:$BB$7,0))</f>
        <v>1</v>
      </c>
    </row>
    <row r="123" spans="15:42" ht="14.25" x14ac:dyDescent="0.45">
      <c r="O123" s="43" t="s">
        <v>11</v>
      </c>
      <c r="P123" s="43">
        <v>3</v>
      </c>
      <c r="Q123" s="43">
        <v>13</v>
      </c>
      <c r="R123" s="43">
        <v>2</v>
      </c>
      <c r="S123" s="45"/>
      <c r="T123" t="b">
        <f>(S122+S123+S124)=N4</f>
        <v>0</v>
      </c>
      <c r="X123" s="1">
        <f t="shared" si="11"/>
        <v>0</v>
      </c>
      <c r="Y123" s="48">
        <v>0</v>
      </c>
      <c r="AA123" s="1">
        <v>2</v>
      </c>
      <c r="AB123" s="1" t="s">
        <v>16</v>
      </c>
      <c r="AC123" s="1" t="s">
        <v>22</v>
      </c>
      <c r="AD123" s="1">
        <v>20</v>
      </c>
      <c r="AE123" s="1">
        <v>18</v>
      </c>
      <c r="AF123" s="1">
        <v>0.8</v>
      </c>
      <c r="AG123" s="1">
        <v>0.9</v>
      </c>
      <c r="AH123" s="1">
        <v>0</v>
      </c>
      <c r="AI123" s="1">
        <v>0</v>
      </c>
      <c r="AJ123" s="1">
        <f t="shared" si="7"/>
        <v>0</v>
      </c>
      <c r="AK123" s="1">
        <f>D13</f>
        <v>60</v>
      </c>
      <c r="AL123" s="1">
        <f>D19</f>
        <v>0</v>
      </c>
      <c r="AM123" s="1">
        <f t="shared" si="8"/>
        <v>0</v>
      </c>
      <c r="AN123" s="1">
        <f t="shared" si="9"/>
        <v>0</v>
      </c>
      <c r="AO123" s="1">
        <f t="shared" si="10"/>
        <v>0</v>
      </c>
      <c r="AP123" t="b" cm="1">
        <f t="array" ref="AP123">INDEX($AU$8:$BB$25,6*(R123-1)+MATCH(AB123,$AS$8:$AS$13,0),MATCH(O123,$AU$7:$BB$7,0))</f>
        <v>1</v>
      </c>
    </row>
    <row r="124" spans="15:42" ht="14.25" x14ac:dyDescent="0.45">
      <c r="O124" s="43" t="s">
        <v>11</v>
      </c>
      <c r="P124" s="43">
        <v>3</v>
      </c>
      <c r="Q124" s="43">
        <v>13</v>
      </c>
      <c r="R124" s="43">
        <v>3</v>
      </c>
      <c r="S124" s="45"/>
      <c r="T124" t="b">
        <f>(S122+S123+S124)=N4</f>
        <v>0</v>
      </c>
      <c r="X124" s="1">
        <f t="shared" si="11"/>
        <v>0</v>
      </c>
      <c r="Y124" s="48">
        <v>0</v>
      </c>
      <c r="AA124" s="1">
        <v>2</v>
      </c>
      <c r="AB124" s="1" t="s">
        <v>16</v>
      </c>
      <c r="AC124" s="1" t="s">
        <v>22</v>
      </c>
      <c r="AD124" s="1">
        <v>20</v>
      </c>
      <c r="AE124" s="1">
        <v>18</v>
      </c>
      <c r="AF124" s="1">
        <v>0.8</v>
      </c>
      <c r="AG124" s="1">
        <v>0.9</v>
      </c>
      <c r="AH124" s="1">
        <v>0</v>
      </c>
      <c r="AI124" s="1">
        <v>0</v>
      </c>
      <c r="AJ124" s="1">
        <f t="shared" si="7"/>
        <v>0</v>
      </c>
      <c r="AK124" s="1">
        <f>E13</f>
        <v>36</v>
      </c>
      <c r="AL124" s="1">
        <f>E19</f>
        <v>0</v>
      </c>
      <c r="AM124" s="1">
        <f t="shared" si="8"/>
        <v>0</v>
      </c>
      <c r="AN124" s="1">
        <f t="shared" si="9"/>
        <v>0</v>
      </c>
      <c r="AO124" s="1">
        <f t="shared" si="10"/>
        <v>0</v>
      </c>
      <c r="AP124" t="b" cm="1">
        <f t="array" ref="AP124">INDEX($AU$8:$BB$25,6*(R124-1)+MATCH(AB124,$AS$8:$AS$13,0),MATCH(O124,$AU$7:$BB$7,0))</f>
        <v>1</v>
      </c>
    </row>
    <row r="125" spans="15:42" ht="14.25" x14ac:dyDescent="0.45">
      <c r="O125" s="43" t="s">
        <v>11</v>
      </c>
      <c r="P125" s="43">
        <v>3</v>
      </c>
      <c r="Q125" s="43">
        <v>14</v>
      </c>
      <c r="R125" s="43">
        <v>1</v>
      </c>
      <c r="S125" s="45"/>
      <c r="T125" t="b">
        <f>(S125+S126+S127)=N4</f>
        <v>0</v>
      </c>
      <c r="X125" s="1">
        <f t="shared" si="11"/>
        <v>0</v>
      </c>
      <c r="Y125" s="48">
        <v>0</v>
      </c>
      <c r="AA125" s="1">
        <v>2</v>
      </c>
      <c r="AB125" s="1" t="s">
        <v>13</v>
      </c>
      <c r="AC125" s="1" t="s">
        <v>19</v>
      </c>
      <c r="AD125" s="1">
        <v>12</v>
      </c>
      <c r="AE125" s="1">
        <v>11</v>
      </c>
      <c r="AF125" s="1">
        <v>0.8</v>
      </c>
      <c r="AG125" s="1">
        <v>0.86</v>
      </c>
      <c r="AH125" s="1">
        <v>0</v>
      </c>
      <c r="AI125" s="1">
        <v>0</v>
      </c>
      <c r="AJ125" s="1">
        <f t="shared" si="7"/>
        <v>0</v>
      </c>
      <c r="AK125" s="1">
        <f>C10</f>
        <v>0</v>
      </c>
      <c r="AL125" s="1">
        <f>C16</f>
        <v>0</v>
      </c>
      <c r="AM125" s="1">
        <f t="shared" si="8"/>
        <v>0</v>
      </c>
      <c r="AN125" s="1">
        <f t="shared" si="9"/>
        <v>0</v>
      </c>
      <c r="AO125" s="1">
        <f t="shared" si="10"/>
        <v>0</v>
      </c>
      <c r="AP125" t="b" cm="1">
        <f t="array" ref="AP125">INDEX($AU$8:$BB$25,6*(R125-1)+MATCH(AB125,$AS$8:$AS$13,0),MATCH(O125,$AU$7:$BB$7,0))</f>
        <v>1</v>
      </c>
    </row>
    <row r="126" spans="15:42" ht="14.25" x14ac:dyDescent="0.45">
      <c r="O126" s="43" t="s">
        <v>11</v>
      </c>
      <c r="P126" s="43">
        <v>3</v>
      </c>
      <c r="Q126" s="43">
        <v>14</v>
      </c>
      <c r="R126" s="43">
        <v>2</v>
      </c>
      <c r="S126" s="45"/>
      <c r="T126" t="b">
        <f>(S125+S126+S127)=N4</f>
        <v>0</v>
      </c>
      <c r="X126" s="1">
        <f t="shared" si="11"/>
        <v>0</v>
      </c>
      <c r="Y126" s="48">
        <v>0</v>
      </c>
      <c r="AA126" s="1">
        <v>2</v>
      </c>
      <c r="AB126" s="1" t="s">
        <v>13</v>
      </c>
      <c r="AC126" s="1" t="s">
        <v>19</v>
      </c>
      <c r="AD126" s="1">
        <v>12</v>
      </c>
      <c r="AE126" s="1">
        <v>11</v>
      </c>
      <c r="AF126" s="1">
        <v>0.8</v>
      </c>
      <c r="AG126" s="1">
        <v>0.86</v>
      </c>
      <c r="AH126" s="1">
        <v>0</v>
      </c>
      <c r="AI126" s="1">
        <v>0</v>
      </c>
      <c r="AJ126" s="1">
        <f t="shared" si="7"/>
        <v>0</v>
      </c>
      <c r="AK126" s="1">
        <f>D10</f>
        <v>0</v>
      </c>
      <c r="AL126" s="1">
        <f>D16</f>
        <v>0</v>
      </c>
      <c r="AM126" s="1">
        <f t="shared" si="8"/>
        <v>0</v>
      </c>
      <c r="AN126" s="1">
        <f t="shared" si="9"/>
        <v>0</v>
      </c>
      <c r="AO126" s="1">
        <f t="shared" si="10"/>
        <v>0</v>
      </c>
      <c r="AP126" t="b" cm="1">
        <f t="array" ref="AP126">INDEX($AU$8:$BB$25,6*(R126-1)+MATCH(AB126,$AS$8:$AS$13,0),MATCH(O126,$AU$7:$BB$7,0))</f>
        <v>1</v>
      </c>
    </row>
    <row r="127" spans="15:42" ht="14.25" x14ac:dyDescent="0.45">
      <c r="O127" s="43" t="s">
        <v>11</v>
      </c>
      <c r="P127" s="43">
        <v>3</v>
      </c>
      <c r="Q127" s="43">
        <v>14</v>
      </c>
      <c r="R127" s="43">
        <v>3</v>
      </c>
      <c r="S127" s="45"/>
      <c r="T127" t="b">
        <f>(S125+S126+S127)=N4</f>
        <v>0</v>
      </c>
      <c r="X127" s="1">
        <f t="shared" si="11"/>
        <v>0</v>
      </c>
      <c r="Y127" s="48">
        <v>0</v>
      </c>
      <c r="AA127" s="1">
        <v>2</v>
      </c>
      <c r="AB127" s="1" t="s">
        <v>13</v>
      </c>
      <c r="AC127" s="1" t="s">
        <v>19</v>
      </c>
      <c r="AD127" s="1">
        <v>12</v>
      </c>
      <c r="AE127" s="1">
        <v>11</v>
      </c>
      <c r="AF127" s="1">
        <v>0.8</v>
      </c>
      <c r="AG127" s="1">
        <v>0.86</v>
      </c>
      <c r="AH127" s="1">
        <v>0</v>
      </c>
      <c r="AI127" s="1">
        <v>0</v>
      </c>
      <c r="AJ127" s="1">
        <f t="shared" si="7"/>
        <v>0</v>
      </c>
      <c r="AK127" s="1">
        <f>E10</f>
        <v>40</v>
      </c>
      <c r="AL127" s="1">
        <f>E16</f>
        <v>0</v>
      </c>
      <c r="AM127" s="1">
        <f t="shared" si="8"/>
        <v>0</v>
      </c>
      <c r="AN127" s="1">
        <f t="shared" si="9"/>
        <v>0</v>
      </c>
      <c r="AO127" s="1">
        <f t="shared" si="10"/>
        <v>0</v>
      </c>
      <c r="AP127" t="b" cm="1">
        <f t="array" ref="AP127">INDEX($AU$8:$BB$25,6*(R127-1)+MATCH(AB127,$AS$8:$AS$13,0),MATCH(O127,$AU$7:$BB$7,0))</f>
        <v>1</v>
      </c>
    </row>
    <row r="128" spans="15:42" ht="14.25" x14ac:dyDescent="0.45">
      <c r="O128" s="43" t="s">
        <v>11</v>
      </c>
      <c r="P128" s="43">
        <v>3</v>
      </c>
      <c r="Q128" s="43">
        <v>15</v>
      </c>
      <c r="R128" s="43">
        <v>1</v>
      </c>
      <c r="S128" s="45"/>
      <c r="T128" t="b">
        <f>(S128+S129+S130)=N4</f>
        <v>0</v>
      </c>
      <c r="X128" s="1">
        <f t="shared" si="11"/>
        <v>0</v>
      </c>
      <c r="Y128" s="48">
        <v>0</v>
      </c>
      <c r="AA128" s="1">
        <v>2</v>
      </c>
      <c r="AB128" s="1" t="s">
        <v>14</v>
      </c>
      <c r="AC128" s="1" t="s">
        <v>20</v>
      </c>
      <c r="AD128" s="1">
        <v>11</v>
      </c>
      <c r="AE128" s="1">
        <v>10</v>
      </c>
      <c r="AF128" s="1">
        <v>0.8</v>
      </c>
      <c r="AG128" s="1">
        <v>0.88</v>
      </c>
      <c r="AH128" s="1">
        <v>0</v>
      </c>
      <c r="AI128" s="1">
        <v>0</v>
      </c>
      <c r="AJ128" s="1">
        <f t="shared" si="7"/>
        <v>0</v>
      </c>
      <c r="AK128" s="1">
        <f>C11</f>
        <v>50</v>
      </c>
      <c r="AL128" s="1">
        <f>C17</f>
        <v>0</v>
      </c>
      <c r="AM128" s="1">
        <f t="shared" si="8"/>
        <v>0</v>
      </c>
      <c r="AN128" s="1">
        <f t="shared" si="9"/>
        <v>0</v>
      </c>
      <c r="AO128" s="1">
        <f t="shared" si="10"/>
        <v>0</v>
      </c>
      <c r="AP128" t="b" cm="1">
        <f t="array" ref="AP128">INDEX($AU$8:$BB$25,6*(R128-1)+MATCH(AB128,$AS$8:$AS$13,0),MATCH(O128,$AU$7:$BB$7,0))</f>
        <v>1</v>
      </c>
    </row>
    <row r="129" spans="15:42" ht="14.25" x14ac:dyDescent="0.45">
      <c r="O129" s="43" t="s">
        <v>11</v>
      </c>
      <c r="P129" s="43">
        <v>3</v>
      </c>
      <c r="Q129" s="43">
        <v>15</v>
      </c>
      <c r="R129" s="43">
        <v>2</v>
      </c>
      <c r="S129" s="45"/>
      <c r="T129" t="b">
        <f>(S128+S129+S130)=N4</f>
        <v>0</v>
      </c>
      <c r="X129" s="1">
        <f t="shared" si="11"/>
        <v>0</v>
      </c>
      <c r="Y129" s="48">
        <v>0</v>
      </c>
      <c r="AA129" s="1">
        <v>2</v>
      </c>
      <c r="AB129" s="1" t="s">
        <v>14</v>
      </c>
      <c r="AC129" s="1" t="s">
        <v>20</v>
      </c>
      <c r="AD129" s="1">
        <v>11</v>
      </c>
      <c r="AE129" s="1">
        <v>10</v>
      </c>
      <c r="AF129" s="1">
        <v>0.8</v>
      </c>
      <c r="AG129" s="1">
        <v>0.88</v>
      </c>
      <c r="AH129" s="1">
        <v>0</v>
      </c>
      <c r="AI129" s="1">
        <v>0</v>
      </c>
      <c r="AJ129" s="1">
        <f t="shared" si="7"/>
        <v>0</v>
      </c>
      <c r="AK129" s="1">
        <f>D11</f>
        <v>50</v>
      </c>
      <c r="AL129" s="1">
        <f>D17</f>
        <v>0</v>
      </c>
      <c r="AM129" s="1">
        <f t="shared" si="8"/>
        <v>0</v>
      </c>
      <c r="AN129" s="1">
        <f t="shared" si="9"/>
        <v>0</v>
      </c>
      <c r="AO129" s="1">
        <f t="shared" si="10"/>
        <v>0</v>
      </c>
      <c r="AP129" t="b" cm="1">
        <f t="array" ref="AP129">INDEX($AU$8:$BB$25,6*(R129-1)+MATCH(AB129,$AS$8:$AS$13,0),MATCH(O129,$AU$7:$BB$7,0))</f>
        <v>1</v>
      </c>
    </row>
    <row r="130" spans="15:42" ht="14.25" x14ac:dyDescent="0.45">
      <c r="O130" s="43" t="s">
        <v>11</v>
      </c>
      <c r="P130" s="43">
        <v>3</v>
      </c>
      <c r="Q130" s="43">
        <v>15</v>
      </c>
      <c r="R130" s="43">
        <v>3</v>
      </c>
      <c r="S130" s="45"/>
      <c r="T130" t="b">
        <f>(S128+S129+S130)=N4</f>
        <v>0</v>
      </c>
      <c r="X130" s="1">
        <f t="shared" si="11"/>
        <v>0</v>
      </c>
      <c r="Y130" s="48">
        <v>0</v>
      </c>
      <c r="AA130" s="1">
        <v>2</v>
      </c>
      <c r="AB130" s="1" t="s">
        <v>14</v>
      </c>
      <c r="AC130" s="1" t="s">
        <v>20</v>
      </c>
      <c r="AD130" s="1">
        <v>11</v>
      </c>
      <c r="AE130" s="1">
        <v>10</v>
      </c>
      <c r="AF130" s="1">
        <v>0.8</v>
      </c>
      <c r="AG130" s="1">
        <v>0.88</v>
      </c>
      <c r="AH130" s="1">
        <v>0</v>
      </c>
      <c r="AI130" s="1">
        <v>0</v>
      </c>
      <c r="AJ130" s="1">
        <f t="shared" si="7"/>
        <v>0</v>
      </c>
      <c r="AK130" s="1">
        <f>E11</f>
        <v>35</v>
      </c>
      <c r="AL130" s="1">
        <f>E17</f>
        <v>0</v>
      </c>
      <c r="AM130" s="1">
        <f t="shared" si="8"/>
        <v>0</v>
      </c>
      <c r="AN130" s="1">
        <f t="shared" si="9"/>
        <v>0</v>
      </c>
      <c r="AO130" s="1">
        <f t="shared" si="10"/>
        <v>0</v>
      </c>
      <c r="AP130" t="b" cm="1">
        <f t="array" ref="AP130">INDEX($AU$8:$BB$25,6*(R130-1)+MATCH(AB130,$AS$8:$AS$13,0),MATCH(O130,$AU$7:$BB$7,0))</f>
        <v>1</v>
      </c>
    </row>
    <row r="131" spans="15:42" ht="14.25" x14ac:dyDescent="0.45">
      <c r="O131" s="43" t="s">
        <v>11</v>
      </c>
      <c r="P131" s="43">
        <v>3</v>
      </c>
      <c r="Q131" s="43">
        <v>16</v>
      </c>
      <c r="R131" s="43">
        <v>1</v>
      </c>
      <c r="S131" s="45"/>
      <c r="T131" t="b">
        <f>(S131+S132+S133)=N4</f>
        <v>0</v>
      </c>
      <c r="X131" s="1">
        <f t="shared" si="11"/>
        <v>0</v>
      </c>
      <c r="Y131" s="48">
        <v>0</v>
      </c>
      <c r="AA131" s="1">
        <v>4</v>
      </c>
      <c r="AB131" s="1" t="s">
        <v>13</v>
      </c>
      <c r="AC131" s="1" t="s">
        <v>19</v>
      </c>
      <c r="AD131" s="1">
        <v>25</v>
      </c>
      <c r="AE131" s="1">
        <v>20</v>
      </c>
      <c r="AF131" s="1">
        <v>0.8</v>
      </c>
      <c r="AG131" s="1">
        <v>0.86</v>
      </c>
      <c r="AH131" s="1">
        <v>0</v>
      </c>
      <c r="AI131" s="1">
        <v>0</v>
      </c>
      <c r="AJ131" s="1">
        <f t="shared" si="7"/>
        <v>0</v>
      </c>
      <c r="AK131" s="1">
        <f>C10</f>
        <v>0</v>
      </c>
      <c r="AL131" s="1">
        <f>C16</f>
        <v>0</v>
      </c>
      <c r="AM131" s="1">
        <f t="shared" si="8"/>
        <v>0</v>
      </c>
      <c r="AN131" s="1">
        <f t="shared" si="9"/>
        <v>0</v>
      </c>
      <c r="AO131" s="1">
        <f t="shared" si="10"/>
        <v>0</v>
      </c>
      <c r="AP131" t="b" cm="1">
        <f t="array" ref="AP131">INDEX($AU$8:$BB$25,6*(R131-1)+MATCH(AB131,$AS$8:$AS$13,0),MATCH(O131,$AU$7:$BB$7,0))</f>
        <v>1</v>
      </c>
    </row>
    <row r="132" spans="15:42" ht="14.25" x14ac:dyDescent="0.45">
      <c r="O132" s="43" t="s">
        <v>11</v>
      </c>
      <c r="P132" s="43">
        <v>3</v>
      </c>
      <c r="Q132" s="43">
        <v>16</v>
      </c>
      <c r="R132" s="43">
        <v>2</v>
      </c>
      <c r="S132" s="45"/>
      <c r="T132" t="b">
        <f>(S131+S132+S133)=N4</f>
        <v>0</v>
      </c>
      <c r="X132" s="1">
        <f t="shared" si="11"/>
        <v>0</v>
      </c>
      <c r="Y132" s="48">
        <v>0</v>
      </c>
      <c r="AA132" s="1">
        <v>4</v>
      </c>
      <c r="AB132" s="1" t="s">
        <v>13</v>
      </c>
      <c r="AC132" s="1" t="s">
        <v>19</v>
      </c>
      <c r="AD132" s="1">
        <v>25</v>
      </c>
      <c r="AE132" s="1">
        <v>20</v>
      </c>
      <c r="AF132" s="1">
        <v>0.8</v>
      </c>
      <c r="AG132" s="1">
        <v>0.86</v>
      </c>
      <c r="AH132" s="1">
        <v>0</v>
      </c>
      <c r="AI132" s="1">
        <v>0</v>
      </c>
      <c r="AJ132" s="1">
        <f t="shared" si="7"/>
        <v>0</v>
      </c>
      <c r="AK132" s="1">
        <f>D10</f>
        <v>0</v>
      </c>
      <c r="AL132" s="1">
        <f>D16</f>
        <v>0</v>
      </c>
      <c r="AM132" s="1">
        <f t="shared" si="8"/>
        <v>0</v>
      </c>
      <c r="AN132" s="1">
        <f t="shared" si="9"/>
        <v>0</v>
      </c>
      <c r="AO132" s="1">
        <f t="shared" si="10"/>
        <v>0</v>
      </c>
      <c r="AP132" t="b" cm="1">
        <f t="array" ref="AP132">INDEX($AU$8:$BB$25,6*(R132-1)+MATCH(AB132,$AS$8:$AS$13,0),MATCH(O132,$AU$7:$BB$7,0))</f>
        <v>1</v>
      </c>
    </row>
    <row r="133" spans="15:42" ht="14.25" x14ac:dyDescent="0.45">
      <c r="O133" s="43" t="s">
        <v>11</v>
      </c>
      <c r="P133" s="43">
        <v>3</v>
      </c>
      <c r="Q133" s="43">
        <v>16</v>
      </c>
      <c r="R133" s="43">
        <v>3</v>
      </c>
      <c r="S133" s="45"/>
      <c r="T133" t="b">
        <f>(S131+S132+S133)=N4</f>
        <v>0</v>
      </c>
      <c r="X133" s="1">
        <f t="shared" si="11"/>
        <v>0</v>
      </c>
      <c r="Y133" s="48">
        <v>0</v>
      </c>
      <c r="AA133" s="1">
        <v>4</v>
      </c>
      <c r="AB133" s="1" t="s">
        <v>13</v>
      </c>
      <c r="AC133" s="1" t="s">
        <v>19</v>
      </c>
      <c r="AD133" s="1">
        <v>25</v>
      </c>
      <c r="AE133" s="1">
        <v>20</v>
      </c>
      <c r="AF133" s="1">
        <v>0.8</v>
      </c>
      <c r="AG133" s="1">
        <v>0.86</v>
      </c>
      <c r="AH133" s="1">
        <v>0</v>
      </c>
      <c r="AI133" s="1">
        <v>0</v>
      </c>
      <c r="AJ133" s="1">
        <f t="shared" si="7"/>
        <v>0</v>
      </c>
      <c r="AK133" s="1">
        <f>E10</f>
        <v>40</v>
      </c>
      <c r="AL133" s="1">
        <f>E16</f>
        <v>0</v>
      </c>
      <c r="AM133" s="1">
        <f t="shared" si="8"/>
        <v>0</v>
      </c>
      <c r="AN133" s="1">
        <f t="shared" si="9"/>
        <v>0</v>
      </c>
      <c r="AO133" s="1">
        <f t="shared" si="10"/>
        <v>0</v>
      </c>
      <c r="AP133" t="b" cm="1">
        <f t="array" ref="AP133">INDEX($AU$8:$BB$25,6*(R133-1)+MATCH(AB133,$AS$8:$AS$13,0),MATCH(O133,$AU$7:$BB$7,0))</f>
        <v>1</v>
      </c>
    </row>
    <row r="134" spans="15:42" ht="14.25" x14ac:dyDescent="0.45">
      <c r="O134" s="43" t="s">
        <v>11</v>
      </c>
      <c r="P134" s="43">
        <v>3</v>
      </c>
      <c r="Q134" s="43">
        <v>17</v>
      </c>
      <c r="R134" s="43">
        <v>1</v>
      </c>
      <c r="S134" s="45"/>
      <c r="T134" t="b">
        <f>(S134+S135+S136)=N4</f>
        <v>0</v>
      </c>
      <c r="X134" s="1">
        <f t="shared" si="11"/>
        <v>0</v>
      </c>
      <c r="Y134" s="48">
        <v>0</v>
      </c>
      <c r="AA134" s="1">
        <v>1</v>
      </c>
      <c r="AB134" s="1" t="s">
        <v>16</v>
      </c>
      <c r="AC134" s="1" t="s">
        <v>22</v>
      </c>
      <c r="AD134" s="1">
        <v>14</v>
      </c>
      <c r="AE134" s="1">
        <v>13</v>
      </c>
      <c r="AF134" s="1">
        <v>0.8</v>
      </c>
      <c r="AG134" s="1">
        <v>0.9</v>
      </c>
      <c r="AH134" s="1">
        <v>0</v>
      </c>
      <c r="AI134" s="1">
        <v>0</v>
      </c>
      <c r="AJ134" s="1">
        <f t="shared" si="7"/>
        <v>0</v>
      </c>
      <c r="AK134" s="1">
        <f>C13</f>
        <v>90</v>
      </c>
      <c r="AL134" s="1">
        <f>C19</f>
        <v>0</v>
      </c>
      <c r="AM134" s="1">
        <f t="shared" si="8"/>
        <v>0</v>
      </c>
      <c r="AN134" s="1">
        <f t="shared" si="9"/>
        <v>0</v>
      </c>
      <c r="AO134" s="1">
        <f t="shared" si="10"/>
        <v>0</v>
      </c>
      <c r="AP134" t="b" cm="1">
        <f t="array" ref="AP134">INDEX($AU$8:$BB$25,6*(R134-1)+MATCH(AB134,$AS$8:$AS$13,0),MATCH(O134,$AU$7:$BB$7,0))</f>
        <v>1</v>
      </c>
    </row>
    <row r="135" spans="15:42" ht="14.25" x14ac:dyDescent="0.45">
      <c r="O135" s="43" t="s">
        <v>11</v>
      </c>
      <c r="P135" s="43">
        <v>3</v>
      </c>
      <c r="Q135" s="43">
        <v>17</v>
      </c>
      <c r="R135" s="43">
        <v>2</v>
      </c>
      <c r="S135" s="45"/>
      <c r="T135" t="b">
        <f>(S134+S135+S136)=N4</f>
        <v>0</v>
      </c>
      <c r="X135" s="1">
        <f t="shared" si="11"/>
        <v>0</v>
      </c>
      <c r="Y135" s="48">
        <v>0</v>
      </c>
      <c r="AA135" s="1">
        <v>1</v>
      </c>
      <c r="AB135" s="1" t="s">
        <v>16</v>
      </c>
      <c r="AC135" s="1" t="s">
        <v>22</v>
      </c>
      <c r="AD135" s="1">
        <v>14</v>
      </c>
      <c r="AE135" s="1">
        <v>13</v>
      </c>
      <c r="AF135" s="1">
        <v>0.8</v>
      </c>
      <c r="AG135" s="1">
        <v>0.9</v>
      </c>
      <c r="AH135" s="1">
        <v>0</v>
      </c>
      <c r="AI135" s="1">
        <v>0</v>
      </c>
      <c r="AJ135" s="1">
        <f t="shared" si="7"/>
        <v>0</v>
      </c>
      <c r="AK135" s="1">
        <f>D13</f>
        <v>60</v>
      </c>
      <c r="AL135" s="1">
        <f>D19</f>
        <v>0</v>
      </c>
      <c r="AM135" s="1">
        <f t="shared" si="8"/>
        <v>0</v>
      </c>
      <c r="AN135" s="1">
        <f t="shared" si="9"/>
        <v>0</v>
      </c>
      <c r="AO135" s="1">
        <f t="shared" si="10"/>
        <v>0</v>
      </c>
      <c r="AP135" t="b" cm="1">
        <f t="array" ref="AP135">INDEX($AU$8:$BB$25,6*(R135-1)+MATCH(AB135,$AS$8:$AS$13,0),MATCH(O135,$AU$7:$BB$7,0))</f>
        <v>1</v>
      </c>
    </row>
    <row r="136" spans="15:42" ht="14.25" x14ac:dyDescent="0.45">
      <c r="O136" s="43" t="s">
        <v>11</v>
      </c>
      <c r="P136" s="43">
        <v>3</v>
      </c>
      <c r="Q136" s="43">
        <v>17</v>
      </c>
      <c r="R136" s="43">
        <v>3</v>
      </c>
      <c r="S136" s="45"/>
      <c r="T136" t="b">
        <f>(S134+S135+S136)=N4</f>
        <v>0</v>
      </c>
      <c r="X136" s="1">
        <f t="shared" si="11"/>
        <v>0</v>
      </c>
      <c r="Y136" s="48">
        <v>0</v>
      </c>
      <c r="AA136" s="1">
        <v>1</v>
      </c>
      <c r="AB136" s="1" t="s">
        <v>16</v>
      </c>
      <c r="AC136" s="1" t="s">
        <v>22</v>
      </c>
      <c r="AD136" s="1">
        <v>14</v>
      </c>
      <c r="AE136" s="1">
        <v>13</v>
      </c>
      <c r="AF136" s="1">
        <v>0.8</v>
      </c>
      <c r="AG136" s="1">
        <v>0.9</v>
      </c>
      <c r="AH136" s="1">
        <v>0</v>
      </c>
      <c r="AI136" s="1">
        <v>0</v>
      </c>
      <c r="AJ136" s="1">
        <f t="shared" si="7"/>
        <v>0</v>
      </c>
      <c r="AK136" s="1">
        <f>E13</f>
        <v>36</v>
      </c>
      <c r="AL136" s="1">
        <f>E19</f>
        <v>0</v>
      </c>
      <c r="AM136" s="1">
        <f t="shared" si="8"/>
        <v>0</v>
      </c>
      <c r="AN136" s="1">
        <f t="shared" si="9"/>
        <v>0</v>
      </c>
      <c r="AO136" s="1">
        <f t="shared" si="10"/>
        <v>0</v>
      </c>
      <c r="AP136" t="b" cm="1">
        <f t="array" ref="AP136">INDEX($AU$8:$BB$25,6*(R136-1)+MATCH(AB136,$AS$8:$AS$13,0),MATCH(O136,$AU$7:$BB$7,0))</f>
        <v>1</v>
      </c>
    </row>
    <row r="137" spans="15:42" ht="14.25" x14ac:dyDescent="0.45">
      <c r="O137" s="43" t="s">
        <v>30</v>
      </c>
      <c r="P137" s="43">
        <v>1</v>
      </c>
      <c r="Q137" s="43">
        <v>1</v>
      </c>
      <c r="R137" s="43">
        <v>1</v>
      </c>
      <c r="S137" s="45"/>
      <c r="T137" t="b">
        <f>(S137+S138+S139)=O2</f>
        <v>0</v>
      </c>
      <c r="X137" s="1">
        <v>0</v>
      </c>
      <c r="Y137" s="48">
        <v>0</v>
      </c>
      <c r="AA137" s="1">
        <v>4</v>
      </c>
      <c r="AB137" s="1" t="s">
        <v>14</v>
      </c>
      <c r="AC137" s="1" t="s">
        <v>20</v>
      </c>
      <c r="AD137" s="1">
        <v>14</v>
      </c>
      <c r="AE137" s="1">
        <v>12</v>
      </c>
      <c r="AF137" s="1">
        <v>0.8</v>
      </c>
      <c r="AG137" s="1">
        <v>0.88</v>
      </c>
      <c r="AH137" s="1">
        <v>0</v>
      </c>
      <c r="AI137" s="1">
        <v>0</v>
      </c>
      <c r="AJ137" s="1">
        <f t="shared" ref="AJ137:AJ200" si="12">SUMIFS(AH$8:AH$1039,$O$8:$O$1039,O137,$AB$8:$AB$1039,AB137,$R$8:$R$1039,R137,$AA$8:$AA$1039,"&lt;="&amp;AA137)</f>
        <v>0</v>
      </c>
      <c r="AK137" s="1">
        <f>C23</f>
        <v>0</v>
      </c>
      <c r="AL137" s="1">
        <f>C29</f>
        <v>0</v>
      </c>
      <c r="AM137" s="1">
        <f t="shared" ref="AM137:AM200" si="13">MAX(0,AJ137-AK137)</f>
        <v>0</v>
      </c>
      <c r="AN137" s="1">
        <f t="shared" ref="AN137:AN200" si="14">IF(AM137=0,AH137,IF(AM137&gt;=AH137,0,AH137-AM137))</f>
        <v>0</v>
      </c>
      <c r="AO137" s="1">
        <f t="shared" ref="AO137:AO200" si="15">IF(AM137&gt;=AH137,AI137,AI137*AM137/AH137)</f>
        <v>0</v>
      </c>
      <c r="AP137" t="b" cm="1">
        <f t="array" ref="AP137">INDEX($AU$8:$BB$25,6*(R137-1)+MATCH(AB137,$AS$8:$AS$13,0),MATCH(O137,$AU$7:$BB$7,0))</f>
        <v>1</v>
      </c>
    </row>
    <row r="138" spans="15:42" ht="14.25" x14ac:dyDescent="0.45">
      <c r="O138" s="43" t="s">
        <v>30</v>
      </c>
      <c r="P138" s="43">
        <v>1</v>
      </c>
      <c r="Q138" s="43">
        <v>1</v>
      </c>
      <c r="R138" s="43">
        <v>2</v>
      </c>
      <c r="S138" s="45"/>
      <c r="T138" t="b">
        <f>(S137+S138+S139)=O2</f>
        <v>0</v>
      </c>
      <c r="X138" s="1">
        <v>0</v>
      </c>
      <c r="Y138" s="48">
        <v>0</v>
      </c>
      <c r="AA138" s="1">
        <v>4</v>
      </c>
      <c r="AB138" s="1" t="s">
        <v>14</v>
      </c>
      <c r="AC138" s="1" t="s">
        <v>20</v>
      </c>
      <c r="AD138" s="1">
        <v>14</v>
      </c>
      <c r="AE138" s="1">
        <v>12</v>
      </c>
      <c r="AF138" s="1">
        <v>0.8</v>
      </c>
      <c r="AG138" s="1">
        <v>0.88</v>
      </c>
      <c r="AH138" s="1">
        <v>0</v>
      </c>
      <c r="AI138" s="1">
        <v>0</v>
      </c>
      <c r="AJ138" s="1">
        <f t="shared" si="12"/>
        <v>0</v>
      </c>
      <c r="AK138" s="1">
        <f>D23</f>
        <v>0</v>
      </c>
      <c r="AL138" s="1">
        <f>D29</f>
        <v>0</v>
      </c>
      <c r="AM138" s="1">
        <f t="shared" si="13"/>
        <v>0</v>
      </c>
      <c r="AN138" s="1">
        <f t="shared" si="14"/>
        <v>0</v>
      </c>
      <c r="AO138" s="1">
        <f t="shared" si="15"/>
        <v>0</v>
      </c>
      <c r="AP138" t="b" cm="1">
        <f t="array" ref="AP138">INDEX($AU$8:$BB$25,6*(R138-1)+MATCH(AB138,$AS$8:$AS$13,0),MATCH(O138,$AU$7:$BB$7,0))</f>
        <v>1</v>
      </c>
    </row>
    <row r="139" spans="15:42" ht="14.25" x14ac:dyDescent="0.45">
      <c r="O139" s="43" t="s">
        <v>30</v>
      </c>
      <c r="P139" s="43">
        <v>1</v>
      </c>
      <c r="Q139" s="43">
        <v>1</v>
      </c>
      <c r="R139" s="43">
        <v>3</v>
      </c>
      <c r="S139" s="45"/>
      <c r="T139" t="b">
        <f>(S137+S138+S139)=O2</f>
        <v>0</v>
      </c>
      <c r="X139" s="1">
        <v>0</v>
      </c>
      <c r="Y139" s="48">
        <v>0</v>
      </c>
      <c r="AA139" s="1">
        <v>4</v>
      </c>
      <c r="AB139" s="1" t="s">
        <v>14</v>
      </c>
      <c r="AC139" s="1" t="s">
        <v>20</v>
      </c>
      <c r="AD139" s="1">
        <v>14</v>
      </c>
      <c r="AE139" s="1">
        <v>12</v>
      </c>
      <c r="AF139" s="1">
        <v>0.8</v>
      </c>
      <c r="AG139" s="1">
        <v>0.88</v>
      </c>
      <c r="AH139" s="1">
        <v>0</v>
      </c>
      <c r="AI139" s="1">
        <v>0</v>
      </c>
      <c r="AJ139" s="1">
        <f t="shared" si="12"/>
        <v>0</v>
      </c>
      <c r="AK139" s="1">
        <f>E23</f>
        <v>0</v>
      </c>
      <c r="AL139" s="1">
        <f>E29</f>
        <v>0</v>
      </c>
      <c r="AM139" s="1">
        <f t="shared" si="13"/>
        <v>0</v>
      </c>
      <c r="AN139" s="1">
        <f t="shared" si="14"/>
        <v>0</v>
      </c>
      <c r="AO139" s="1">
        <f t="shared" si="15"/>
        <v>0</v>
      </c>
      <c r="AP139" t="b" cm="1">
        <f t="array" ref="AP139">INDEX($AU$8:$BB$25,6*(R139-1)+MATCH(AB139,$AS$8:$AS$13,0),MATCH(O139,$AU$7:$BB$7,0))</f>
        <v>1</v>
      </c>
    </row>
    <row r="140" spans="15:42" ht="14.25" x14ac:dyDescent="0.45">
      <c r="O140" s="43" t="s">
        <v>30</v>
      </c>
      <c r="P140" s="43">
        <v>1</v>
      </c>
      <c r="Q140" s="43">
        <v>2</v>
      </c>
      <c r="R140" s="43">
        <v>1</v>
      </c>
      <c r="S140" s="45"/>
      <c r="T140" t="b">
        <f>(S140+S141+S142)=O2</f>
        <v>0</v>
      </c>
      <c r="X140" s="1">
        <f>MAX(S137-S140,0)</f>
        <v>0</v>
      </c>
      <c r="Y140" s="48">
        <v>0</v>
      </c>
      <c r="AA140" s="1">
        <v>10</v>
      </c>
      <c r="AB140" s="1" t="s">
        <v>16</v>
      </c>
      <c r="AC140" s="1" t="s">
        <v>22</v>
      </c>
      <c r="AD140" s="1">
        <v>25</v>
      </c>
      <c r="AE140" s="1">
        <v>21</v>
      </c>
      <c r="AF140" s="1">
        <v>0.8</v>
      </c>
      <c r="AG140" s="1">
        <v>0.9</v>
      </c>
      <c r="AH140" s="1">
        <v>0</v>
      </c>
      <c r="AI140" s="1">
        <v>0</v>
      </c>
      <c r="AJ140" s="1">
        <f t="shared" si="12"/>
        <v>0</v>
      </c>
      <c r="AK140" s="1">
        <f>C25</f>
        <v>0</v>
      </c>
      <c r="AL140" s="1">
        <f>C31</f>
        <v>0</v>
      </c>
      <c r="AM140" s="1">
        <f t="shared" si="13"/>
        <v>0</v>
      </c>
      <c r="AN140" s="1">
        <f t="shared" si="14"/>
        <v>0</v>
      </c>
      <c r="AO140" s="1">
        <f t="shared" si="15"/>
        <v>0</v>
      </c>
      <c r="AP140" t="b" cm="1">
        <f t="array" ref="AP140">INDEX($AU$8:$BB$25,6*(R140-1)+MATCH(AB140,$AS$8:$AS$13,0),MATCH(O140,$AU$7:$BB$7,0))</f>
        <v>1</v>
      </c>
    </row>
    <row r="141" spans="15:42" ht="14.25" x14ac:dyDescent="0.45">
      <c r="O141" s="43" t="s">
        <v>30</v>
      </c>
      <c r="P141" s="43">
        <v>1</v>
      </c>
      <c r="Q141" s="43">
        <v>2</v>
      </c>
      <c r="R141" s="43">
        <v>2</v>
      </c>
      <c r="S141" s="45"/>
      <c r="T141" t="b">
        <f>(S140+S141+S142)=O2</f>
        <v>0</v>
      </c>
      <c r="X141" s="1">
        <f t="shared" ref="X141:X169" si="16">MAX(S138-S141,0)</f>
        <v>0</v>
      </c>
      <c r="Y141" s="48">
        <v>0</v>
      </c>
      <c r="AA141" s="1">
        <v>10</v>
      </c>
      <c r="AB141" s="1" t="s">
        <v>16</v>
      </c>
      <c r="AC141" s="1" t="s">
        <v>22</v>
      </c>
      <c r="AD141" s="1">
        <v>25</v>
      </c>
      <c r="AE141" s="1">
        <v>21</v>
      </c>
      <c r="AF141" s="1">
        <v>0.8</v>
      </c>
      <c r="AG141" s="1">
        <v>0.9</v>
      </c>
      <c r="AH141" s="1">
        <v>0</v>
      </c>
      <c r="AI141" s="1">
        <v>0</v>
      </c>
      <c r="AJ141" s="1">
        <f t="shared" si="12"/>
        <v>0</v>
      </c>
      <c r="AK141" s="1">
        <f>D25</f>
        <v>0</v>
      </c>
      <c r="AL141" s="1">
        <f>D31</f>
        <v>0</v>
      </c>
      <c r="AM141" s="1">
        <f t="shared" si="13"/>
        <v>0</v>
      </c>
      <c r="AN141" s="1">
        <f t="shared" si="14"/>
        <v>0</v>
      </c>
      <c r="AO141" s="1">
        <f t="shared" si="15"/>
        <v>0</v>
      </c>
      <c r="AP141" t="b" cm="1">
        <f t="array" ref="AP141">INDEX($AU$8:$BB$25,6*(R141-1)+MATCH(AB141,$AS$8:$AS$13,0),MATCH(O141,$AU$7:$BB$7,0))</f>
        <v>1</v>
      </c>
    </row>
    <row r="142" spans="15:42" ht="14.25" x14ac:dyDescent="0.45">
      <c r="O142" s="43" t="s">
        <v>30</v>
      </c>
      <c r="P142" s="43">
        <v>1</v>
      </c>
      <c r="Q142" s="43">
        <v>2</v>
      </c>
      <c r="R142" s="43">
        <v>3</v>
      </c>
      <c r="S142" s="45"/>
      <c r="T142" t="b">
        <f>(S140+S141+S142)=O2</f>
        <v>0</v>
      </c>
      <c r="X142" s="1">
        <f t="shared" si="16"/>
        <v>0</v>
      </c>
      <c r="Y142" s="48">
        <v>0</v>
      </c>
      <c r="AA142" s="1">
        <v>10</v>
      </c>
      <c r="AB142" s="1" t="s">
        <v>16</v>
      </c>
      <c r="AC142" s="1" t="s">
        <v>22</v>
      </c>
      <c r="AD142" s="1">
        <v>25</v>
      </c>
      <c r="AE142" s="1">
        <v>21</v>
      </c>
      <c r="AF142" s="1">
        <v>0.8</v>
      </c>
      <c r="AG142" s="1">
        <v>0.9</v>
      </c>
      <c r="AH142" s="1">
        <v>0</v>
      </c>
      <c r="AI142" s="1">
        <v>0</v>
      </c>
      <c r="AJ142" s="1">
        <f t="shared" si="12"/>
        <v>0</v>
      </c>
      <c r="AK142" s="1">
        <f>E25</f>
        <v>0</v>
      </c>
      <c r="AL142" s="1">
        <f>E31</f>
        <v>0</v>
      </c>
      <c r="AM142" s="1">
        <f t="shared" si="13"/>
        <v>0</v>
      </c>
      <c r="AN142" s="1">
        <f t="shared" si="14"/>
        <v>0</v>
      </c>
      <c r="AO142" s="1">
        <f t="shared" si="15"/>
        <v>0</v>
      </c>
      <c r="AP142" t="b" cm="1">
        <f t="array" ref="AP142">INDEX($AU$8:$BB$25,6*(R142-1)+MATCH(AB142,$AS$8:$AS$13,0),MATCH(O142,$AU$7:$BB$7,0))</f>
        <v>1</v>
      </c>
    </row>
    <row r="143" spans="15:42" ht="14.25" x14ac:dyDescent="0.45">
      <c r="O143" s="43" t="s">
        <v>30</v>
      </c>
      <c r="P143" s="43">
        <v>1</v>
      </c>
      <c r="Q143" s="43">
        <v>3</v>
      </c>
      <c r="R143" s="43">
        <v>1</v>
      </c>
      <c r="S143" s="45"/>
      <c r="T143" t="b">
        <f>(S143+S144+S145)=O2</f>
        <v>0</v>
      </c>
      <c r="X143" s="1">
        <f t="shared" si="16"/>
        <v>0</v>
      </c>
      <c r="Y143" s="48">
        <v>0</v>
      </c>
      <c r="AA143" s="1">
        <v>8</v>
      </c>
      <c r="AB143" s="1" t="s">
        <v>16</v>
      </c>
      <c r="AC143" s="1" t="s">
        <v>22</v>
      </c>
      <c r="AD143" s="1">
        <v>27</v>
      </c>
      <c r="AE143" s="1">
        <v>23</v>
      </c>
      <c r="AF143" s="1">
        <v>0.8</v>
      </c>
      <c r="AG143" s="1">
        <v>0.9</v>
      </c>
      <c r="AH143" s="1">
        <v>0</v>
      </c>
      <c r="AI143" s="1">
        <v>0</v>
      </c>
      <c r="AJ143" s="1">
        <f t="shared" si="12"/>
        <v>0</v>
      </c>
      <c r="AK143" s="1">
        <f>C25</f>
        <v>0</v>
      </c>
      <c r="AL143" s="1">
        <f>C31</f>
        <v>0</v>
      </c>
      <c r="AM143" s="1">
        <f t="shared" si="13"/>
        <v>0</v>
      </c>
      <c r="AN143" s="1">
        <f t="shared" si="14"/>
        <v>0</v>
      </c>
      <c r="AO143" s="1">
        <f t="shared" si="15"/>
        <v>0</v>
      </c>
      <c r="AP143" t="b" cm="1">
        <f t="array" ref="AP143">INDEX($AU$8:$BB$25,6*(R143-1)+MATCH(AB143,$AS$8:$AS$13,0),MATCH(O143,$AU$7:$BB$7,0))</f>
        <v>1</v>
      </c>
    </row>
    <row r="144" spans="15:42" ht="14.25" x14ac:dyDescent="0.45">
      <c r="O144" s="43" t="s">
        <v>30</v>
      </c>
      <c r="P144" s="43">
        <v>1</v>
      </c>
      <c r="Q144" s="43">
        <v>3</v>
      </c>
      <c r="R144" s="43">
        <v>2</v>
      </c>
      <c r="S144" s="45"/>
      <c r="T144" t="b">
        <f>(S143+S144+S145)=O2</f>
        <v>0</v>
      </c>
      <c r="X144" s="1">
        <f t="shared" si="16"/>
        <v>0</v>
      </c>
      <c r="Y144" s="48">
        <v>0</v>
      </c>
      <c r="AA144" s="1">
        <v>8</v>
      </c>
      <c r="AB144" s="1" t="s">
        <v>16</v>
      </c>
      <c r="AC144" s="1" t="s">
        <v>22</v>
      </c>
      <c r="AD144" s="1">
        <v>27</v>
      </c>
      <c r="AE144" s="1">
        <v>23</v>
      </c>
      <c r="AF144" s="1">
        <v>0.8</v>
      </c>
      <c r="AG144" s="1">
        <v>0.9</v>
      </c>
      <c r="AH144" s="1">
        <v>0</v>
      </c>
      <c r="AI144" s="1">
        <v>0</v>
      </c>
      <c r="AJ144" s="1">
        <f t="shared" si="12"/>
        <v>0</v>
      </c>
      <c r="AK144" s="1">
        <f>D25</f>
        <v>0</v>
      </c>
      <c r="AL144" s="1">
        <f>D31</f>
        <v>0</v>
      </c>
      <c r="AM144" s="1">
        <f t="shared" si="13"/>
        <v>0</v>
      </c>
      <c r="AN144" s="1">
        <f t="shared" si="14"/>
        <v>0</v>
      </c>
      <c r="AO144" s="1">
        <f t="shared" si="15"/>
        <v>0</v>
      </c>
      <c r="AP144" t="b" cm="1">
        <f t="array" ref="AP144">INDEX($AU$8:$BB$25,6*(R144-1)+MATCH(AB144,$AS$8:$AS$13,0),MATCH(O144,$AU$7:$BB$7,0))</f>
        <v>1</v>
      </c>
    </row>
    <row r="145" spans="15:42" ht="14.25" x14ac:dyDescent="0.45">
      <c r="O145" s="43" t="s">
        <v>30</v>
      </c>
      <c r="P145" s="43">
        <v>1</v>
      </c>
      <c r="Q145" s="43">
        <v>3</v>
      </c>
      <c r="R145" s="43">
        <v>3</v>
      </c>
      <c r="S145" s="45"/>
      <c r="T145" t="b">
        <f>(S143+S144+S145)=O2</f>
        <v>0</v>
      </c>
      <c r="X145" s="1">
        <f t="shared" si="16"/>
        <v>0</v>
      </c>
      <c r="Y145" s="48">
        <v>0</v>
      </c>
      <c r="AA145" s="1">
        <v>8</v>
      </c>
      <c r="AB145" s="1" t="s">
        <v>16</v>
      </c>
      <c r="AC145" s="1" t="s">
        <v>22</v>
      </c>
      <c r="AD145" s="1">
        <v>27</v>
      </c>
      <c r="AE145" s="1">
        <v>23</v>
      </c>
      <c r="AF145" s="1">
        <v>0.8</v>
      </c>
      <c r="AG145" s="1">
        <v>0.9</v>
      </c>
      <c r="AH145" s="1">
        <v>0</v>
      </c>
      <c r="AI145" s="1">
        <v>0</v>
      </c>
      <c r="AJ145" s="1">
        <f t="shared" si="12"/>
        <v>0</v>
      </c>
      <c r="AK145" s="1">
        <f>E25</f>
        <v>0</v>
      </c>
      <c r="AL145" s="1">
        <f>E31</f>
        <v>0</v>
      </c>
      <c r="AM145" s="1">
        <f t="shared" si="13"/>
        <v>0</v>
      </c>
      <c r="AN145" s="1">
        <f t="shared" si="14"/>
        <v>0</v>
      </c>
      <c r="AO145" s="1">
        <f t="shared" si="15"/>
        <v>0</v>
      </c>
      <c r="AP145" t="b" cm="1">
        <f t="array" ref="AP145">INDEX($AU$8:$BB$25,6*(R145-1)+MATCH(AB145,$AS$8:$AS$13,0),MATCH(O145,$AU$7:$BB$7,0))</f>
        <v>1</v>
      </c>
    </row>
    <row r="146" spans="15:42" ht="14.25" x14ac:dyDescent="0.45">
      <c r="O146" s="43" t="s">
        <v>30</v>
      </c>
      <c r="P146" s="43">
        <v>1</v>
      </c>
      <c r="Q146" s="43">
        <v>4</v>
      </c>
      <c r="R146" s="43">
        <v>1</v>
      </c>
      <c r="S146" s="45"/>
      <c r="T146" t="b">
        <f>(S146+S147+S148)=O2</f>
        <v>0</v>
      </c>
      <c r="X146" s="1">
        <f t="shared" si="16"/>
        <v>0</v>
      </c>
      <c r="Y146" s="48">
        <v>0</v>
      </c>
      <c r="AA146" s="1">
        <v>3</v>
      </c>
      <c r="AB146" s="1" t="s">
        <v>10</v>
      </c>
      <c r="AC146" s="1" t="s">
        <v>17</v>
      </c>
      <c r="AD146" s="1">
        <v>20</v>
      </c>
      <c r="AE146" s="1">
        <v>16</v>
      </c>
      <c r="AF146" s="1">
        <v>0.78</v>
      </c>
      <c r="AG146" s="1">
        <v>0.84</v>
      </c>
      <c r="AH146" s="1">
        <v>0</v>
      </c>
      <c r="AI146" s="1">
        <v>0</v>
      </c>
      <c r="AJ146" s="1">
        <f t="shared" si="12"/>
        <v>0</v>
      </c>
      <c r="AK146" s="1">
        <f>C20</f>
        <v>0</v>
      </c>
      <c r="AL146" s="1">
        <f>C26</f>
        <v>0</v>
      </c>
      <c r="AM146" s="1">
        <f t="shared" si="13"/>
        <v>0</v>
      </c>
      <c r="AN146" s="1">
        <f t="shared" si="14"/>
        <v>0</v>
      </c>
      <c r="AO146" s="1">
        <f t="shared" si="15"/>
        <v>0</v>
      </c>
      <c r="AP146" t="b" cm="1">
        <f t="array" ref="AP146">INDEX($AU$8:$BB$25,6*(R146-1)+MATCH(AB146,$AS$8:$AS$13,0),MATCH(O146,$AU$7:$BB$7,0))</f>
        <v>1</v>
      </c>
    </row>
    <row r="147" spans="15:42" ht="14.25" x14ac:dyDescent="0.45">
      <c r="O147" s="43" t="s">
        <v>30</v>
      </c>
      <c r="P147" s="43">
        <v>1</v>
      </c>
      <c r="Q147" s="43">
        <v>4</v>
      </c>
      <c r="R147" s="43">
        <v>2</v>
      </c>
      <c r="S147" s="45"/>
      <c r="T147" t="b">
        <f>(S146+S147+S148)=O2</f>
        <v>0</v>
      </c>
      <c r="X147" s="1">
        <f t="shared" si="16"/>
        <v>0</v>
      </c>
      <c r="Y147" s="48">
        <v>0</v>
      </c>
      <c r="AA147" s="1">
        <v>3</v>
      </c>
      <c r="AB147" s="1" t="s">
        <v>10</v>
      </c>
      <c r="AC147" s="1" t="s">
        <v>17</v>
      </c>
      <c r="AD147" s="1">
        <v>20</v>
      </c>
      <c r="AE147" s="1">
        <v>16</v>
      </c>
      <c r="AF147" s="1">
        <v>0.78</v>
      </c>
      <c r="AG147" s="1">
        <v>0.84</v>
      </c>
      <c r="AH147" s="1">
        <v>0</v>
      </c>
      <c r="AI147" s="1">
        <v>0</v>
      </c>
      <c r="AJ147" s="1">
        <f t="shared" si="12"/>
        <v>0</v>
      </c>
      <c r="AK147" s="1">
        <f>D20</f>
        <v>0</v>
      </c>
      <c r="AL147" s="1">
        <f>D26</f>
        <v>0</v>
      </c>
      <c r="AM147" s="1">
        <f t="shared" si="13"/>
        <v>0</v>
      </c>
      <c r="AN147" s="1">
        <f t="shared" si="14"/>
        <v>0</v>
      </c>
      <c r="AO147" s="1">
        <f t="shared" si="15"/>
        <v>0</v>
      </c>
      <c r="AP147" t="b" cm="1">
        <f t="array" ref="AP147">INDEX($AU$8:$BB$25,6*(R147-1)+MATCH(AB147,$AS$8:$AS$13,0),MATCH(O147,$AU$7:$BB$7,0))</f>
        <v>1</v>
      </c>
    </row>
    <row r="148" spans="15:42" ht="14.25" x14ac:dyDescent="0.45">
      <c r="O148" s="43" t="s">
        <v>30</v>
      </c>
      <c r="P148" s="43">
        <v>1</v>
      </c>
      <c r="Q148" s="43">
        <v>4</v>
      </c>
      <c r="R148" s="43">
        <v>3</v>
      </c>
      <c r="S148" s="45"/>
      <c r="T148" t="b">
        <f>(S146+S147+S148)=O2</f>
        <v>0</v>
      </c>
      <c r="X148" s="1">
        <f t="shared" si="16"/>
        <v>0</v>
      </c>
      <c r="Y148" s="48">
        <v>0</v>
      </c>
      <c r="AA148" s="1">
        <v>3</v>
      </c>
      <c r="AB148" s="1" t="s">
        <v>10</v>
      </c>
      <c r="AC148" s="1" t="s">
        <v>17</v>
      </c>
      <c r="AD148" s="1">
        <v>20</v>
      </c>
      <c r="AE148" s="1">
        <v>16</v>
      </c>
      <c r="AF148" s="1">
        <v>0.78</v>
      </c>
      <c r="AG148" s="1">
        <v>0.84</v>
      </c>
      <c r="AH148" s="1">
        <v>0</v>
      </c>
      <c r="AI148" s="1">
        <v>0</v>
      </c>
      <c r="AJ148" s="1">
        <f t="shared" si="12"/>
        <v>0</v>
      </c>
      <c r="AK148" s="1">
        <f>E20</f>
        <v>0</v>
      </c>
      <c r="AL148" s="1">
        <f>E26</f>
        <v>0</v>
      </c>
      <c r="AM148" s="1">
        <f t="shared" si="13"/>
        <v>0</v>
      </c>
      <c r="AN148" s="1">
        <f t="shared" si="14"/>
        <v>0</v>
      </c>
      <c r="AO148" s="1">
        <f t="shared" si="15"/>
        <v>0</v>
      </c>
      <c r="AP148" t="b" cm="1">
        <f t="array" ref="AP148">INDEX($AU$8:$BB$25,6*(R148-1)+MATCH(AB148,$AS$8:$AS$13,0),MATCH(O148,$AU$7:$BB$7,0))</f>
        <v>1</v>
      </c>
    </row>
    <row r="149" spans="15:42" ht="14.25" x14ac:dyDescent="0.45">
      <c r="O149" s="43" t="s">
        <v>30</v>
      </c>
      <c r="P149" s="43">
        <v>1</v>
      </c>
      <c r="Q149" s="43">
        <v>5</v>
      </c>
      <c r="R149" s="43">
        <v>1</v>
      </c>
      <c r="S149" s="45"/>
      <c r="T149" t="b">
        <f>(S149+S150+S151)=O2</f>
        <v>0</v>
      </c>
      <c r="X149" s="1">
        <f t="shared" si="16"/>
        <v>0</v>
      </c>
      <c r="Y149" s="48">
        <v>0</v>
      </c>
      <c r="AA149" s="1">
        <v>11</v>
      </c>
      <c r="AB149" s="1" t="s">
        <v>16</v>
      </c>
      <c r="AC149" s="1" t="s">
        <v>22</v>
      </c>
      <c r="AD149" s="1">
        <v>12</v>
      </c>
      <c r="AE149" s="1">
        <v>9</v>
      </c>
      <c r="AF149" s="1">
        <v>0.8</v>
      </c>
      <c r="AG149" s="1">
        <v>0.9</v>
      </c>
      <c r="AH149" s="1">
        <v>0</v>
      </c>
      <c r="AI149" s="1">
        <v>0</v>
      </c>
      <c r="AJ149" s="1">
        <f t="shared" si="12"/>
        <v>0</v>
      </c>
      <c r="AK149" s="1">
        <f>C25</f>
        <v>0</v>
      </c>
      <c r="AL149" s="1">
        <f>C31</f>
        <v>0</v>
      </c>
      <c r="AM149" s="1">
        <f t="shared" si="13"/>
        <v>0</v>
      </c>
      <c r="AN149" s="1">
        <f t="shared" si="14"/>
        <v>0</v>
      </c>
      <c r="AO149" s="1">
        <f t="shared" si="15"/>
        <v>0</v>
      </c>
      <c r="AP149" t="b" cm="1">
        <f t="array" ref="AP149">INDEX($AU$8:$BB$25,6*(R149-1)+MATCH(AB149,$AS$8:$AS$13,0),MATCH(O149,$AU$7:$BB$7,0))</f>
        <v>1</v>
      </c>
    </row>
    <row r="150" spans="15:42" ht="14.25" x14ac:dyDescent="0.45">
      <c r="O150" s="43" t="s">
        <v>30</v>
      </c>
      <c r="P150" s="43">
        <v>1</v>
      </c>
      <c r="Q150" s="43">
        <v>5</v>
      </c>
      <c r="R150" s="43">
        <v>2</v>
      </c>
      <c r="S150" s="45"/>
      <c r="T150" t="b">
        <f>(S149+S150+S151)=O2</f>
        <v>0</v>
      </c>
      <c r="X150" s="1">
        <f t="shared" si="16"/>
        <v>0</v>
      </c>
      <c r="Y150" s="48">
        <v>0</v>
      </c>
      <c r="AA150" s="1">
        <v>11</v>
      </c>
      <c r="AB150" s="1" t="s">
        <v>16</v>
      </c>
      <c r="AC150" s="1" t="s">
        <v>22</v>
      </c>
      <c r="AD150" s="1">
        <v>12</v>
      </c>
      <c r="AE150" s="1">
        <v>9</v>
      </c>
      <c r="AF150" s="1">
        <v>0.8</v>
      </c>
      <c r="AG150" s="1">
        <v>0.9</v>
      </c>
      <c r="AH150" s="1">
        <v>0</v>
      </c>
      <c r="AI150" s="1">
        <v>0</v>
      </c>
      <c r="AJ150" s="1">
        <f t="shared" si="12"/>
        <v>0</v>
      </c>
      <c r="AK150" s="1">
        <f>D25</f>
        <v>0</v>
      </c>
      <c r="AL150" s="1">
        <f>D31</f>
        <v>0</v>
      </c>
      <c r="AM150" s="1">
        <f t="shared" si="13"/>
        <v>0</v>
      </c>
      <c r="AN150" s="1">
        <f t="shared" si="14"/>
        <v>0</v>
      </c>
      <c r="AO150" s="1">
        <f t="shared" si="15"/>
        <v>0</v>
      </c>
      <c r="AP150" t="b" cm="1">
        <f t="array" ref="AP150">INDEX($AU$8:$BB$25,6*(R150-1)+MATCH(AB150,$AS$8:$AS$13,0),MATCH(O150,$AU$7:$BB$7,0))</f>
        <v>1</v>
      </c>
    </row>
    <row r="151" spans="15:42" ht="14.25" x14ac:dyDescent="0.45">
      <c r="O151" s="43" t="s">
        <v>30</v>
      </c>
      <c r="P151" s="43">
        <v>1</v>
      </c>
      <c r="Q151" s="43">
        <v>5</v>
      </c>
      <c r="R151" s="43">
        <v>3</v>
      </c>
      <c r="S151" s="45"/>
      <c r="T151" t="b">
        <f>(S149+S150+S151)=O2</f>
        <v>0</v>
      </c>
      <c r="X151" s="1">
        <f t="shared" si="16"/>
        <v>0</v>
      </c>
      <c r="Y151" s="48">
        <v>0</v>
      </c>
      <c r="AA151" s="1">
        <v>11</v>
      </c>
      <c r="AB151" s="1" t="s">
        <v>16</v>
      </c>
      <c r="AC151" s="1" t="s">
        <v>22</v>
      </c>
      <c r="AD151" s="1">
        <v>12</v>
      </c>
      <c r="AE151" s="1">
        <v>9</v>
      </c>
      <c r="AF151" s="1">
        <v>0.8</v>
      </c>
      <c r="AG151" s="1">
        <v>0.9</v>
      </c>
      <c r="AH151" s="1">
        <v>0</v>
      </c>
      <c r="AI151" s="1">
        <v>0</v>
      </c>
      <c r="AJ151" s="1">
        <f t="shared" si="12"/>
        <v>0</v>
      </c>
      <c r="AK151" s="1">
        <f>E25</f>
        <v>0</v>
      </c>
      <c r="AL151" s="1">
        <f>E31</f>
        <v>0</v>
      </c>
      <c r="AM151" s="1">
        <f t="shared" si="13"/>
        <v>0</v>
      </c>
      <c r="AN151" s="1">
        <f t="shared" si="14"/>
        <v>0</v>
      </c>
      <c r="AO151" s="1">
        <f t="shared" si="15"/>
        <v>0</v>
      </c>
      <c r="AP151" t="b" cm="1">
        <f t="array" ref="AP151">INDEX($AU$8:$BB$25,6*(R151-1)+MATCH(AB151,$AS$8:$AS$13,0),MATCH(O151,$AU$7:$BB$7,0))</f>
        <v>1</v>
      </c>
    </row>
    <row r="152" spans="15:42" ht="14.25" x14ac:dyDescent="0.45">
      <c r="O152" s="43" t="s">
        <v>30</v>
      </c>
      <c r="P152" s="43">
        <v>1</v>
      </c>
      <c r="Q152" s="43">
        <v>6</v>
      </c>
      <c r="R152" s="43">
        <v>1</v>
      </c>
      <c r="S152" s="45"/>
      <c r="T152" t="b">
        <f>(S152+S153+S154)=O2</f>
        <v>0</v>
      </c>
      <c r="X152" s="1">
        <f t="shared" si="16"/>
        <v>0</v>
      </c>
      <c r="Y152" s="48">
        <v>0</v>
      </c>
      <c r="AA152" s="1">
        <v>7</v>
      </c>
      <c r="AB152" s="1" t="s">
        <v>14</v>
      </c>
      <c r="AC152" s="1" t="s">
        <v>20</v>
      </c>
      <c r="AD152" s="1">
        <v>27</v>
      </c>
      <c r="AE152" s="1">
        <v>21</v>
      </c>
      <c r="AF152" s="1">
        <v>0.8</v>
      </c>
      <c r="AG152" s="1">
        <v>0.88</v>
      </c>
      <c r="AH152" s="1">
        <v>0</v>
      </c>
      <c r="AI152" s="1">
        <v>0</v>
      </c>
      <c r="AJ152" s="1">
        <f t="shared" si="12"/>
        <v>0</v>
      </c>
      <c r="AK152" s="1">
        <f>C23</f>
        <v>0</v>
      </c>
      <c r="AL152" s="1">
        <f>C29</f>
        <v>0</v>
      </c>
      <c r="AM152" s="1">
        <f t="shared" si="13"/>
        <v>0</v>
      </c>
      <c r="AN152" s="1">
        <f t="shared" si="14"/>
        <v>0</v>
      </c>
      <c r="AO152" s="1">
        <f t="shared" si="15"/>
        <v>0</v>
      </c>
      <c r="AP152" t="b" cm="1">
        <f t="array" ref="AP152">INDEX($AU$8:$BB$25,6*(R152-1)+MATCH(AB152,$AS$8:$AS$13,0),MATCH(O152,$AU$7:$BB$7,0))</f>
        <v>1</v>
      </c>
    </row>
    <row r="153" spans="15:42" ht="14.25" x14ac:dyDescent="0.45">
      <c r="O153" s="43" t="s">
        <v>30</v>
      </c>
      <c r="P153" s="43">
        <v>1</v>
      </c>
      <c r="Q153" s="43">
        <v>6</v>
      </c>
      <c r="R153" s="43">
        <v>2</v>
      </c>
      <c r="S153" s="45"/>
      <c r="T153" t="b">
        <f>(S152+S153+S154)=O2</f>
        <v>0</v>
      </c>
      <c r="X153" s="1">
        <f t="shared" si="16"/>
        <v>0</v>
      </c>
      <c r="Y153" s="48">
        <v>0</v>
      </c>
      <c r="AA153" s="1">
        <v>7</v>
      </c>
      <c r="AB153" s="1" t="s">
        <v>14</v>
      </c>
      <c r="AC153" s="1" t="s">
        <v>20</v>
      </c>
      <c r="AD153" s="1">
        <v>27</v>
      </c>
      <c r="AE153" s="1">
        <v>21</v>
      </c>
      <c r="AF153" s="1">
        <v>0.8</v>
      </c>
      <c r="AG153" s="1">
        <v>0.88</v>
      </c>
      <c r="AH153" s="1">
        <v>0</v>
      </c>
      <c r="AI153" s="1">
        <v>0</v>
      </c>
      <c r="AJ153" s="1">
        <f t="shared" si="12"/>
        <v>0</v>
      </c>
      <c r="AK153" s="1">
        <f>D23</f>
        <v>0</v>
      </c>
      <c r="AL153" s="1">
        <f>D29</f>
        <v>0</v>
      </c>
      <c r="AM153" s="1">
        <f t="shared" si="13"/>
        <v>0</v>
      </c>
      <c r="AN153" s="1">
        <f t="shared" si="14"/>
        <v>0</v>
      </c>
      <c r="AO153" s="1">
        <f t="shared" si="15"/>
        <v>0</v>
      </c>
      <c r="AP153" t="b" cm="1">
        <f t="array" ref="AP153">INDEX($AU$8:$BB$25,6*(R153-1)+MATCH(AB153,$AS$8:$AS$13,0),MATCH(O153,$AU$7:$BB$7,0))</f>
        <v>1</v>
      </c>
    </row>
    <row r="154" spans="15:42" ht="14.25" x14ac:dyDescent="0.45">
      <c r="O154" s="43" t="s">
        <v>30</v>
      </c>
      <c r="P154" s="43">
        <v>1</v>
      </c>
      <c r="Q154" s="43">
        <v>6</v>
      </c>
      <c r="R154" s="43">
        <v>3</v>
      </c>
      <c r="S154" s="45"/>
      <c r="T154" t="b">
        <f>(S152+S153+S154)=O2</f>
        <v>0</v>
      </c>
      <c r="X154" s="1">
        <f t="shared" si="16"/>
        <v>0</v>
      </c>
      <c r="Y154" s="48">
        <v>0</v>
      </c>
      <c r="AA154" s="1">
        <v>7</v>
      </c>
      <c r="AB154" s="1" t="s">
        <v>14</v>
      </c>
      <c r="AC154" s="1" t="s">
        <v>20</v>
      </c>
      <c r="AD154" s="1">
        <v>27</v>
      </c>
      <c r="AE154" s="1">
        <v>21</v>
      </c>
      <c r="AF154" s="1">
        <v>0.8</v>
      </c>
      <c r="AG154" s="1">
        <v>0.88</v>
      </c>
      <c r="AH154" s="1">
        <v>0</v>
      </c>
      <c r="AI154" s="1">
        <v>0</v>
      </c>
      <c r="AJ154" s="1">
        <f t="shared" si="12"/>
        <v>0</v>
      </c>
      <c r="AK154" s="1">
        <f>E23</f>
        <v>0</v>
      </c>
      <c r="AL154" s="1">
        <f>E29</f>
        <v>0</v>
      </c>
      <c r="AM154" s="1">
        <f t="shared" si="13"/>
        <v>0</v>
      </c>
      <c r="AN154" s="1">
        <f t="shared" si="14"/>
        <v>0</v>
      </c>
      <c r="AO154" s="1">
        <f t="shared" si="15"/>
        <v>0</v>
      </c>
      <c r="AP154" t="b" cm="1">
        <f t="array" ref="AP154">INDEX($AU$8:$BB$25,6*(R154-1)+MATCH(AB154,$AS$8:$AS$13,0),MATCH(O154,$AU$7:$BB$7,0))</f>
        <v>1</v>
      </c>
    </row>
    <row r="155" spans="15:42" ht="14.25" x14ac:dyDescent="0.45">
      <c r="O155" s="43" t="s">
        <v>30</v>
      </c>
      <c r="P155" s="43">
        <v>1</v>
      </c>
      <c r="Q155" s="43">
        <v>7</v>
      </c>
      <c r="R155" s="43">
        <v>1</v>
      </c>
      <c r="S155" s="45"/>
      <c r="T155" t="b">
        <f>(S155+S156+S157)=O2</f>
        <v>0</v>
      </c>
      <c r="X155" s="1">
        <f t="shared" si="16"/>
        <v>0</v>
      </c>
      <c r="Y155" s="48">
        <v>0</v>
      </c>
      <c r="AA155" s="1">
        <v>9</v>
      </c>
      <c r="AB155" s="1" t="s">
        <v>14</v>
      </c>
      <c r="AC155" s="1" t="s">
        <v>20</v>
      </c>
      <c r="AD155" s="1">
        <v>17</v>
      </c>
      <c r="AE155" s="1">
        <v>13</v>
      </c>
      <c r="AF155" s="1">
        <v>0.8</v>
      </c>
      <c r="AG155" s="1">
        <v>0.88</v>
      </c>
      <c r="AH155" s="1">
        <v>0</v>
      </c>
      <c r="AI155" s="1">
        <v>0</v>
      </c>
      <c r="AJ155" s="1">
        <f t="shared" si="12"/>
        <v>0</v>
      </c>
      <c r="AK155" s="1">
        <f>C23</f>
        <v>0</v>
      </c>
      <c r="AL155" s="1">
        <f>C29</f>
        <v>0</v>
      </c>
      <c r="AM155" s="1">
        <f t="shared" si="13"/>
        <v>0</v>
      </c>
      <c r="AN155" s="1">
        <f t="shared" si="14"/>
        <v>0</v>
      </c>
      <c r="AO155" s="1">
        <f t="shared" si="15"/>
        <v>0</v>
      </c>
      <c r="AP155" t="b" cm="1">
        <f t="array" ref="AP155">INDEX($AU$8:$BB$25,6*(R155-1)+MATCH(AB155,$AS$8:$AS$13,0),MATCH(O155,$AU$7:$BB$7,0))</f>
        <v>1</v>
      </c>
    </row>
    <row r="156" spans="15:42" ht="14.25" x14ac:dyDescent="0.45">
      <c r="O156" s="43" t="s">
        <v>30</v>
      </c>
      <c r="P156" s="43">
        <v>1</v>
      </c>
      <c r="Q156" s="43">
        <v>7</v>
      </c>
      <c r="R156" s="43">
        <v>2</v>
      </c>
      <c r="S156" s="45"/>
      <c r="T156" t="b">
        <f>(S155+S156+S157)=O2</f>
        <v>0</v>
      </c>
      <c r="X156" s="1">
        <f t="shared" si="16"/>
        <v>0</v>
      </c>
      <c r="Y156" s="48">
        <v>0</v>
      </c>
      <c r="AA156" s="1">
        <v>9</v>
      </c>
      <c r="AB156" s="1" t="s">
        <v>14</v>
      </c>
      <c r="AC156" s="1" t="s">
        <v>20</v>
      </c>
      <c r="AD156" s="1">
        <v>17</v>
      </c>
      <c r="AE156" s="1">
        <v>13</v>
      </c>
      <c r="AF156" s="1">
        <v>0.8</v>
      </c>
      <c r="AG156" s="1">
        <v>0.88</v>
      </c>
      <c r="AH156" s="1">
        <v>0</v>
      </c>
      <c r="AI156" s="1">
        <v>0</v>
      </c>
      <c r="AJ156" s="1">
        <f t="shared" si="12"/>
        <v>0</v>
      </c>
      <c r="AK156" s="1">
        <f>D23</f>
        <v>0</v>
      </c>
      <c r="AL156" s="1">
        <f>D29</f>
        <v>0</v>
      </c>
      <c r="AM156" s="1">
        <f t="shared" si="13"/>
        <v>0</v>
      </c>
      <c r="AN156" s="1">
        <f t="shared" si="14"/>
        <v>0</v>
      </c>
      <c r="AO156" s="1">
        <f t="shared" si="15"/>
        <v>0</v>
      </c>
      <c r="AP156" t="b" cm="1">
        <f t="array" ref="AP156">INDEX($AU$8:$BB$25,6*(R156-1)+MATCH(AB156,$AS$8:$AS$13,0),MATCH(O156,$AU$7:$BB$7,0))</f>
        <v>1</v>
      </c>
    </row>
    <row r="157" spans="15:42" ht="14.25" x14ac:dyDescent="0.45">
      <c r="O157" s="43" t="s">
        <v>30</v>
      </c>
      <c r="P157" s="43">
        <v>1</v>
      </c>
      <c r="Q157" s="43">
        <v>7</v>
      </c>
      <c r="R157" s="43">
        <v>3</v>
      </c>
      <c r="S157" s="45"/>
      <c r="T157" t="b">
        <f>(S155+S156+S157)=O2</f>
        <v>0</v>
      </c>
      <c r="X157" s="1">
        <f t="shared" si="16"/>
        <v>0</v>
      </c>
      <c r="Y157" s="48">
        <v>0</v>
      </c>
      <c r="AA157" s="1">
        <v>9</v>
      </c>
      <c r="AB157" s="1" t="s">
        <v>14</v>
      </c>
      <c r="AC157" s="1" t="s">
        <v>20</v>
      </c>
      <c r="AD157" s="1">
        <v>17</v>
      </c>
      <c r="AE157" s="1">
        <v>13</v>
      </c>
      <c r="AF157" s="1">
        <v>0.8</v>
      </c>
      <c r="AG157" s="1">
        <v>0.88</v>
      </c>
      <c r="AH157" s="1">
        <v>0</v>
      </c>
      <c r="AI157" s="1">
        <v>0</v>
      </c>
      <c r="AJ157" s="1">
        <f t="shared" si="12"/>
        <v>0</v>
      </c>
      <c r="AK157" s="1">
        <f>E23</f>
        <v>0</v>
      </c>
      <c r="AL157" s="1">
        <f>E29</f>
        <v>0</v>
      </c>
      <c r="AM157" s="1">
        <f t="shared" si="13"/>
        <v>0</v>
      </c>
      <c r="AN157" s="1">
        <f t="shared" si="14"/>
        <v>0</v>
      </c>
      <c r="AO157" s="1">
        <f t="shared" si="15"/>
        <v>0</v>
      </c>
      <c r="AP157" t="b" cm="1">
        <f t="array" ref="AP157">INDEX($AU$8:$BB$25,6*(R157-1)+MATCH(AB157,$AS$8:$AS$13,0),MATCH(O157,$AU$7:$BB$7,0))</f>
        <v>1</v>
      </c>
    </row>
    <row r="158" spans="15:42" ht="14.25" x14ac:dyDescent="0.45">
      <c r="O158" s="43" t="s">
        <v>30</v>
      </c>
      <c r="P158" s="43">
        <v>1</v>
      </c>
      <c r="Q158" s="43">
        <v>8</v>
      </c>
      <c r="R158" s="43">
        <v>1</v>
      </c>
      <c r="S158" s="45"/>
      <c r="T158" t="b">
        <f>(S158+S159+S160)=O2</f>
        <v>0</v>
      </c>
      <c r="X158" s="1">
        <f t="shared" si="16"/>
        <v>0</v>
      </c>
      <c r="Y158" s="48">
        <v>0</v>
      </c>
      <c r="AA158" s="1">
        <v>1</v>
      </c>
      <c r="AB158" s="1" t="s">
        <v>10</v>
      </c>
      <c r="AC158" s="1" t="s">
        <v>17</v>
      </c>
      <c r="AD158" s="1">
        <v>18</v>
      </c>
      <c r="AE158" s="1">
        <v>16</v>
      </c>
      <c r="AF158" s="1">
        <v>0.78</v>
      </c>
      <c r="AG158" s="1">
        <v>0.84</v>
      </c>
      <c r="AH158" s="1">
        <v>0</v>
      </c>
      <c r="AI158" s="1">
        <v>0</v>
      </c>
      <c r="AJ158" s="1">
        <f t="shared" si="12"/>
        <v>0</v>
      </c>
      <c r="AK158" s="1">
        <f>C20</f>
        <v>0</v>
      </c>
      <c r="AL158" s="1">
        <f>C26</f>
        <v>0</v>
      </c>
      <c r="AM158" s="1">
        <f t="shared" si="13"/>
        <v>0</v>
      </c>
      <c r="AN158" s="1">
        <f t="shared" si="14"/>
        <v>0</v>
      </c>
      <c r="AO158" s="1">
        <f t="shared" si="15"/>
        <v>0</v>
      </c>
      <c r="AP158" t="b" cm="1">
        <f t="array" ref="AP158">INDEX($AU$8:$BB$25,6*(R158-1)+MATCH(AB158,$AS$8:$AS$13,0),MATCH(O158,$AU$7:$BB$7,0))</f>
        <v>1</v>
      </c>
    </row>
    <row r="159" spans="15:42" ht="14.25" x14ac:dyDescent="0.45">
      <c r="O159" s="43" t="s">
        <v>30</v>
      </c>
      <c r="P159" s="43">
        <v>1</v>
      </c>
      <c r="Q159" s="43">
        <v>8</v>
      </c>
      <c r="R159" s="43">
        <v>2</v>
      </c>
      <c r="S159" s="45"/>
      <c r="T159" t="b">
        <f>(S158+S159+S160)=O2</f>
        <v>0</v>
      </c>
      <c r="X159" s="1">
        <f t="shared" si="16"/>
        <v>0</v>
      </c>
      <c r="Y159" s="48">
        <v>0</v>
      </c>
      <c r="AA159" s="1">
        <v>1</v>
      </c>
      <c r="AB159" s="1" t="s">
        <v>10</v>
      </c>
      <c r="AC159" s="1" t="s">
        <v>17</v>
      </c>
      <c r="AD159" s="1">
        <v>18</v>
      </c>
      <c r="AE159" s="1">
        <v>16</v>
      </c>
      <c r="AF159" s="1">
        <v>0.78</v>
      </c>
      <c r="AG159" s="1">
        <v>0.84</v>
      </c>
      <c r="AH159" s="1">
        <v>0</v>
      </c>
      <c r="AI159" s="1">
        <v>0</v>
      </c>
      <c r="AJ159" s="1">
        <f t="shared" si="12"/>
        <v>0</v>
      </c>
      <c r="AK159" s="1">
        <f>D20</f>
        <v>0</v>
      </c>
      <c r="AL159" s="1">
        <f>D26</f>
        <v>0</v>
      </c>
      <c r="AM159" s="1">
        <f t="shared" si="13"/>
        <v>0</v>
      </c>
      <c r="AN159" s="1">
        <f t="shared" si="14"/>
        <v>0</v>
      </c>
      <c r="AO159" s="1">
        <f t="shared" si="15"/>
        <v>0</v>
      </c>
      <c r="AP159" t="b" cm="1">
        <f t="array" ref="AP159">INDEX($AU$8:$BB$25,6*(R159-1)+MATCH(AB159,$AS$8:$AS$13,0),MATCH(O159,$AU$7:$BB$7,0))</f>
        <v>1</v>
      </c>
    </row>
    <row r="160" spans="15:42" ht="14.25" x14ac:dyDescent="0.45">
      <c r="O160" s="43" t="s">
        <v>30</v>
      </c>
      <c r="P160" s="43">
        <v>1</v>
      </c>
      <c r="Q160" s="43">
        <v>8</v>
      </c>
      <c r="R160" s="43">
        <v>3</v>
      </c>
      <c r="S160" s="45"/>
      <c r="T160" t="b">
        <f>(S158+S159+S160)=O2</f>
        <v>0</v>
      </c>
      <c r="X160" s="1">
        <f t="shared" si="16"/>
        <v>0</v>
      </c>
      <c r="Y160" s="48">
        <v>0</v>
      </c>
      <c r="AA160" s="1">
        <v>1</v>
      </c>
      <c r="AB160" s="1" t="s">
        <v>10</v>
      </c>
      <c r="AC160" s="1" t="s">
        <v>17</v>
      </c>
      <c r="AD160" s="1">
        <v>18</v>
      </c>
      <c r="AE160" s="1">
        <v>16</v>
      </c>
      <c r="AF160" s="1">
        <v>0.78</v>
      </c>
      <c r="AG160" s="1">
        <v>0.84</v>
      </c>
      <c r="AH160" s="1">
        <v>0</v>
      </c>
      <c r="AI160" s="1">
        <v>0</v>
      </c>
      <c r="AJ160" s="1">
        <f t="shared" si="12"/>
        <v>0</v>
      </c>
      <c r="AK160" s="1">
        <f>E20</f>
        <v>0</v>
      </c>
      <c r="AL160" s="1">
        <f>E26</f>
        <v>0</v>
      </c>
      <c r="AM160" s="1">
        <f t="shared" si="13"/>
        <v>0</v>
      </c>
      <c r="AN160" s="1">
        <f t="shared" si="14"/>
        <v>0</v>
      </c>
      <c r="AO160" s="1">
        <f t="shared" si="15"/>
        <v>0</v>
      </c>
      <c r="AP160" t="b" cm="1">
        <f t="array" ref="AP160">INDEX($AU$8:$BB$25,6*(R160-1)+MATCH(AB160,$AS$8:$AS$13,0),MATCH(O160,$AU$7:$BB$7,0))</f>
        <v>1</v>
      </c>
    </row>
    <row r="161" spans="15:42" ht="14.25" x14ac:dyDescent="0.45">
      <c r="O161" s="43" t="s">
        <v>30</v>
      </c>
      <c r="P161" s="43">
        <v>1</v>
      </c>
      <c r="Q161" s="43">
        <v>9</v>
      </c>
      <c r="R161" s="43">
        <v>1</v>
      </c>
      <c r="S161" s="45"/>
      <c r="T161" t="b">
        <f>(S161+S162+S163)=O2</f>
        <v>0</v>
      </c>
      <c r="X161" s="1">
        <f t="shared" si="16"/>
        <v>0</v>
      </c>
      <c r="Y161" s="48">
        <v>0</v>
      </c>
      <c r="AA161" s="1">
        <v>2</v>
      </c>
      <c r="AB161" s="1" t="s">
        <v>10</v>
      </c>
      <c r="AC161" s="1" t="s">
        <v>17</v>
      </c>
      <c r="AD161" s="1">
        <v>16</v>
      </c>
      <c r="AE161" s="1">
        <v>13</v>
      </c>
      <c r="AF161" s="1">
        <v>0.78</v>
      </c>
      <c r="AG161" s="1">
        <v>0.84</v>
      </c>
      <c r="AH161" s="1">
        <v>0</v>
      </c>
      <c r="AI161" s="1">
        <v>0</v>
      </c>
      <c r="AJ161" s="1">
        <f t="shared" si="12"/>
        <v>0</v>
      </c>
      <c r="AK161" s="1">
        <f>C20</f>
        <v>0</v>
      </c>
      <c r="AL161" s="1">
        <f>C26</f>
        <v>0</v>
      </c>
      <c r="AM161" s="1">
        <f t="shared" si="13"/>
        <v>0</v>
      </c>
      <c r="AN161" s="1">
        <f t="shared" si="14"/>
        <v>0</v>
      </c>
      <c r="AO161" s="1">
        <f t="shared" si="15"/>
        <v>0</v>
      </c>
      <c r="AP161" t="b" cm="1">
        <f t="array" ref="AP161">INDEX($AU$8:$BB$25,6*(R161-1)+MATCH(AB161,$AS$8:$AS$13,0),MATCH(O161,$AU$7:$BB$7,0))</f>
        <v>1</v>
      </c>
    </row>
    <row r="162" spans="15:42" ht="14.25" x14ac:dyDescent="0.45">
      <c r="O162" s="43" t="s">
        <v>30</v>
      </c>
      <c r="P162" s="43">
        <v>1</v>
      </c>
      <c r="Q162" s="43">
        <v>9</v>
      </c>
      <c r="R162" s="43">
        <v>2</v>
      </c>
      <c r="S162" s="45"/>
      <c r="T162" t="b">
        <f>(S161+S162+S163)=O2</f>
        <v>0</v>
      </c>
      <c r="X162" s="1">
        <f t="shared" si="16"/>
        <v>0</v>
      </c>
      <c r="Y162" s="48">
        <v>0</v>
      </c>
      <c r="AA162" s="1">
        <v>2</v>
      </c>
      <c r="AB162" s="1" t="s">
        <v>10</v>
      </c>
      <c r="AC162" s="1" t="s">
        <v>17</v>
      </c>
      <c r="AD162" s="1">
        <v>16</v>
      </c>
      <c r="AE162" s="1">
        <v>13</v>
      </c>
      <c r="AF162" s="1">
        <v>0.78</v>
      </c>
      <c r="AG162" s="1">
        <v>0.84</v>
      </c>
      <c r="AH162" s="1">
        <v>0</v>
      </c>
      <c r="AI162" s="1">
        <v>0</v>
      </c>
      <c r="AJ162" s="1">
        <f t="shared" si="12"/>
        <v>0</v>
      </c>
      <c r="AK162" s="1">
        <f>D20</f>
        <v>0</v>
      </c>
      <c r="AL162" s="1">
        <f>D26</f>
        <v>0</v>
      </c>
      <c r="AM162" s="1">
        <f t="shared" si="13"/>
        <v>0</v>
      </c>
      <c r="AN162" s="1">
        <f t="shared" si="14"/>
        <v>0</v>
      </c>
      <c r="AO162" s="1">
        <f t="shared" si="15"/>
        <v>0</v>
      </c>
      <c r="AP162" t="b" cm="1">
        <f t="array" ref="AP162">INDEX($AU$8:$BB$25,6*(R162-1)+MATCH(AB162,$AS$8:$AS$13,0),MATCH(O162,$AU$7:$BB$7,0))</f>
        <v>1</v>
      </c>
    </row>
    <row r="163" spans="15:42" ht="14.25" x14ac:dyDescent="0.45">
      <c r="O163" s="43" t="s">
        <v>30</v>
      </c>
      <c r="P163" s="43">
        <v>1</v>
      </c>
      <c r="Q163" s="43">
        <v>9</v>
      </c>
      <c r="R163" s="43">
        <v>3</v>
      </c>
      <c r="S163" s="45"/>
      <c r="T163" t="b">
        <f>(S161+S162+S163)=O2</f>
        <v>0</v>
      </c>
      <c r="X163" s="1">
        <f t="shared" si="16"/>
        <v>0</v>
      </c>
      <c r="Y163" s="48">
        <v>0</v>
      </c>
      <c r="AA163" s="1">
        <v>2</v>
      </c>
      <c r="AB163" s="1" t="s">
        <v>10</v>
      </c>
      <c r="AC163" s="1" t="s">
        <v>17</v>
      </c>
      <c r="AD163" s="1">
        <v>16</v>
      </c>
      <c r="AE163" s="1">
        <v>13</v>
      </c>
      <c r="AF163" s="1">
        <v>0.78</v>
      </c>
      <c r="AG163" s="1">
        <v>0.84</v>
      </c>
      <c r="AH163" s="1">
        <v>0</v>
      </c>
      <c r="AI163" s="1">
        <v>0</v>
      </c>
      <c r="AJ163" s="1">
        <f t="shared" si="12"/>
        <v>0</v>
      </c>
      <c r="AK163" s="1">
        <f>E20</f>
        <v>0</v>
      </c>
      <c r="AL163" s="1">
        <f>E26</f>
        <v>0</v>
      </c>
      <c r="AM163" s="1">
        <f t="shared" si="13"/>
        <v>0</v>
      </c>
      <c r="AN163" s="1">
        <f t="shared" si="14"/>
        <v>0</v>
      </c>
      <c r="AO163" s="1">
        <f t="shared" si="15"/>
        <v>0</v>
      </c>
      <c r="AP163" t="b" cm="1">
        <f t="array" ref="AP163">INDEX($AU$8:$BB$25,6*(R163-1)+MATCH(AB163,$AS$8:$AS$13,0),MATCH(O163,$AU$7:$BB$7,0))</f>
        <v>1</v>
      </c>
    </row>
    <row r="164" spans="15:42" ht="14.25" x14ac:dyDescent="0.45">
      <c r="O164" s="43" t="s">
        <v>30</v>
      </c>
      <c r="P164" s="43">
        <v>1</v>
      </c>
      <c r="Q164" s="43">
        <v>10</v>
      </c>
      <c r="R164" s="43">
        <v>1</v>
      </c>
      <c r="S164" s="45"/>
      <c r="T164" t="b">
        <f>(S164+S165+S166)=O2</f>
        <v>0</v>
      </c>
      <c r="X164" s="1">
        <f t="shared" si="16"/>
        <v>0</v>
      </c>
      <c r="Y164" s="48">
        <v>0</v>
      </c>
      <c r="AA164" s="1">
        <v>6</v>
      </c>
      <c r="AB164" s="1" t="s">
        <v>14</v>
      </c>
      <c r="AC164" s="1" t="s">
        <v>20</v>
      </c>
      <c r="AD164" s="1">
        <v>14</v>
      </c>
      <c r="AE164" s="1">
        <v>11</v>
      </c>
      <c r="AF164" s="1">
        <v>0.8</v>
      </c>
      <c r="AG164" s="1">
        <v>0.88</v>
      </c>
      <c r="AH164" s="1">
        <v>0</v>
      </c>
      <c r="AI164" s="1">
        <v>0</v>
      </c>
      <c r="AJ164" s="1">
        <f t="shared" si="12"/>
        <v>0</v>
      </c>
      <c r="AK164" s="1">
        <f>C23</f>
        <v>0</v>
      </c>
      <c r="AL164" s="1">
        <f>C29</f>
        <v>0</v>
      </c>
      <c r="AM164" s="1">
        <f t="shared" si="13"/>
        <v>0</v>
      </c>
      <c r="AN164" s="1">
        <f t="shared" si="14"/>
        <v>0</v>
      </c>
      <c r="AO164" s="1">
        <f t="shared" si="15"/>
        <v>0</v>
      </c>
      <c r="AP164" t="b" cm="1">
        <f t="array" ref="AP164">INDEX($AU$8:$BB$25,6*(R164-1)+MATCH(AB164,$AS$8:$AS$13,0),MATCH(O164,$AU$7:$BB$7,0))</f>
        <v>1</v>
      </c>
    </row>
    <row r="165" spans="15:42" ht="14.25" x14ac:dyDescent="0.45">
      <c r="O165" s="43" t="s">
        <v>30</v>
      </c>
      <c r="P165" s="43">
        <v>1</v>
      </c>
      <c r="Q165" s="43">
        <v>10</v>
      </c>
      <c r="R165" s="43">
        <v>2</v>
      </c>
      <c r="S165" s="45"/>
      <c r="T165" t="b">
        <f>(S164+S165+S166)=O2</f>
        <v>0</v>
      </c>
      <c r="X165" s="1">
        <f t="shared" si="16"/>
        <v>0</v>
      </c>
      <c r="Y165" s="48">
        <v>0</v>
      </c>
      <c r="AA165" s="1">
        <v>6</v>
      </c>
      <c r="AB165" s="1" t="s">
        <v>14</v>
      </c>
      <c r="AC165" s="1" t="s">
        <v>20</v>
      </c>
      <c r="AD165" s="1">
        <v>14</v>
      </c>
      <c r="AE165" s="1">
        <v>11</v>
      </c>
      <c r="AF165" s="1">
        <v>0.8</v>
      </c>
      <c r="AG165" s="1">
        <v>0.88</v>
      </c>
      <c r="AH165" s="1">
        <v>0</v>
      </c>
      <c r="AI165" s="1">
        <v>0</v>
      </c>
      <c r="AJ165" s="1">
        <f t="shared" si="12"/>
        <v>0</v>
      </c>
      <c r="AK165" s="1">
        <f>D23</f>
        <v>0</v>
      </c>
      <c r="AL165" s="1">
        <f>D29</f>
        <v>0</v>
      </c>
      <c r="AM165" s="1">
        <f t="shared" si="13"/>
        <v>0</v>
      </c>
      <c r="AN165" s="1">
        <f t="shared" si="14"/>
        <v>0</v>
      </c>
      <c r="AO165" s="1">
        <f t="shared" si="15"/>
        <v>0</v>
      </c>
      <c r="AP165" t="b" cm="1">
        <f t="array" ref="AP165">INDEX($AU$8:$BB$25,6*(R165-1)+MATCH(AB165,$AS$8:$AS$13,0),MATCH(O165,$AU$7:$BB$7,0))</f>
        <v>1</v>
      </c>
    </row>
    <row r="166" spans="15:42" ht="14.25" x14ac:dyDescent="0.45">
      <c r="O166" s="43" t="s">
        <v>30</v>
      </c>
      <c r="P166" s="43">
        <v>1</v>
      </c>
      <c r="Q166" s="43">
        <v>10</v>
      </c>
      <c r="R166" s="43">
        <v>3</v>
      </c>
      <c r="S166" s="45"/>
      <c r="T166" t="b">
        <f>(S164+S165+S166)=O2</f>
        <v>0</v>
      </c>
      <c r="X166" s="1">
        <f t="shared" si="16"/>
        <v>0</v>
      </c>
      <c r="Y166" s="48">
        <v>0</v>
      </c>
      <c r="AA166" s="1">
        <v>6</v>
      </c>
      <c r="AB166" s="1" t="s">
        <v>14</v>
      </c>
      <c r="AC166" s="1" t="s">
        <v>20</v>
      </c>
      <c r="AD166" s="1">
        <v>14</v>
      </c>
      <c r="AE166" s="1">
        <v>11</v>
      </c>
      <c r="AF166" s="1">
        <v>0.8</v>
      </c>
      <c r="AG166" s="1">
        <v>0.88</v>
      </c>
      <c r="AH166" s="1">
        <v>0</v>
      </c>
      <c r="AI166" s="1">
        <v>0</v>
      </c>
      <c r="AJ166" s="1">
        <f t="shared" si="12"/>
        <v>0</v>
      </c>
      <c r="AK166" s="1">
        <f>E23</f>
        <v>0</v>
      </c>
      <c r="AL166" s="1">
        <f>E29</f>
        <v>0</v>
      </c>
      <c r="AM166" s="1">
        <f t="shared" si="13"/>
        <v>0</v>
      </c>
      <c r="AN166" s="1">
        <f t="shared" si="14"/>
        <v>0</v>
      </c>
      <c r="AO166" s="1">
        <f t="shared" si="15"/>
        <v>0</v>
      </c>
      <c r="AP166" t="b" cm="1">
        <f t="array" ref="AP166">INDEX($AU$8:$BB$25,6*(R166-1)+MATCH(AB166,$AS$8:$AS$13,0),MATCH(O166,$AU$7:$BB$7,0))</f>
        <v>1</v>
      </c>
    </row>
    <row r="167" spans="15:42" ht="14.25" x14ac:dyDescent="0.45">
      <c r="O167" s="43" t="s">
        <v>30</v>
      </c>
      <c r="P167" s="43">
        <v>1</v>
      </c>
      <c r="Q167" s="43">
        <v>11</v>
      </c>
      <c r="R167" s="43">
        <v>1</v>
      </c>
      <c r="S167" s="45"/>
      <c r="T167" t="b">
        <f>(S167+S168+S169)=O2</f>
        <v>0</v>
      </c>
      <c r="X167" s="1">
        <f t="shared" si="16"/>
        <v>0</v>
      </c>
      <c r="Y167" s="48">
        <v>0</v>
      </c>
      <c r="AA167" s="1">
        <v>3</v>
      </c>
      <c r="AB167" s="1" t="s">
        <v>16</v>
      </c>
      <c r="AC167" s="1" t="s">
        <v>22</v>
      </c>
      <c r="AD167" s="1">
        <v>18</v>
      </c>
      <c r="AE167" s="1">
        <v>16</v>
      </c>
      <c r="AF167" s="1">
        <v>0.8</v>
      </c>
      <c r="AG167" s="1">
        <v>0.9</v>
      </c>
      <c r="AH167" s="1">
        <v>0</v>
      </c>
      <c r="AI167" s="1">
        <v>0</v>
      </c>
      <c r="AJ167" s="1">
        <f t="shared" si="12"/>
        <v>0</v>
      </c>
      <c r="AK167" s="1">
        <f>C25</f>
        <v>0</v>
      </c>
      <c r="AL167" s="1">
        <f>C31</f>
        <v>0</v>
      </c>
      <c r="AM167" s="1">
        <f t="shared" si="13"/>
        <v>0</v>
      </c>
      <c r="AN167" s="1">
        <f t="shared" si="14"/>
        <v>0</v>
      </c>
      <c r="AO167" s="1">
        <f t="shared" si="15"/>
        <v>0</v>
      </c>
      <c r="AP167" t="b" cm="1">
        <f t="array" ref="AP167">INDEX($AU$8:$BB$25,6*(R167-1)+MATCH(AB167,$AS$8:$AS$13,0),MATCH(O167,$AU$7:$BB$7,0))</f>
        <v>1</v>
      </c>
    </row>
    <row r="168" spans="15:42" ht="14.25" x14ac:dyDescent="0.45">
      <c r="O168" s="43" t="s">
        <v>30</v>
      </c>
      <c r="P168" s="43">
        <v>1</v>
      </c>
      <c r="Q168" s="43">
        <v>11</v>
      </c>
      <c r="R168" s="43">
        <v>2</v>
      </c>
      <c r="S168" s="45"/>
      <c r="T168" t="b">
        <f>(S167+S168+S169)=O2</f>
        <v>0</v>
      </c>
      <c r="X168" s="1">
        <f t="shared" si="16"/>
        <v>0</v>
      </c>
      <c r="Y168" s="48">
        <v>0</v>
      </c>
      <c r="AA168" s="1">
        <v>3</v>
      </c>
      <c r="AB168" s="1" t="s">
        <v>16</v>
      </c>
      <c r="AC168" s="1" t="s">
        <v>22</v>
      </c>
      <c r="AD168" s="1">
        <v>18</v>
      </c>
      <c r="AE168" s="1">
        <v>16</v>
      </c>
      <c r="AF168" s="1">
        <v>0.8</v>
      </c>
      <c r="AG168" s="1">
        <v>0.9</v>
      </c>
      <c r="AH168" s="1">
        <v>0</v>
      </c>
      <c r="AI168" s="1">
        <v>0</v>
      </c>
      <c r="AJ168" s="1">
        <f t="shared" si="12"/>
        <v>0</v>
      </c>
      <c r="AK168" s="1">
        <f>D25</f>
        <v>0</v>
      </c>
      <c r="AL168" s="1">
        <f>D31</f>
        <v>0</v>
      </c>
      <c r="AM168" s="1">
        <f t="shared" si="13"/>
        <v>0</v>
      </c>
      <c r="AN168" s="1">
        <f t="shared" si="14"/>
        <v>0</v>
      </c>
      <c r="AO168" s="1">
        <f t="shared" si="15"/>
        <v>0</v>
      </c>
      <c r="AP168" t="b" cm="1">
        <f t="array" ref="AP168">INDEX($AU$8:$BB$25,6*(R168-1)+MATCH(AB168,$AS$8:$AS$13,0),MATCH(O168,$AU$7:$BB$7,0))</f>
        <v>1</v>
      </c>
    </row>
    <row r="169" spans="15:42" ht="14.25" x14ac:dyDescent="0.45">
      <c r="O169" s="43" t="s">
        <v>30</v>
      </c>
      <c r="P169" s="43">
        <v>1</v>
      </c>
      <c r="Q169" s="43">
        <v>11</v>
      </c>
      <c r="R169" s="43">
        <v>3</v>
      </c>
      <c r="S169" s="45"/>
      <c r="T169" t="b">
        <f>(S167+S168+S169)=O2</f>
        <v>0</v>
      </c>
      <c r="X169" s="1">
        <f t="shared" si="16"/>
        <v>0</v>
      </c>
      <c r="Y169" s="48">
        <v>0</v>
      </c>
      <c r="AA169" s="1">
        <v>3</v>
      </c>
      <c r="AB169" s="1" t="s">
        <v>16</v>
      </c>
      <c r="AC169" s="1" t="s">
        <v>22</v>
      </c>
      <c r="AD169" s="1">
        <v>18</v>
      </c>
      <c r="AE169" s="1">
        <v>16</v>
      </c>
      <c r="AF169" s="1">
        <v>0.8</v>
      </c>
      <c r="AG169" s="1">
        <v>0.9</v>
      </c>
      <c r="AH169" s="1">
        <v>0</v>
      </c>
      <c r="AI169" s="1">
        <v>0</v>
      </c>
      <c r="AJ169" s="1">
        <f t="shared" si="12"/>
        <v>0</v>
      </c>
      <c r="AK169" s="1">
        <f>E25</f>
        <v>0</v>
      </c>
      <c r="AL169" s="1">
        <f>E31</f>
        <v>0</v>
      </c>
      <c r="AM169" s="1">
        <f t="shared" si="13"/>
        <v>0</v>
      </c>
      <c r="AN169" s="1">
        <f t="shared" si="14"/>
        <v>0</v>
      </c>
      <c r="AO169" s="1">
        <f t="shared" si="15"/>
        <v>0</v>
      </c>
      <c r="AP169" t="b" cm="1">
        <f t="array" ref="AP169">INDEX($AU$8:$BB$25,6*(R169-1)+MATCH(AB169,$AS$8:$AS$13,0),MATCH(O169,$AU$7:$BB$7,0))</f>
        <v>1</v>
      </c>
    </row>
    <row r="170" spans="15:42" ht="14.25" x14ac:dyDescent="0.45">
      <c r="O170" s="43" t="s">
        <v>30</v>
      </c>
      <c r="P170" s="43">
        <v>2</v>
      </c>
      <c r="Q170" s="43">
        <v>1</v>
      </c>
      <c r="R170" s="43">
        <v>1</v>
      </c>
      <c r="S170" s="45"/>
      <c r="T170" t="b">
        <f>(S170+S171+S172)=O3</f>
        <v>0</v>
      </c>
      <c r="X170" s="1">
        <v>0</v>
      </c>
      <c r="Y170" s="48">
        <v>0</v>
      </c>
      <c r="AA170" s="1">
        <v>9</v>
      </c>
      <c r="AB170" s="1" t="s">
        <v>16</v>
      </c>
      <c r="AC170" s="1" t="s">
        <v>22</v>
      </c>
      <c r="AD170" s="1">
        <v>19</v>
      </c>
      <c r="AE170" s="1">
        <v>16</v>
      </c>
      <c r="AF170" s="1">
        <v>0.8</v>
      </c>
      <c r="AG170" s="1">
        <v>0.9</v>
      </c>
      <c r="AH170" s="1">
        <v>0</v>
      </c>
      <c r="AI170" s="1">
        <v>0</v>
      </c>
      <c r="AJ170" s="1">
        <f t="shared" si="12"/>
        <v>0</v>
      </c>
      <c r="AK170" s="1">
        <f>C25</f>
        <v>0</v>
      </c>
      <c r="AL170" s="1">
        <f>C31</f>
        <v>0</v>
      </c>
      <c r="AM170" s="1">
        <f t="shared" si="13"/>
        <v>0</v>
      </c>
      <c r="AN170" s="1">
        <f t="shared" si="14"/>
        <v>0</v>
      </c>
      <c r="AO170" s="1">
        <f t="shared" si="15"/>
        <v>0</v>
      </c>
      <c r="AP170" t="b" cm="1">
        <f t="array" ref="AP170">INDEX($AU$8:$BB$25,6*(R170-1)+MATCH(AB170,$AS$8:$AS$13,0),MATCH(O170,$AU$7:$BB$7,0))</f>
        <v>1</v>
      </c>
    </row>
    <row r="171" spans="15:42" ht="14.25" x14ac:dyDescent="0.45">
      <c r="O171" s="43" t="s">
        <v>30</v>
      </c>
      <c r="P171" s="43">
        <v>2</v>
      </c>
      <c r="Q171" s="43">
        <v>1</v>
      </c>
      <c r="R171" s="43">
        <v>2</v>
      </c>
      <c r="S171" s="45"/>
      <c r="T171" t="b">
        <f>(S170+S171+S172)=O3</f>
        <v>0</v>
      </c>
      <c r="X171" s="1">
        <v>0</v>
      </c>
      <c r="Y171" s="48">
        <v>0</v>
      </c>
      <c r="AA171" s="1">
        <v>9</v>
      </c>
      <c r="AB171" s="1" t="s">
        <v>16</v>
      </c>
      <c r="AC171" s="1" t="s">
        <v>22</v>
      </c>
      <c r="AD171" s="1">
        <v>19</v>
      </c>
      <c r="AE171" s="1">
        <v>16</v>
      </c>
      <c r="AF171" s="1">
        <v>0.8</v>
      </c>
      <c r="AG171" s="1">
        <v>0.9</v>
      </c>
      <c r="AH171" s="1">
        <v>0</v>
      </c>
      <c r="AI171" s="1">
        <v>0</v>
      </c>
      <c r="AJ171" s="1">
        <f t="shared" si="12"/>
        <v>0</v>
      </c>
      <c r="AK171" s="1">
        <f>D25</f>
        <v>0</v>
      </c>
      <c r="AL171" s="1">
        <f>D31</f>
        <v>0</v>
      </c>
      <c r="AM171" s="1">
        <f t="shared" si="13"/>
        <v>0</v>
      </c>
      <c r="AN171" s="1">
        <f t="shared" si="14"/>
        <v>0</v>
      </c>
      <c r="AO171" s="1">
        <f t="shared" si="15"/>
        <v>0</v>
      </c>
      <c r="AP171" t="b" cm="1">
        <f t="array" ref="AP171">INDEX($AU$8:$BB$25,6*(R171-1)+MATCH(AB171,$AS$8:$AS$13,0),MATCH(O171,$AU$7:$BB$7,0))</f>
        <v>1</v>
      </c>
    </row>
    <row r="172" spans="15:42" ht="14.25" x14ac:dyDescent="0.45">
      <c r="O172" s="43" t="s">
        <v>30</v>
      </c>
      <c r="P172" s="43">
        <v>2</v>
      </c>
      <c r="Q172" s="43">
        <v>1</v>
      </c>
      <c r="R172" s="43">
        <v>3</v>
      </c>
      <c r="S172" s="45"/>
      <c r="T172" t="b">
        <f>(S170+S171+S172)=O3</f>
        <v>0</v>
      </c>
      <c r="X172" s="1">
        <v>0</v>
      </c>
      <c r="Y172" s="48">
        <v>0</v>
      </c>
      <c r="AA172" s="1">
        <v>9</v>
      </c>
      <c r="AB172" s="1" t="s">
        <v>16</v>
      </c>
      <c r="AC172" s="1" t="s">
        <v>22</v>
      </c>
      <c r="AD172" s="1">
        <v>19</v>
      </c>
      <c r="AE172" s="1">
        <v>16</v>
      </c>
      <c r="AF172" s="1">
        <v>0.8</v>
      </c>
      <c r="AG172" s="1">
        <v>0.9</v>
      </c>
      <c r="AH172" s="1">
        <v>0</v>
      </c>
      <c r="AI172" s="1">
        <v>0</v>
      </c>
      <c r="AJ172" s="1">
        <f t="shared" si="12"/>
        <v>0</v>
      </c>
      <c r="AK172" s="1">
        <f>E25</f>
        <v>0</v>
      </c>
      <c r="AL172" s="1">
        <f>E31</f>
        <v>0</v>
      </c>
      <c r="AM172" s="1">
        <f t="shared" si="13"/>
        <v>0</v>
      </c>
      <c r="AN172" s="1">
        <f t="shared" si="14"/>
        <v>0</v>
      </c>
      <c r="AO172" s="1">
        <f t="shared" si="15"/>
        <v>0</v>
      </c>
      <c r="AP172" t="b" cm="1">
        <f t="array" ref="AP172">INDEX($AU$8:$BB$25,6*(R172-1)+MATCH(AB172,$AS$8:$AS$13,0),MATCH(O172,$AU$7:$BB$7,0))</f>
        <v>1</v>
      </c>
    </row>
    <row r="173" spans="15:42" ht="14.25" x14ac:dyDescent="0.45">
      <c r="O173" s="43" t="s">
        <v>30</v>
      </c>
      <c r="P173" s="43">
        <v>2</v>
      </c>
      <c r="Q173" s="43">
        <v>2</v>
      </c>
      <c r="R173" s="43">
        <v>1</v>
      </c>
      <c r="S173" s="45"/>
      <c r="T173" t="b">
        <f>(S173+S174+S175)=O3</f>
        <v>0</v>
      </c>
      <c r="X173" s="1">
        <f t="shared" ref="X173:X214" si="17">MAX(S170-S173,0)</f>
        <v>0</v>
      </c>
      <c r="Y173" s="48">
        <v>0</v>
      </c>
      <c r="AA173" s="1">
        <v>1</v>
      </c>
      <c r="AB173" s="1" t="s">
        <v>12</v>
      </c>
      <c r="AC173" s="1" t="s">
        <v>18</v>
      </c>
      <c r="AD173" s="1">
        <v>20</v>
      </c>
      <c r="AE173" s="1">
        <v>18</v>
      </c>
      <c r="AF173" s="1">
        <v>0.76</v>
      </c>
      <c r="AG173" s="1">
        <v>0.81</v>
      </c>
      <c r="AH173" s="1">
        <v>0</v>
      </c>
      <c r="AI173" s="1">
        <v>0</v>
      </c>
      <c r="AJ173" s="1">
        <f t="shared" si="12"/>
        <v>0</v>
      </c>
      <c r="AK173" s="1">
        <f>C21</f>
        <v>0</v>
      </c>
      <c r="AL173" s="1">
        <f>C27</f>
        <v>0</v>
      </c>
      <c r="AM173" s="1">
        <f t="shared" si="13"/>
        <v>0</v>
      </c>
      <c r="AN173" s="1">
        <f t="shared" si="14"/>
        <v>0</v>
      </c>
      <c r="AO173" s="1">
        <f t="shared" si="15"/>
        <v>0</v>
      </c>
      <c r="AP173" t="b" cm="1">
        <f t="array" ref="AP173">INDEX($AU$8:$BB$25,6*(R173-1)+MATCH(AB173,$AS$8:$AS$13,0),MATCH(O173,$AU$7:$BB$7,0))</f>
        <v>1</v>
      </c>
    </row>
    <row r="174" spans="15:42" ht="14.25" x14ac:dyDescent="0.45">
      <c r="O174" s="43" t="s">
        <v>30</v>
      </c>
      <c r="P174" s="43">
        <v>2</v>
      </c>
      <c r="Q174" s="43">
        <v>2</v>
      </c>
      <c r="R174" s="43">
        <v>2</v>
      </c>
      <c r="S174" s="45"/>
      <c r="T174" t="b">
        <f>(S173+S174+S175)=O3</f>
        <v>0</v>
      </c>
      <c r="X174" s="1">
        <f t="shared" si="17"/>
        <v>0</v>
      </c>
      <c r="Y174" s="48">
        <v>0</v>
      </c>
      <c r="AA174" s="1">
        <v>1</v>
      </c>
      <c r="AB174" s="1" t="s">
        <v>12</v>
      </c>
      <c r="AC174" s="1" t="s">
        <v>18</v>
      </c>
      <c r="AD174" s="1">
        <v>20</v>
      </c>
      <c r="AE174" s="1">
        <v>18</v>
      </c>
      <c r="AF174" s="1">
        <v>0.76</v>
      </c>
      <c r="AG174" s="1">
        <v>0.81</v>
      </c>
      <c r="AH174" s="1">
        <v>0</v>
      </c>
      <c r="AI174" s="1">
        <v>0</v>
      </c>
      <c r="AJ174" s="1">
        <f t="shared" si="12"/>
        <v>0</v>
      </c>
      <c r="AK174" s="1">
        <f>D21</f>
        <v>0</v>
      </c>
      <c r="AL174" s="1">
        <f>D27</f>
        <v>0</v>
      </c>
      <c r="AM174" s="1">
        <f t="shared" si="13"/>
        <v>0</v>
      </c>
      <c r="AN174" s="1">
        <f t="shared" si="14"/>
        <v>0</v>
      </c>
      <c r="AO174" s="1">
        <f t="shared" si="15"/>
        <v>0</v>
      </c>
      <c r="AP174" t="b" cm="1">
        <f t="array" ref="AP174">INDEX($AU$8:$BB$25,6*(R174-1)+MATCH(AB174,$AS$8:$AS$13,0),MATCH(O174,$AU$7:$BB$7,0))</f>
        <v>1</v>
      </c>
    </row>
    <row r="175" spans="15:42" ht="14.25" x14ac:dyDescent="0.45">
      <c r="O175" s="43" t="s">
        <v>30</v>
      </c>
      <c r="P175" s="43">
        <v>2</v>
      </c>
      <c r="Q175" s="43">
        <v>2</v>
      </c>
      <c r="R175" s="43">
        <v>3</v>
      </c>
      <c r="S175" s="45"/>
      <c r="T175" t="b">
        <f>(S173+S174+S175)=O3</f>
        <v>0</v>
      </c>
      <c r="X175" s="1">
        <f t="shared" si="17"/>
        <v>0</v>
      </c>
      <c r="Y175" s="48">
        <v>0</v>
      </c>
      <c r="AA175" s="1">
        <v>1</v>
      </c>
      <c r="AB175" s="1" t="s">
        <v>12</v>
      </c>
      <c r="AC175" s="1" t="s">
        <v>18</v>
      </c>
      <c r="AD175" s="1">
        <v>20</v>
      </c>
      <c r="AE175" s="1">
        <v>18</v>
      </c>
      <c r="AF175" s="1">
        <v>0.76</v>
      </c>
      <c r="AG175" s="1">
        <v>0.81</v>
      </c>
      <c r="AH175" s="1">
        <v>0</v>
      </c>
      <c r="AI175" s="1">
        <v>0</v>
      </c>
      <c r="AJ175" s="1">
        <f t="shared" si="12"/>
        <v>0</v>
      </c>
      <c r="AK175" s="1">
        <f>E21</f>
        <v>0</v>
      </c>
      <c r="AL175" s="1">
        <f>E27</f>
        <v>0</v>
      </c>
      <c r="AM175" s="1">
        <f t="shared" si="13"/>
        <v>0</v>
      </c>
      <c r="AN175" s="1">
        <f t="shared" si="14"/>
        <v>0</v>
      </c>
      <c r="AO175" s="1">
        <f t="shared" si="15"/>
        <v>0</v>
      </c>
      <c r="AP175" t="b" cm="1">
        <f t="array" ref="AP175">INDEX($AU$8:$BB$25,6*(R175-1)+MATCH(AB175,$AS$8:$AS$13,0),MATCH(O175,$AU$7:$BB$7,0))</f>
        <v>1</v>
      </c>
    </row>
    <row r="176" spans="15:42" ht="14.25" x14ac:dyDescent="0.45">
      <c r="O176" s="43" t="s">
        <v>30</v>
      </c>
      <c r="P176" s="43">
        <v>2</v>
      </c>
      <c r="Q176" s="43">
        <v>3</v>
      </c>
      <c r="R176" s="43">
        <v>1</v>
      </c>
      <c r="S176" s="45"/>
      <c r="T176" t="b">
        <f>(S176+S177+S178)=O3</f>
        <v>0</v>
      </c>
      <c r="X176" s="1">
        <f t="shared" si="17"/>
        <v>0</v>
      </c>
      <c r="Y176" s="48">
        <v>0</v>
      </c>
      <c r="AA176" s="1">
        <v>11</v>
      </c>
      <c r="AB176" s="1" t="s">
        <v>15</v>
      </c>
      <c r="AC176" s="1" t="s">
        <v>21</v>
      </c>
      <c r="AD176" s="1">
        <v>10</v>
      </c>
      <c r="AE176" s="1">
        <v>7</v>
      </c>
      <c r="AF176" s="1">
        <v>0.76</v>
      </c>
      <c r="AG176" s="1">
        <v>0.84</v>
      </c>
      <c r="AH176" s="1">
        <v>0</v>
      </c>
      <c r="AI176" s="1">
        <v>0</v>
      </c>
      <c r="AJ176" s="1">
        <f t="shared" si="12"/>
        <v>0</v>
      </c>
      <c r="AK176" s="1">
        <f>C24</f>
        <v>0</v>
      </c>
      <c r="AL176" s="1">
        <f>C30</f>
        <v>0</v>
      </c>
      <c r="AM176" s="1">
        <f t="shared" si="13"/>
        <v>0</v>
      </c>
      <c r="AN176" s="1">
        <f t="shared" si="14"/>
        <v>0</v>
      </c>
      <c r="AO176" s="1">
        <f t="shared" si="15"/>
        <v>0</v>
      </c>
      <c r="AP176" t="b" cm="1">
        <f t="array" ref="AP176">INDEX($AU$8:$BB$25,6*(R176-1)+MATCH(AB176,$AS$8:$AS$13,0),MATCH(O176,$AU$7:$BB$7,0))</f>
        <v>1</v>
      </c>
    </row>
    <row r="177" spans="15:42" ht="14.25" x14ac:dyDescent="0.45">
      <c r="O177" s="43" t="s">
        <v>30</v>
      </c>
      <c r="P177" s="43">
        <v>2</v>
      </c>
      <c r="Q177" s="43">
        <v>3</v>
      </c>
      <c r="R177" s="43">
        <v>2</v>
      </c>
      <c r="S177" s="45"/>
      <c r="T177" t="b">
        <f>(S176+S177+S178)=O3</f>
        <v>0</v>
      </c>
      <c r="X177" s="1">
        <f t="shared" si="17"/>
        <v>0</v>
      </c>
      <c r="Y177" s="48">
        <v>0</v>
      </c>
      <c r="AA177" s="1">
        <v>11</v>
      </c>
      <c r="AB177" s="1" t="s">
        <v>15</v>
      </c>
      <c r="AC177" s="1" t="s">
        <v>21</v>
      </c>
      <c r="AD177" s="1">
        <v>10</v>
      </c>
      <c r="AE177" s="1">
        <v>7</v>
      </c>
      <c r="AF177" s="1">
        <v>0.76</v>
      </c>
      <c r="AG177" s="1">
        <v>0.84</v>
      </c>
      <c r="AH177" s="1">
        <v>0</v>
      </c>
      <c r="AI177" s="1">
        <v>0</v>
      </c>
      <c r="AJ177" s="1">
        <f t="shared" si="12"/>
        <v>0</v>
      </c>
      <c r="AK177" s="1">
        <f>D24</f>
        <v>0</v>
      </c>
      <c r="AL177" s="1">
        <f>D30</f>
        <v>0</v>
      </c>
      <c r="AM177" s="1">
        <f t="shared" si="13"/>
        <v>0</v>
      </c>
      <c r="AN177" s="1">
        <f t="shared" si="14"/>
        <v>0</v>
      </c>
      <c r="AO177" s="1">
        <f t="shared" si="15"/>
        <v>0</v>
      </c>
      <c r="AP177" t="b" cm="1">
        <f t="array" ref="AP177">INDEX($AU$8:$BB$25,6*(R177-1)+MATCH(AB177,$AS$8:$AS$13,0),MATCH(O177,$AU$7:$BB$7,0))</f>
        <v>1</v>
      </c>
    </row>
    <row r="178" spans="15:42" ht="14.25" x14ac:dyDescent="0.45">
      <c r="O178" s="43" t="s">
        <v>30</v>
      </c>
      <c r="P178" s="43">
        <v>2</v>
      </c>
      <c r="Q178" s="43">
        <v>3</v>
      </c>
      <c r="R178" s="43">
        <v>3</v>
      </c>
      <c r="S178" s="45"/>
      <c r="T178" t="b">
        <f>(S176+S177+S178)=O3</f>
        <v>0</v>
      </c>
      <c r="X178" s="1">
        <f t="shared" si="17"/>
        <v>0</v>
      </c>
      <c r="Y178" s="48">
        <v>0</v>
      </c>
      <c r="AA178" s="1">
        <v>11</v>
      </c>
      <c r="AB178" s="1" t="s">
        <v>15</v>
      </c>
      <c r="AC178" s="1" t="s">
        <v>21</v>
      </c>
      <c r="AD178" s="1">
        <v>10</v>
      </c>
      <c r="AE178" s="1">
        <v>7</v>
      </c>
      <c r="AF178" s="1">
        <v>0.76</v>
      </c>
      <c r="AG178" s="1">
        <v>0.84</v>
      </c>
      <c r="AH178" s="1">
        <v>0</v>
      </c>
      <c r="AI178" s="1">
        <v>0</v>
      </c>
      <c r="AJ178" s="1">
        <f t="shared" si="12"/>
        <v>0</v>
      </c>
      <c r="AK178" s="1">
        <f>E24</f>
        <v>0</v>
      </c>
      <c r="AL178" s="1">
        <f>E30</f>
        <v>0</v>
      </c>
      <c r="AM178" s="1">
        <f t="shared" si="13"/>
        <v>0</v>
      </c>
      <c r="AN178" s="1">
        <f t="shared" si="14"/>
        <v>0</v>
      </c>
      <c r="AO178" s="1">
        <f t="shared" si="15"/>
        <v>0</v>
      </c>
      <c r="AP178" t="b" cm="1">
        <f t="array" ref="AP178">INDEX($AU$8:$BB$25,6*(R178-1)+MATCH(AB178,$AS$8:$AS$13,0),MATCH(O178,$AU$7:$BB$7,0))</f>
        <v>1</v>
      </c>
    </row>
    <row r="179" spans="15:42" ht="14.25" x14ac:dyDescent="0.45">
      <c r="O179" s="43" t="s">
        <v>30</v>
      </c>
      <c r="P179" s="43">
        <v>2</v>
      </c>
      <c r="Q179" s="43">
        <v>4</v>
      </c>
      <c r="R179" s="43">
        <v>1</v>
      </c>
      <c r="S179" s="45"/>
      <c r="T179" t="b">
        <f>(S179+S180+S181)=O3</f>
        <v>0</v>
      </c>
      <c r="X179" s="1">
        <f t="shared" si="17"/>
        <v>0</v>
      </c>
      <c r="Y179" s="48">
        <v>0</v>
      </c>
      <c r="AA179" s="1">
        <v>2</v>
      </c>
      <c r="AB179" s="1" t="s">
        <v>12</v>
      </c>
      <c r="AC179" s="1" t="s">
        <v>18</v>
      </c>
      <c r="AD179" s="1">
        <v>25</v>
      </c>
      <c r="AE179" s="1">
        <v>19</v>
      </c>
      <c r="AF179" s="1">
        <v>0.76</v>
      </c>
      <c r="AG179" s="1">
        <v>0.81</v>
      </c>
      <c r="AH179" s="1">
        <v>0</v>
      </c>
      <c r="AI179" s="1">
        <v>0</v>
      </c>
      <c r="AJ179" s="1">
        <f t="shared" si="12"/>
        <v>0</v>
      </c>
      <c r="AK179" s="1">
        <f>C21</f>
        <v>0</v>
      </c>
      <c r="AL179" s="1">
        <f>C27</f>
        <v>0</v>
      </c>
      <c r="AM179" s="1">
        <f t="shared" si="13"/>
        <v>0</v>
      </c>
      <c r="AN179" s="1">
        <f t="shared" si="14"/>
        <v>0</v>
      </c>
      <c r="AO179" s="1">
        <f t="shared" si="15"/>
        <v>0</v>
      </c>
      <c r="AP179" t="b" cm="1">
        <f t="array" ref="AP179">INDEX($AU$8:$BB$25,6*(R179-1)+MATCH(AB179,$AS$8:$AS$13,0),MATCH(O179,$AU$7:$BB$7,0))</f>
        <v>1</v>
      </c>
    </row>
    <row r="180" spans="15:42" ht="14.25" x14ac:dyDescent="0.45">
      <c r="O180" s="43" t="s">
        <v>30</v>
      </c>
      <c r="P180" s="43">
        <v>2</v>
      </c>
      <c r="Q180" s="43">
        <v>4</v>
      </c>
      <c r="R180" s="43">
        <v>2</v>
      </c>
      <c r="S180" s="45"/>
      <c r="T180" t="b">
        <f>(S179+S180+S181)=O3</f>
        <v>0</v>
      </c>
      <c r="X180" s="1">
        <f t="shared" si="17"/>
        <v>0</v>
      </c>
      <c r="Y180" s="48">
        <v>0</v>
      </c>
      <c r="AA180" s="1">
        <v>2</v>
      </c>
      <c r="AB180" s="1" t="s">
        <v>12</v>
      </c>
      <c r="AC180" s="1" t="s">
        <v>18</v>
      </c>
      <c r="AD180" s="1">
        <v>25</v>
      </c>
      <c r="AE180" s="1">
        <v>19</v>
      </c>
      <c r="AF180" s="1">
        <v>0.76</v>
      </c>
      <c r="AG180" s="1">
        <v>0.81</v>
      </c>
      <c r="AH180" s="1">
        <v>0</v>
      </c>
      <c r="AI180" s="1">
        <v>0</v>
      </c>
      <c r="AJ180" s="1">
        <f t="shared" si="12"/>
        <v>0</v>
      </c>
      <c r="AK180" s="1">
        <f>D21</f>
        <v>0</v>
      </c>
      <c r="AL180" s="1">
        <f>D27</f>
        <v>0</v>
      </c>
      <c r="AM180" s="1">
        <f t="shared" si="13"/>
        <v>0</v>
      </c>
      <c r="AN180" s="1">
        <f t="shared" si="14"/>
        <v>0</v>
      </c>
      <c r="AO180" s="1">
        <f t="shared" si="15"/>
        <v>0</v>
      </c>
      <c r="AP180" t="b" cm="1">
        <f t="array" ref="AP180">INDEX($AU$8:$BB$25,6*(R180-1)+MATCH(AB180,$AS$8:$AS$13,0),MATCH(O180,$AU$7:$BB$7,0))</f>
        <v>1</v>
      </c>
    </row>
    <row r="181" spans="15:42" ht="14.25" x14ac:dyDescent="0.45">
      <c r="O181" s="43" t="s">
        <v>30</v>
      </c>
      <c r="P181" s="43">
        <v>2</v>
      </c>
      <c r="Q181" s="43">
        <v>4</v>
      </c>
      <c r="R181" s="43">
        <v>3</v>
      </c>
      <c r="S181" s="45"/>
      <c r="T181" t="b">
        <f>(S179+S180+S181)=O3</f>
        <v>0</v>
      </c>
      <c r="X181" s="1">
        <f t="shared" si="17"/>
        <v>0</v>
      </c>
      <c r="Y181" s="48">
        <v>0</v>
      </c>
      <c r="AA181" s="1">
        <v>2</v>
      </c>
      <c r="AB181" s="1" t="s">
        <v>12</v>
      </c>
      <c r="AC181" s="1" t="s">
        <v>18</v>
      </c>
      <c r="AD181" s="1">
        <v>25</v>
      </c>
      <c r="AE181" s="1">
        <v>19</v>
      </c>
      <c r="AF181" s="1">
        <v>0.76</v>
      </c>
      <c r="AG181" s="1">
        <v>0.81</v>
      </c>
      <c r="AH181" s="1">
        <v>0</v>
      </c>
      <c r="AI181" s="1">
        <v>0</v>
      </c>
      <c r="AJ181" s="1">
        <f t="shared" si="12"/>
        <v>0</v>
      </c>
      <c r="AK181" s="1">
        <f>E21</f>
        <v>0</v>
      </c>
      <c r="AL181" s="1">
        <f>E27</f>
        <v>0</v>
      </c>
      <c r="AM181" s="1">
        <f t="shared" si="13"/>
        <v>0</v>
      </c>
      <c r="AN181" s="1">
        <f t="shared" si="14"/>
        <v>0</v>
      </c>
      <c r="AO181" s="1">
        <f t="shared" si="15"/>
        <v>0</v>
      </c>
      <c r="AP181" t="b" cm="1">
        <f t="array" ref="AP181">INDEX($AU$8:$BB$25,6*(R181-1)+MATCH(AB181,$AS$8:$AS$13,0),MATCH(O181,$AU$7:$BB$7,0))</f>
        <v>1</v>
      </c>
    </row>
    <row r="182" spans="15:42" ht="14.25" x14ac:dyDescent="0.45">
      <c r="O182" s="43" t="s">
        <v>30</v>
      </c>
      <c r="P182" s="43">
        <v>2</v>
      </c>
      <c r="Q182" s="43">
        <v>5</v>
      </c>
      <c r="R182" s="43">
        <v>1</v>
      </c>
      <c r="S182" s="45"/>
      <c r="T182" t="b">
        <f>(S182+S183+S184)=O3</f>
        <v>0</v>
      </c>
      <c r="X182" s="1">
        <f t="shared" si="17"/>
        <v>0</v>
      </c>
      <c r="Y182" s="48">
        <v>0</v>
      </c>
      <c r="AA182" s="1">
        <v>3</v>
      </c>
      <c r="AB182" s="1" t="s">
        <v>12</v>
      </c>
      <c r="AC182" s="1" t="s">
        <v>18</v>
      </c>
      <c r="AD182" s="1">
        <v>15</v>
      </c>
      <c r="AE182" s="1">
        <v>11</v>
      </c>
      <c r="AF182" s="1">
        <v>0.76</v>
      </c>
      <c r="AG182" s="1">
        <v>0.81</v>
      </c>
      <c r="AH182" s="1">
        <v>0</v>
      </c>
      <c r="AI182" s="1">
        <v>0</v>
      </c>
      <c r="AJ182" s="1">
        <f t="shared" si="12"/>
        <v>0</v>
      </c>
      <c r="AK182" s="1">
        <f>C21</f>
        <v>0</v>
      </c>
      <c r="AL182" s="1">
        <f>C27</f>
        <v>0</v>
      </c>
      <c r="AM182" s="1">
        <f t="shared" si="13"/>
        <v>0</v>
      </c>
      <c r="AN182" s="1">
        <f t="shared" si="14"/>
        <v>0</v>
      </c>
      <c r="AO182" s="1">
        <f t="shared" si="15"/>
        <v>0</v>
      </c>
      <c r="AP182" t="b" cm="1">
        <f t="array" ref="AP182">INDEX($AU$8:$BB$25,6*(R182-1)+MATCH(AB182,$AS$8:$AS$13,0),MATCH(O182,$AU$7:$BB$7,0))</f>
        <v>1</v>
      </c>
    </row>
    <row r="183" spans="15:42" ht="14.25" x14ac:dyDescent="0.45">
      <c r="O183" s="43" t="s">
        <v>30</v>
      </c>
      <c r="P183" s="43">
        <v>2</v>
      </c>
      <c r="Q183" s="43">
        <v>5</v>
      </c>
      <c r="R183" s="43">
        <v>2</v>
      </c>
      <c r="S183" s="45"/>
      <c r="T183" t="b">
        <f>(S182+S183+S184)=O3</f>
        <v>0</v>
      </c>
      <c r="X183" s="1">
        <f t="shared" si="17"/>
        <v>0</v>
      </c>
      <c r="Y183" s="48">
        <v>0</v>
      </c>
      <c r="AA183" s="1">
        <v>3</v>
      </c>
      <c r="AB183" s="1" t="s">
        <v>12</v>
      </c>
      <c r="AC183" s="1" t="s">
        <v>18</v>
      </c>
      <c r="AD183" s="1">
        <v>15</v>
      </c>
      <c r="AE183" s="1">
        <v>11</v>
      </c>
      <c r="AF183" s="1">
        <v>0.76</v>
      </c>
      <c r="AG183" s="1">
        <v>0.81</v>
      </c>
      <c r="AH183" s="1">
        <v>0</v>
      </c>
      <c r="AI183" s="1">
        <v>0</v>
      </c>
      <c r="AJ183" s="1">
        <f t="shared" si="12"/>
        <v>0</v>
      </c>
      <c r="AK183" s="1">
        <f>D21</f>
        <v>0</v>
      </c>
      <c r="AL183" s="1">
        <f>D27</f>
        <v>0</v>
      </c>
      <c r="AM183" s="1">
        <f t="shared" si="13"/>
        <v>0</v>
      </c>
      <c r="AN183" s="1">
        <f t="shared" si="14"/>
        <v>0</v>
      </c>
      <c r="AO183" s="1">
        <f t="shared" si="15"/>
        <v>0</v>
      </c>
      <c r="AP183" t="b" cm="1">
        <f t="array" ref="AP183">INDEX($AU$8:$BB$25,6*(R183-1)+MATCH(AB183,$AS$8:$AS$13,0),MATCH(O183,$AU$7:$BB$7,0))</f>
        <v>1</v>
      </c>
    </row>
    <row r="184" spans="15:42" ht="14.25" x14ac:dyDescent="0.45">
      <c r="O184" s="43" t="s">
        <v>30</v>
      </c>
      <c r="P184" s="43">
        <v>2</v>
      </c>
      <c r="Q184" s="43">
        <v>5</v>
      </c>
      <c r="R184" s="43">
        <v>3</v>
      </c>
      <c r="S184" s="45"/>
      <c r="T184" t="b">
        <f>(S182+S183+S184)=O3</f>
        <v>0</v>
      </c>
      <c r="X184" s="1">
        <f t="shared" si="17"/>
        <v>0</v>
      </c>
      <c r="Y184" s="48">
        <v>0</v>
      </c>
      <c r="AA184" s="1">
        <v>3</v>
      </c>
      <c r="AB184" s="1" t="s">
        <v>12</v>
      </c>
      <c r="AC184" s="1" t="s">
        <v>18</v>
      </c>
      <c r="AD184" s="1">
        <v>15</v>
      </c>
      <c r="AE184" s="1">
        <v>11</v>
      </c>
      <c r="AF184" s="1">
        <v>0.76</v>
      </c>
      <c r="AG184" s="1">
        <v>0.81</v>
      </c>
      <c r="AH184" s="1">
        <v>0</v>
      </c>
      <c r="AI184" s="1">
        <v>0</v>
      </c>
      <c r="AJ184" s="1">
        <f t="shared" si="12"/>
        <v>0</v>
      </c>
      <c r="AK184" s="1">
        <f>E21</f>
        <v>0</v>
      </c>
      <c r="AL184" s="1">
        <f>E27</f>
        <v>0</v>
      </c>
      <c r="AM184" s="1">
        <f t="shared" si="13"/>
        <v>0</v>
      </c>
      <c r="AN184" s="1">
        <f t="shared" si="14"/>
        <v>0</v>
      </c>
      <c r="AO184" s="1">
        <f t="shared" si="15"/>
        <v>0</v>
      </c>
      <c r="AP184" t="b" cm="1">
        <f t="array" ref="AP184">INDEX($AU$8:$BB$25,6*(R184-1)+MATCH(AB184,$AS$8:$AS$13,0),MATCH(O184,$AU$7:$BB$7,0))</f>
        <v>1</v>
      </c>
    </row>
    <row r="185" spans="15:42" ht="14.25" x14ac:dyDescent="0.45">
      <c r="O185" s="43" t="s">
        <v>30</v>
      </c>
      <c r="P185" s="43">
        <v>2</v>
      </c>
      <c r="Q185" s="43">
        <v>6</v>
      </c>
      <c r="R185" s="43">
        <v>1</v>
      </c>
      <c r="S185" s="45"/>
      <c r="T185" t="b">
        <f>(S185+S186+S187)=O3</f>
        <v>0</v>
      </c>
      <c r="X185" s="1">
        <f t="shared" si="17"/>
        <v>0</v>
      </c>
      <c r="Y185" s="48">
        <v>0</v>
      </c>
      <c r="AA185" s="1">
        <v>5</v>
      </c>
      <c r="AB185" s="1" t="s">
        <v>16</v>
      </c>
      <c r="AC185" s="1" t="s">
        <v>22</v>
      </c>
      <c r="AD185" s="1">
        <v>16</v>
      </c>
      <c r="AE185" s="1">
        <v>14</v>
      </c>
      <c r="AF185" s="1">
        <v>0.8</v>
      </c>
      <c r="AG185" s="1">
        <v>0.9</v>
      </c>
      <c r="AH185" s="1">
        <v>0</v>
      </c>
      <c r="AI185" s="1">
        <v>0</v>
      </c>
      <c r="AJ185" s="1">
        <f t="shared" si="12"/>
        <v>0</v>
      </c>
      <c r="AK185" s="1">
        <f>C25</f>
        <v>0</v>
      </c>
      <c r="AL185" s="1">
        <f>C31</f>
        <v>0</v>
      </c>
      <c r="AM185" s="1">
        <f t="shared" si="13"/>
        <v>0</v>
      </c>
      <c r="AN185" s="1">
        <f t="shared" si="14"/>
        <v>0</v>
      </c>
      <c r="AO185" s="1">
        <f t="shared" si="15"/>
        <v>0</v>
      </c>
      <c r="AP185" t="b" cm="1">
        <f t="array" ref="AP185">INDEX($AU$8:$BB$25,6*(R185-1)+MATCH(AB185,$AS$8:$AS$13,0),MATCH(O185,$AU$7:$BB$7,0))</f>
        <v>1</v>
      </c>
    </row>
    <row r="186" spans="15:42" ht="14.25" x14ac:dyDescent="0.45">
      <c r="O186" s="43" t="s">
        <v>30</v>
      </c>
      <c r="P186" s="43">
        <v>2</v>
      </c>
      <c r="Q186" s="43">
        <v>6</v>
      </c>
      <c r="R186" s="43">
        <v>2</v>
      </c>
      <c r="S186" s="45"/>
      <c r="T186" t="b">
        <f>(S185+S186+S187)=O3</f>
        <v>0</v>
      </c>
      <c r="X186" s="1">
        <f t="shared" si="17"/>
        <v>0</v>
      </c>
      <c r="Y186" s="48">
        <v>0</v>
      </c>
      <c r="AA186" s="1">
        <v>5</v>
      </c>
      <c r="AB186" s="1" t="s">
        <v>16</v>
      </c>
      <c r="AC186" s="1" t="s">
        <v>22</v>
      </c>
      <c r="AD186" s="1">
        <v>16</v>
      </c>
      <c r="AE186" s="1">
        <v>14</v>
      </c>
      <c r="AF186" s="1">
        <v>0.8</v>
      </c>
      <c r="AG186" s="1">
        <v>0.9</v>
      </c>
      <c r="AH186" s="1">
        <v>0</v>
      </c>
      <c r="AI186" s="1">
        <v>0</v>
      </c>
      <c r="AJ186" s="1">
        <f t="shared" si="12"/>
        <v>0</v>
      </c>
      <c r="AK186" s="1">
        <f>D25</f>
        <v>0</v>
      </c>
      <c r="AL186" s="1">
        <f>D31</f>
        <v>0</v>
      </c>
      <c r="AM186" s="1">
        <f t="shared" si="13"/>
        <v>0</v>
      </c>
      <c r="AN186" s="1">
        <f t="shared" si="14"/>
        <v>0</v>
      </c>
      <c r="AO186" s="1">
        <f t="shared" si="15"/>
        <v>0</v>
      </c>
      <c r="AP186" t="b" cm="1">
        <f t="array" ref="AP186">INDEX($AU$8:$BB$25,6*(R186-1)+MATCH(AB186,$AS$8:$AS$13,0),MATCH(O186,$AU$7:$BB$7,0))</f>
        <v>1</v>
      </c>
    </row>
    <row r="187" spans="15:42" ht="14.25" x14ac:dyDescent="0.45">
      <c r="O187" s="43" t="s">
        <v>30</v>
      </c>
      <c r="P187" s="43">
        <v>2</v>
      </c>
      <c r="Q187" s="43">
        <v>6</v>
      </c>
      <c r="R187" s="43">
        <v>3</v>
      </c>
      <c r="S187" s="45"/>
      <c r="T187" t="b">
        <f>(S185+S186+S187)=O3</f>
        <v>0</v>
      </c>
      <c r="X187" s="1">
        <f t="shared" si="17"/>
        <v>0</v>
      </c>
      <c r="Y187" s="48">
        <v>0</v>
      </c>
      <c r="AA187" s="1">
        <v>5</v>
      </c>
      <c r="AB187" s="1" t="s">
        <v>16</v>
      </c>
      <c r="AC187" s="1" t="s">
        <v>22</v>
      </c>
      <c r="AD187" s="1">
        <v>16</v>
      </c>
      <c r="AE187" s="1">
        <v>14</v>
      </c>
      <c r="AF187" s="1">
        <v>0.8</v>
      </c>
      <c r="AG187" s="1">
        <v>0.9</v>
      </c>
      <c r="AH187" s="1">
        <v>0</v>
      </c>
      <c r="AI187" s="1">
        <v>0</v>
      </c>
      <c r="AJ187" s="1">
        <f t="shared" si="12"/>
        <v>0</v>
      </c>
      <c r="AK187" s="1">
        <f>E25</f>
        <v>0</v>
      </c>
      <c r="AL187" s="1">
        <f>E31</f>
        <v>0</v>
      </c>
      <c r="AM187" s="1">
        <f t="shared" si="13"/>
        <v>0</v>
      </c>
      <c r="AN187" s="1">
        <f t="shared" si="14"/>
        <v>0</v>
      </c>
      <c r="AO187" s="1">
        <f t="shared" si="15"/>
        <v>0</v>
      </c>
      <c r="AP187" t="b" cm="1">
        <f t="array" ref="AP187">INDEX($AU$8:$BB$25,6*(R187-1)+MATCH(AB187,$AS$8:$AS$13,0),MATCH(O187,$AU$7:$BB$7,0))</f>
        <v>1</v>
      </c>
    </row>
    <row r="188" spans="15:42" ht="14.25" x14ac:dyDescent="0.45">
      <c r="O188" s="43" t="s">
        <v>30</v>
      </c>
      <c r="P188" s="43">
        <v>2</v>
      </c>
      <c r="Q188" s="43">
        <v>7</v>
      </c>
      <c r="R188" s="43">
        <v>1</v>
      </c>
      <c r="S188" s="45"/>
      <c r="T188" t="b">
        <f>(S188+S189+S190)=O3</f>
        <v>0</v>
      </c>
      <c r="X188" s="1">
        <f t="shared" si="17"/>
        <v>0</v>
      </c>
      <c r="Y188" s="48">
        <v>0</v>
      </c>
      <c r="AA188" s="1">
        <v>4</v>
      </c>
      <c r="AB188" s="1" t="s">
        <v>16</v>
      </c>
      <c r="AC188" s="1" t="s">
        <v>22</v>
      </c>
      <c r="AD188" s="1">
        <v>17</v>
      </c>
      <c r="AE188" s="1">
        <v>15</v>
      </c>
      <c r="AF188" s="1">
        <v>0.8</v>
      </c>
      <c r="AG188" s="1">
        <v>0.9</v>
      </c>
      <c r="AH188" s="1">
        <v>0</v>
      </c>
      <c r="AI188" s="1">
        <v>0</v>
      </c>
      <c r="AJ188" s="1">
        <f t="shared" si="12"/>
        <v>0</v>
      </c>
      <c r="AK188" s="1">
        <f>C25</f>
        <v>0</v>
      </c>
      <c r="AL188" s="1">
        <f>C31</f>
        <v>0</v>
      </c>
      <c r="AM188" s="1">
        <f t="shared" si="13"/>
        <v>0</v>
      </c>
      <c r="AN188" s="1">
        <f t="shared" si="14"/>
        <v>0</v>
      </c>
      <c r="AO188" s="1">
        <f t="shared" si="15"/>
        <v>0</v>
      </c>
      <c r="AP188" t="b" cm="1">
        <f t="array" ref="AP188">INDEX($AU$8:$BB$25,6*(R188-1)+MATCH(AB188,$AS$8:$AS$13,0),MATCH(O188,$AU$7:$BB$7,0))</f>
        <v>1</v>
      </c>
    </row>
    <row r="189" spans="15:42" ht="14.25" x14ac:dyDescent="0.45">
      <c r="O189" s="43" t="s">
        <v>30</v>
      </c>
      <c r="P189" s="43">
        <v>2</v>
      </c>
      <c r="Q189" s="43">
        <v>7</v>
      </c>
      <c r="R189" s="43">
        <v>2</v>
      </c>
      <c r="S189" s="45"/>
      <c r="T189" t="b">
        <f>(S188+S189+S190)=O3</f>
        <v>0</v>
      </c>
      <c r="X189" s="1">
        <f t="shared" si="17"/>
        <v>0</v>
      </c>
      <c r="Y189" s="48">
        <v>0</v>
      </c>
      <c r="AA189" s="1">
        <v>4</v>
      </c>
      <c r="AB189" s="1" t="s">
        <v>16</v>
      </c>
      <c r="AC189" s="1" t="s">
        <v>22</v>
      </c>
      <c r="AD189" s="1">
        <v>17</v>
      </c>
      <c r="AE189" s="1">
        <v>15</v>
      </c>
      <c r="AF189" s="1">
        <v>0.8</v>
      </c>
      <c r="AG189" s="1">
        <v>0.9</v>
      </c>
      <c r="AH189" s="1">
        <v>0</v>
      </c>
      <c r="AI189" s="1">
        <v>0</v>
      </c>
      <c r="AJ189" s="1">
        <f t="shared" si="12"/>
        <v>0</v>
      </c>
      <c r="AK189" s="1">
        <f>D25</f>
        <v>0</v>
      </c>
      <c r="AL189" s="1">
        <f>D31</f>
        <v>0</v>
      </c>
      <c r="AM189" s="1">
        <f t="shared" si="13"/>
        <v>0</v>
      </c>
      <c r="AN189" s="1">
        <f t="shared" si="14"/>
        <v>0</v>
      </c>
      <c r="AO189" s="1">
        <f t="shared" si="15"/>
        <v>0</v>
      </c>
      <c r="AP189" t="b" cm="1">
        <f t="array" ref="AP189">INDEX($AU$8:$BB$25,6*(R189-1)+MATCH(AB189,$AS$8:$AS$13,0),MATCH(O189,$AU$7:$BB$7,0))</f>
        <v>1</v>
      </c>
    </row>
    <row r="190" spans="15:42" ht="14.25" x14ac:dyDescent="0.45">
      <c r="O190" s="43" t="s">
        <v>30</v>
      </c>
      <c r="P190" s="43">
        <v>2</v>
      </c>
      <c r="Q190" s="43">
        <v>7</v>
      </c>
      <c r="R190" s="43">
        <v>3</v>
      </c>
      <c r="S190" s="45"/>
      <c r="T190" t="b">
        <f>(S188+S189+S190)=O3</f>
        <v>0</v>
      </c>
      <c r="X190" s="1">
        <f t="shared" si="17"/>
        <v>0</v>
      </c>
      <c r="Y190" s="48">
        <v>0</v>
      </c>
      <c r="AA190" s="1">
        <v>4</v>
      </c>
      <c r="AB190" s="1" t="s">
        <v>16</v>
      </c>
      <c r="AC190" s="1" t="s">
        <v>22</v>
      </c>
      <c r="AD190" s="1">
        <v>17</v>
      </c>
      <c r="AE190" s="1">
        <v>15</v>
      </c>
      <c r="AF190" s="1">
        <v>0.8</v>
      </c>
      <c r="AG190" s="1">
        <v>0.9</v>
      </c>
      <c r="AH190" s="1">
        <v>0</v>
      </c>
      <c r="AI190" s="1">
        <v>0</v>
      </c>
      <c r="AJ190" s="1">
        <f t="shared" si="12"/>
        <v>0</v>
      </c>
      <c r="AK190" s="1">
        <f>E25</f>
        <v>0</v>
      </c>
      <c r="AL190" s="1">
        <f>E31</f>
        <v>0</v>
      </c>
      <c r="AM190" s="1">
        <f t="shared" si="13"/>
        <v>0</v>
      </c>
      <c r="AN190" s="1">
        <f t="shared" si="14"/>
        <v>0</v>
      </c>
      <c r="AO190" s="1">
        <f t="shared" si="15"/>
        <v>0</v>
      </c>
      <c r="AP190" t="b" cm="1">
        <f t="array" ref="AP190">INDEX($AU$8:$BB$25,6*(R190-1)+MATCH(AB190,$AS$8:$AS$13,0),MATCH(O190,$AU$7:$BB$7,0))</f>
        <v>1</v>
      </c>
    </row>
    <row r="191" spans="15:42" ht="14.25" x14ac:dyDescent="0.45">
      <c r="O191" s="43" t="s">
        <v>30</v>
      </c>
      <c r="P191" s="43">
        <v>2</v>
      </c>
      <c r="Q191" s="43">
        <v>8</v>
      </c>
      <c r="R191" s="43">
        <v>1</v>
      </c>
      <c r="S191" s="45"/>
      <c r="T191" t="b">
        <f>(S191+S192+S193)=O3</f>
        <v>0</v>
      </c>
      <c r="X191" s="1">
        <f t="shared" si="17"/>
        <v>0</v>
      </c>
      <c r="Y191" s="48">
        <v>0</v>
      </c>
      <c r="AA191" s="1">
        <v>4</v>
      </c>
      <c r="AB191" s="1" t="s">
        <v>12</v>
      </c>
      <c r="AC191" s="1" t="s">
        <v>18</v>
      </c>
      <c r="AD191" s="1">
        <v>22</v>
      </c>
      <c r="AE191" s="1">
        <v>16</v>
      </c>
      <c r="AF191" s="1">
        <v>0.76</v>
      </c>
      <c r="AG191" s="1">
        <v>0.81</v>
      </c>
      <c r="AH191" s="1">
        <v>0</v>
      </c>
      <c r="AI191" s="1">
        <v>0</v>
      </c>
      <c r="AJ191" s="1">
        <f t="shared" si="12"/>
        <v>0</v>
      </c>
      <c r="AK191" s="1">
        <f>C21</f>
        <v>0</v>
      </c>
      <c r="AL191" s="1">
        <f>C27</f>
        <v>0</v>
      </c>
      <c r="AM191" s="1">
        <f t="shared" si="13"/>
        <v>0</v>
      </c>
      <c r="AN191" s="1">
        <f t="shared" si="14"/>
        <v>0</v>
      </c>
      <c r="AO191" s="1">
        <f t="shared" si="15"/>
        <v>0</v>
      </c>
      <c r="AP191" t="b" cm="1">
        <f t="array" ref="AP191">INDEX($AU$8:$BB$25,6*(R191-1)+MATCH(AB191,$AS$8:$AS$13,0),MATCH(O191,$AU$7:$BB$7,0))</f>
        <v>1</v>
      </c>
    </row>
    <row r="192" spans="15:42" ht="14.25" x14ac:dyDescent="0.45">
      <c r="O192" s="43" t="s">
        <v>30</v>
      </c>
      <c r="P192" s="43">
        <v>2</v>
      </c>
      <c r="Q192" s="43">
        <v>8</v>
      </c>
      <c r="R192" s="43">
        <v>2</v>
      </c>
      <c r="S192" s="45"/>
      <c r="T192" t="b">
        <f>(S191+S192+S193)=O3</f>
        <v>0</v>
      </c>
      <c r="X192" s="1">
        <f t="shared" si="17"/>
        <v>0</v>
      </c>
      <c r="Y192" s="48">
        <v>0</v>
      </c>
      <c r="AA192" s="1">
        <v>4</v>
      </c>
      <c r="AB192" s="1" t="s">
        <v>12</v>
      </c>
      <c r="AC192" s="1" t="s">
        <v>18</v>
      </c>
      <c r="AD192" s="1">
        <v>22</v>
      </c>
      <c r="AE192" s="1">
        <v>16</v>
      </c>
      <c r="AF192" s="1">
        <v>0.76</v>
      </c>
      <c r="AG192" s="1">
        <v>0.81</v>
      </c>
      <c r="AH192" s="1">
        <v>0</v>
      </c>
      <c r="AI192" s="1">
        <v>0</v>
      </c>
      <c r="AJ192" s="1">
        <f t="shared" si="12"/>
        <v>0</v>
      </c>
      <c r="AK192" s="1">
        <f>D21</f>
        <v>0</v>
      </c>
      <c r="AL192" s="1">
        <f>D27</f>
        <v>0</v>
      </c>
      <c r="AM192" s="1">
        <f t="shared" si="13"/>
        <v>0</v>
      </c>
      <c r="AN192" s="1">
        <f t="shared" si="14"/>
        <v>0</v>
      </c>
      <c r="AO192" s="1">
        <f t="shared" si="15"/>
        <v>0</v>
      </c>
      <c r="AP192" t="b" cm="1">
        <f t="array" ref="AP192">INDEX($AU$8:$BB$25,6*(R192-1)+MATCH(AB192,$AS$8:$AS$13,0),MATCH(O192,$AU$7:$BB$7,0))</f>
        <v>1</v>
      </c>
    </row>
    <row r="193" spans="15:42" ht="14.25" x14ac:dyDescent="0.45">
      <c r="O193" s="43" t="s">
        <v>30</v>
      </c>
      <c r="P193" s="43">
        <v>2</v>
      </c>
      <c r="Q193" s="43">
        <v>8</v>
      </c>
      <c r="R193" s="43">
        <v>3</v>
      </c>
      <c r="S193" s="45"/>
      <c r="T193" t="b">
        <f>(S191+S192+S193)=O3</f>
        <v>0</v>
      </c>
      <c r="X193" s="1">
        <f t="shared" si="17"/>
        <v>0</v>
      </c>
      <c r="Y193" s="48">
        <v>0</v>
      </c>
      <c r="AA193" s="1">
        <v>4</v>
      </c>
      <c r="AB193" s="1" t="s">
        <v>12</v>
      </c>
      <c r="AC193" s="1" t="s">
        <v>18</v>
      </c>
      <c r="AD193" s="1">
        <v>22</v>
      </c>
      <c r="AE193" s="1">
        <v>16</v>
      </c>
      <c r="AF193" s="1">
        <v>0.76</v>
      </c>
      <c r="AG193" s="1">
        <v>0.81</v>
      </c>
      <c r="AH193" s="1">
        <v>0</v>
      </c>
      <c r="AI193" s="1">
        <v>0</v>
      </c>
      <c r="AJ193" s="1">
        <f t="shared" si="12"/>
        <v>0</v>
      </c>
      <c r="AK193" s="1">
        <f>E21</f>
        <v>0</v>
      </c>
      <c r="AL193" s="1">
        <f>E27</f>
        <v>0</v>
      </c>
      <c r="AM193" s="1">
        <f t="shared" si="13"/>
        <v>0</v>
      </c>
      <c r="AN193" s="1">
        <f t="shared" si="14"/>
        <v>0</v>
      </c>
      <c r="AO193" s="1">
        <f t="shared" si="15"/>
        <v>0</v>
      </c>
      <c r="AP193" t="b" cm="1">
        <f t="array" ref="AP193">INDEX($AU$8:$BB$25,6*(R193-1)+MATCH(AB193,$AS$8:$AS$13,0),MATCH(O193,$AU$7:$BB$7,0))</f>
        <v>1</v>
      </c>
    </row>
    <row r="194" spans="15:42" ht="14.25" x14ac:dyDescent="0.45">
      <c r="O194" s="43" t="s">
        <v>30</v>
      </c>
      <c r="P194" s="43">
        <v>2</v>
      </c>
      <c r="Q194" s="43">
        <v>9</v>
      </c>
      <c r="R194" s="43">
        <v>1</v>
      </c>
      <c r="S194" s="45"/>
      <c r="T194" t="b">
        <f>(S194+S195+S196)=O3</f>
        <v>0</v>
      </c>
      <c r="X194" s="1">
        <f t="shared" si="17"/>
        <v>0</v>
      </c>
      <c r="Y194" s="48">
        <v>0</v>
      </c>
      <c r="AA194" s="1">
        <v>4</v>
      </c>
      <c r="AB194" s="1" t="s">
        <v>15</v>
      </c>
      <c r="AC194" s="1" t="s">
        <v>21</v>
      </c>
      <c r="AD194" s="1">
        <v>7</v>
      </c>
      <c r="AE194" s="1">
        <v>6</v>
      </c>
      <c r="AF194" s="1">
        <v>0.76</v>
      </c>
      <c r="AG194" s="1">
        <v>0.84</v>
      </c>
      <c r="AH194" s="1">
        <v>0</v>
      </c>
      <c r="AI194" s="1">
        <v>0</v>
      </c>
      <c r="AJ194" s="1">
        <f t="shared" si="12"/>
        <v>0</v>
      </c>
      <c r="AK194" s="1">
        <f>C24</f>
        <v>0</v>
      </c>
      <c r="AL194" s="1">
        <f>C30</f>
        <v>0</v>
      </c>
      <c r="AM194" s="1">
        <f t="shared" si="13"/>
        <v>0</v>
      </c>
      <c r="AN194" s="1">
        <f t="shared" si="14"/>
        <v>0</v>
      </c>
      <c r="AO194" s="1">
        <f t="shared" si="15"/>
        <v>0</v>
      </c>
      <c r="AP194" t="b" cm="1">
        <f t="array" ref="AP194">INDEX($AU$8:$BB$25,6*(R194-1)+MATCH(AB194,$AS$8:$AS$13,0),MATCH(O194,$AU$7:$BB$7,0))</f>
        <v>1</v>
      </c>
    </row>
    <row r="195" spans="15:42" ht="14.25" x14ac:dyDescent="0.45">
      <c r="O195" s="43" t="s">
        <v>30</v>
      </c>
      <c r="P195" s="43">
        <v>2</v>
      </c>
      <c r="Q195" s="43">
        <v>9</v>
      </c>
      <c r="R195" s="43">
        <v>2</v>
      </c>
      <c r="S195" s="45"/>
      <c r="T195" t="b">
        <f>(S194+S195+S196)=O3</f>
        <v>0</v>
      </c>
      <c r="X195" s="1">
        <f t="shared" si="17"/>
        <v>0</v>
      </c>
      <c r="Y195" s="48">
        <v>0</v>
      </c>
      <c r="AA195" s="1">
        <v>4</v>
      </c>
      <c r="AB195" s="1" t="s">
        <v>15</v>
      </c>
      <c r="AC195" s="1" t="s">
        <v>21</v>
      </c>
      <c r="AD195" s="1">
        <v>7</v>
      </c>
      <c r="AE195" s="1">
        <v>6</v>
      </c>
      <c r="AF195" s="1">
        <v>0.76</v>
      </c>
      <c r="AG195" s="1">
        <v>0.84</v>
      </c>
      <c r="AH195" s="1">
        <v>0</v>
      </c>
      <c r="AI195" s="1">
        <v>0</v>
      </c>
      <c r="AJ195" s="1">
        <f t="shared" si="12"/>
        <v>0</v>
      </c>
      <c r="AK195" s="1">
        <f>D24</f>
        <v>0</v>
      </c>
      <c r="AL195" s="1">
        <f>D30</f>
        <v>0</v>
      </c>
      <c r="AM195" s="1">
        <f t="shared" si="13"/>
        <v>0</v>
      </c>
      <c r="AN195" s="1">
        <f t="shared" si="14"/>
        <v>0</v>
      </c>
      <c r="AO195" s="1">
        <f t="shared" si="15"/>
        <v>0</v>
      </c>
      <c r="AP195" t="b" cm="1">
        <f t="array" ref="AP195">INDEX($AU$8:$BB$25,6*(R195-1)+MATCH(AB195,$AS$8:$AS$13,0),MATCH(O195,$AU$7:$BB$7,0))</f>
        <v>1</v>
      </c>
    </row>
    <row r="196" spans="15:42" ht="14.25" x14ac:dyDescent="0.45">
      <c r="O196" s="43" t="s">
        <v>30</v>
      </c>
      <c r="P196" s="43">
        <v>2</v>
      </c>
      <c r="Q196" s="43">
        <v>9</v>
      </c>
      <c r="R196" s="43">
        <v>3</v>
      </c>
      <c r="S196" s="45"/>
      <c r="T196" t="b">
        <f>(S194+S195+S196)=O3</f>
        <v>0</v>
      </c>
      <c r="X196" s="1">
        <f t="shared" si="17"/>
        <v>0</v>
      </c>
      <c r="Y196" s="48">
        <v>0</v>
      </c>
      <c r="AA196" s="1">
        <v>4</v>
      </c>
      <c r="AB196" s="1" t="s">
        <v>15</v>
      </c>
      <c r="AC196" s="1" t="s">
        <v>21</v>
      </c>
      <c r="AD196" s="1">
        <v>7</v>
      </c>
      <c r="AE196" s="1">
        <v>6</v>
      </c>
      <c r="AF196" s="1">
        <v>0.76</v>
      </c>
      <c r="AG196" s="1">
        <v>0.84</v>
      </c>
      <c r="AH196" s="1">
        <v>0</v>
      </c>
      <c r="AI196" s="1">
        <v>0</v>
      </c>
      <c r="AJ196" s="1">
        <f t="shared" si="12"/>
        <v>0</v>
      </c>
      <c r="AK196" s="1">
        <f>E24</f>
        <v>0</v>
      </c>
      <c r="AL196" s="1">
        <f>E30</f>
        <v>0</v>
      </c>
      <c r="AM196" s="1">
        <f t="shared" si="13"/>
        <v>0</v>
      </c>
      <c r="AN196" s="1">
        <f t="shared" si="14"/>
        <v>0</v>
      </c>
      <c r="AO196" s="1">
        <f t="shared" si="15"/>
        <v>0</v>
      </c>
      <c r="AP196" t="b" cm="1">
        <f t="array" ref="AP196">INDEX($AU$8:$BB$25,6*(R196-1)+MATCH(AB196,$AS$8:$AS$13,0),MATCH(O196,$AU$7:$BB$7,0))</f>
        <v>1</v>
      </c>
    </row>
    <row r="197" spans="15:42" ht="14.25" x14ac:dyDescent="0.45">
      <c r="O197" s="43" t="s">
        <v>30</v>
      </c>
      <c r="P197" s="43">
        <v>2</v>
      </c>
      <c r="Q197" s="43">
        <v>10</v>
      </c>
      <c r="R197" s="43">
        <v>1</v>
      </c>
      <c r="S197" s="45"/>
      <c r="T197" t="b">
        <f>(S197+S198+S199)=O3</f>
        <v>0</v>
      </c>
      <c r="X197" s="1">
        <f t="shared" si="17"/>
        <v>0</v>
      </c>
      <c r="Y197" s="48">
        <v>0</v>
      </c>
      <c r="AA197" s="1">
        <v>6</v>
      </c>
      <c r="AB197" s="1" t="s">
        <v>15</v>
      </c>
      <c r="AC197" s="1" t="s">
        <v>21</v>
      </c>
      <c r="AD197" s="1">
        <v>9</v>
      </c>
      <c r="AE197" s="1">
        <v>7</v>
      </c>
      <c r="AF197" s="1">
        <v>0.76</v>
      </c>
      <c r="AG197" s="1">
        <v>0.84</v>
      </c>
      <c r="AH197" s="1">
        <v>0</v>
      </c>
      <c r="AI197" s="1">
        <v>0</v>
      </c>
      <c r="AJ197" s="1">
        <f t="shared" si="12"/>
        <v>0</v>
      </c>
      <c r="AK197" s="1">
        <f>C24</f>
        <v>0</v>
      </c>
      <c r="AL197" s="1">
        <f>C30</f>
        <v>0</v>
      </c>
      <c r="AM197" s="1">
        <f t="shared" si="13"/>
        <v>0</v>
      </c>
      <c r="AN197" s="1">
        <f t="shared" si="14"/>
        <v>0</v>
      </c>
      <c r="AO197" s="1">
        <f t="shared" si="15"/>
        <v>0</v>
      </c>
      <c r="AP197" t="b" cm="1">
        <f t="array" ref="AP197">INDEX($AU$8:$BB$25,6*(R197-1)+MATCH(AB197,$AS$8:$AS$13,0),MATCH(O197,$AU$7:$BB$7,0))</f>
        <v>1</v>
      </c>
    </row>
    <row r="198" spans="15:42" ht="14.25" x14ac:dyDescent="0.45">
      <c r="O198" s="43" t="s">
        <v>30</v>
      </c>
      <c r="P198" s="43">
        <v>2</v>
      </c>
      <c r="Q198" s="43">
        <v>10</v>
      </c>
      <c r="R198" s="43">
        <v>2</v>
      </c>
      <c r="S198" s="45"/>
      <c r="T198" t="b">
        <f>(S197+S198+S199)=O3</f>
        <v>0</v>
      </c>
      <c r="X198" s="1">
        <f t="shared" si="17"/>
        <v>0</v>
      </c>
      <c r="Y198" s="48">
        <v>0</v>
      </c>
      <c r="AA198" s="1">
        <v>6</v>
      </c>
      <c r="AB198" s="1" t="s">
        <v>15</v>
      </c>
      <c r="AC198" s="1" t="s">
        <v>21</v>
      </c>
      <c r="AD198" s="1">
        <v>9</v>
      </c>
      <c r="AE198" s="1">
        <v>7</v>
      </c>
      <c r="AF198" s="1">
        <v>0.76</v>
      </c>
      <c r="AG198" s="1">
        <v>0.84</v>
      </c>
      <c r="AH198" s="1">
        <v>0</v>
      </c>
      <c r="AI198" s="1">
        <v>0</v>
      </c>
      <c r="AJ198" s="1">
        <f t="shared" si="12"/>
        <v>0</v>
      </c>
      <c r="AK198" s="1">
        <f>D24</f>
        <v>0</v>
      </c>
      <c r="AL198" s="1">
        <f>D30</f>
        <v>0</v>
      </c>
      <c r="AM198" s="1">
        <f t="shared" si="13"/>
        <v>0</v>
      </c>
      <c r="AN198" s="1">
        <f t="shared" si="14"/>
        <v>0</v>
      </c>
      <c r="AO198" s="1">
        <f t="shared" si="15"/>
        <v>0</v>
      </c>
      <c r="AP198" t="b" cm="1">
        <f t="array" ref="AP198">INDEX($AU$8:$BB$25,6*(R198-1)+MATCH(AB198,$AS$8:$AS$13,0),MATCH(O198,$AU$7:$BB$7,0))</f>
        <v>1</v>
      </c>
    </row>
    <row r="199" spans="15:42" ht="14.25" x14ac:dyDescent="0.45">
      <c r="O199" s="43" t="s">
        <v>30</v>
      </c>
      <c r="P199" s="43">
        <v>2</v>
      </c>
      <c r="Q199" s="43">
        <v>10</v>
      </c>
      <c r="R199" s="43">
        <v>3</v>
      </c>
      <c r="S199" s="45"/>
      <c r="T199" t="b">
        <f>(S197+S198+S199)=O3</f>
        <v>0</v>
      </c>
      <c r="X199" s="1">
        <f t="shared" si="17"/>
        <v>0</v>
      </c>
      <c r="Y199" s="48">
        <v>0</v>
      </c>
      <c r="AA199" s="1">
        <v>6</v>
      </c>
      <c r="AB199" s="1" t="s">
        <v>15</v>
      </c>
      <c r="AC199" s="1" t="s">
        <v>21</v>
      </c>
      <c r="AD199" s="1">
        <v>9</v>
      </c>
      <c r="AE199" s="1">
        <v>7</v>
      </c>
      <c r="AF199" s="1">
        <v>0.76</v>
      </c>
      <c r="AG199" s="1">
        <v>0.84</v>
      </c>
      <c r="AH199" s="1">
        <v>0</v>
      </c>
      <c r="AI199" s="1">
        <v>0</v>
      </c>
      <c r="AJ199" s="1">
        <f t="shared" si="12"/>
        <v>0</v>
      </c>
      <c r="AK199" s="1">
        <f>E24</f>
        <v>0</v>
      </c>
      <c r="AL199" s="1">
        <f>E30</f>
        <v>0</v>
      </c>
      <c r="AM199" s="1">
        <f t="shared" si="13"/>
        <v>0</v>
      </c>
      <c r="AN199" s="1">
        <f t="shared" si="14"/>
        <v>0</v>
      </c>
      <c r="AO199" s="1">
        <f t="shared" si="15"/>
        <v>0</v>
      </c>
      <c r="AP199" t="b" cm="1">
        <f t="array" ref="AP199">INDEX($AU$8:$BB$25,6*(R199-1)+MATCH(AB199,$AS$8:$AS$13,0),MATCH(O199,$AU$7:$BB$7,0))</f>
        <v>1</v>
      </c>
    </row>
    <row r="200" spans="15:42" ht="14.25" x14ac:dyDescent="0.45">
      <c r="O200" s="43" t="s">
        <v>30</v>
      </c>
      <c r="P200" s="43">
        <v>2</v>
      </c>
      <c r="Q200" s="43">
        <v>11</v>
      </c>
      <c r="R200" s="43">
        <v>1</v>
      </c>
      <c r="S200" s="45"/>
      <c r="T200" t="b">
        <f>(S200+S201+S202)=O3</f>
        <v>0</v>
      </c>
      <c r="X200" s="1">
        <f t="shared" si="17"/>
        <v>0</v>
      </c>
      <c r="Y200" s="48">
        <v>0</v>
      </c>
      <c r="AA200" s="1">
        <v>2</v>
      </c>
      <c r="AB200" s="1" t="s">
        <v>15</v>
      </c>
      <c r="AC200" s="1" t="s">
        <v>21</v>
      </c>
      <c r="AD200" s="1">
        <v>20</v>
      </c>
      <c r="AE200" s="1">
        <v>19</v>
      </c>
      <c r="AF200" s="1">
        <v>0.76</v>
      </c>
      <c r="AG200" s="1">
        <v>0.84</v>
      </c>
      <c r="AH200" s="1">
        <v>0</v>
      </c>
      <c r="AI200" s="1">
        <v>0</v>
      </c>
      <c r="AJ200" s="1">
        <f t="shared" si="12"/>
        <v>0</v>
      </c>
      <c r="AK200" s="1">
        <f>C24</f>
        <v>0</v>
      </c>
      <c r="AL200" s="1">
        <f>C30</f>
        <v>0</v>
      </c>
      <c r="AM200" s="1">
        <f t="shared" si="13"/>
        <v>0</v>
      </c>
      <c r="AN200" s="1">
        <f t="shared" si="14"/>
        <v>0</v>
      </c>
      <c r="AO200" s="1">
        <f t="shared" si="15"/>
        <v>0</v>
      </c>
      <c r="AP200" t="b" cm="1">
        <f t="array" ref="AP200">INDEX($AU$8:$BB$25,6*(R200-1)+MATCH(AB200,$AS$8:$AS$13,0),MATCH(O200,$AU$7:$BB$7,0))</f>
        <v>1</v>
      </c>
    </row>
    <row r="201" spans="15:42" ht="14.25" x14ac:dyDescent="0.45">
      <c r="O201" s="43" t="s">
        <v>30</v>
      </c>
      <c r="P201" s="43">
        <v>2</v>
      </c>
      <c r="Q201" s="43">
        <v>11</v>
      </c>
      <c r="R201" s="43">
        <v>2</v>
      </c>
      <c r="S201" s="45"/>
      <c r="T201" t="b">
        <f>(S200+S201+S202)=O3</f>
        <v>0</v>
      </c>
      <c r="X201" s="1">
        <f t="shared" si="17"/>
        <v>0</v>
      </c>
      <c r="Y201" s="48">
        <v>0</v>
      </c>
      <c r="AA201" s="1">
        <v>2</v>
      </c>
      <c r="AB201" s="1" t="s">
        <v>15</v>
      </c>
      <c r="AC201" s="1" t="s">
        <v>21</v>
      </c>
      <c r="AD201" s="1">
        <v>20</v>
      </c>
      <c r="AE201" s="1">
        <v>19</v>
      </c>
      <c r="AF201" s="1">
        <v>0.76</v>
      </c>
      <c r="AG201" s="1">
        <v>0.84</v>
      </c>
      <c r="AH201" s="1">
        <v>0</v>
      </c>
      <c r="AI201" s="1">
        <v>0</v>
      </c>
      <c r="AJ201" s="1">
        <f t="shared" ref="AJ201:AJ264" si="18">SUMIFS(AH$8:AH$1039,$O$8:$O$1039,O201,$AB$8:$AB$1039,AB201,$R$8:$R$1039,R201,$AA$8:$AA$1039,"&lt;="&amp;AA201)</f>
        <v>0</v>
      </c>
      <c r="AK201" s="1">
        <f>D24</f>
        <v>0</v>
      </c>
      <c r="AL201" s="1">
        <f>D30</f>
        <v>0</v>
      </c>
      <c r="AM201" s="1">
        <f t="shared" ref="AM201:AM264" si="19">MAX(0,AJ201-AK201)</f>
        <v>0</v>
      </c>
      <c r="AN201" s="1">
        <f t="shared" ref="AN201:AN264" si="20">IF(AM201=0,AH201,IF(AM201&gt;=AH201,0,AH201-AM201))</f>
        <v>0</v>
      </c>
      <c r="AO201" s="1">
        <f t="shared" ref="AO201:AO264" si="21">IF(AM201&gt;=AH201,AI201,AI201*AM201/AH201)</f>
        <v>0</v>
      </c>
      <c r="AP201" t="b" cm="1">
        <f t="array" ref="AP201">INDEX($AU$8:$BB$25,6*(R201-1)+MATCH(AB201,$AS$8:$AS$13,0),MATCH(O201,$AU$7:$BB$7,0))</f>
        <v>1</v>
      </c>
    </row>
    <row r="202" spans="15:42" ht="14.25" x14ac:dyDescent="0.45">
      <c r="O202" s="43" t="s">
        <v>30</v>
      </c>
      <c r="P202" s="43">
        <v>2</v>
      </c>
      <c r="Q202" s="43">
        <v>11</v>
      </c>
      <c r="R202" s="43">
        <v>3</v>
      </c>
      <c r="S202" s="45"/>
      <c r="T202" t="b">
        <f>(S200+S201+S202)=O3</f>
        <v>0</v>
      </c>
      <c r="X202" s="1">
        <f t="shared" si="17"/>
        <v>0</v>
      </c>
      <c r="Y202" s="48">
        <v>0</v>
      </c>
      <c r="AA202" s="1">
        <v>2</v>
      </c>
      <c r="AB202" s="1" t="s">
        <v>15</v>
      </c>
      <c r="AC202" s="1" t="s">
        <v>21</v>
      </c>
      <c r="AD202" s="1">
        <v>20</v>
      </c>
      <c r="AE202" s="1">
        <v>19</v>
      </c>
      <c r="AF202" s="1">
        <v>0.76</v>
      </c>
      <c r="AG202" s="1">
        <v>0.84</v>
      </c>
      <c r="AH202" s="1">
        <v>0</v>
      </c>
      <c r="AI202" s="1">
        <v>0</v>
      </c>
      <c r="AJ202" s="1">
        <f t="shared" si="18"/>
        <v>0</v>
      </c>
      <c r="AK202" s="1">
        <f>E24</f>
        <v>0</v>
      </c>
      <c r="AL202" s="1">
        <f>E30</f>
        <v>0</v>
      </c>
      <c r="AM202" s="1">
        <f t="shared" si="19"/>
        <v>0</v>
      </c>
      <c r="AN202" s="1">
        <f t="shared" si="20"/>
        <v>0</v>
      </c>
      <c r="AO202" s="1">
        <f t="shared" si="21"/>
        <v>0</v>
      </c>
      <c r="AP202" t="b" cm="1">
        <f t="array" ref="AP202">INDEX($AU$8:$BB$25,6*(R202-1)+MATCH(AB202,$AS$8:$AS$13,0),MATCH(O202,$AU$7:$BB$7,0))</f>
        <v>1</v>
      </c>
    </row>
    <row r="203" spans="15:42" ht="14.25" x14ac:dyDescent="0.45">
      <c r="O203" s="43" t="s">
        <v>30</v>
      </c>
      <c r="P203" s="43">
        <v>2</v>
      </c>
      <c r="Q203" s="43">
        <v>12</v>
      </c>
      <c r="R203" s="43">
        <v>1</v>
      </c>
      <c r="S203" s="45"/>
      <c r="T203" t="b">
        <f>(S203+S204+S205)=O3</f>
        <v>0</v>
      </c>
      <c r="X203" s="1">
        <f t="shared" si="17"/>
        <v>0</v>
      </c>
      <c r="Y203" s="48">
        <v>0</v>
      </c>
      <c r="AA203" s="1">
        <v>7</v>
      </c>
      <c r="AB203" s="1" t="s">
        <v>16</v>
      </c>
      <c r="AC203" s="1" t="s">
        <v>22</v>
      </c>
      <c r="AD203" s="1">
        <v>21</v>
      </c>
      <c r="AE203" s="1">
        <v>18</v>
      </c>
      <c r="AF203" s="1">
        <v>0.8</v>
      </c>
      <c r="AG203" s="1">
        <v>0.9</v>
      </c>
      <c r="AH203" s="1">
        <v>0</v>
      </c>
      <c r="AI203" s="1">
        <v>0</v>
      </c>
      <c r="AJ203" s="1">
        <f t="shared" si="18"/>
        <v>0</v>
      </c>
      <c r="AK203" s="1">
        <f>C25</f>
        <v>0</v>
      </c>
      <c r="AL203" s="1">
        <f>C31</f>
        <v>0</v>
      </c>
      <c r="AM203" s="1">
        <f t="shared" si="19"/>
        <v>0</v>
      </c>
      <c r="AN203" s="1">
        <f t="shared" si="20"/>
        <v>0</v>
      </c>
      <c r="AO203" s="1">
        <f t="shared" si="21"/>
        <v>0</v>
      </c>
      <c r="AP203" t="b" cm="1">
        <f t="array" ref="AP203">INDEX($AU$8:$BB$25,6*(R203-1)+MATCH(AB203,$AS$8:$AS$13,0),MATCH(O203,$AU$7:$BB$7,0))</f>
        <v>1</v>
      </c>
    </row>
    <row r="204" spans="15:42" ht="14.25" x14ac:dyDescent="0.45">
      <c r="O204" s="43" t="s">
        <v>30</v>
      </c>
      <c r="P204" s="43">
        <v>2</v>
      </c>
      <c r="Q204" s="43">
        <v>12</v>
      </c>
      <c r="R204" s="43">
        <v>2</v>
      </c>
      <c r="S204" s="45"/>
      <c r="T204" t="b">
        <f>(S203+S204+S205)=O3</f>
        <v>0</v>
      </c>
      <c r="X204" s="1">
        <f t="shared" si="17"/>
        <v>0</v>
      </c>
      <c r="Y204" s="48">
        <v>0</v>
      </c>
      <c r="AA204" s="1">
        <v>7</v>
      </c>
      <c r="AB204" s="1" t="s">
        <v>16</v>
      </c>
      <c r="AC204" s="1" t="s">
        <v>22</v>
      </c>
      <c r="AD204" s="1">
        <v>21</v>
      </c>
      <c r="AE204" s="1">
        <v>18</v>
      </c>
      <c r="AF204" s="1">
        <v>0.8</v>
      </c>
      <c r="AG204" s="1">
        <v>0.9</v>
      </c>
      <c r="AH204" s="1">
        <v>0</v>
      </c>
      <c r="AI204" s="1">
        <v>0</v>
      </c>
      <c r="AJ204" s="1">
        <f t="shared" si="18"/>
        <v>0</v>
      </c>
      <c r="AK204" s="1">
        <f>D25</f>
        <v>0</v>
      </c>
      <c r="AL204" s="1">
        <f>D31</f>
        <v>0</v>
      </c>
      <c r="AM204" s="1">
        <f t="shared" si="19"/>
        <v>0</v>
      </c>
      <c r="AN204" s="1">
        <f t="shared" si="20"/>
        <v>0</v>
      </c>
      <c r="AO204" s="1">
        <f t="shared" si="21"/>
        <v>0</v>
      </c>
      <c r="AP204" t="b" cm="1">
        <f t="array" ref="AP204">INDEX($AU$8:$BB$25,6*(R204-1)+MATCH(AB204,$AS$8:$AS$13,0),MATCH(O204,$AU$7:$BB$7,0))</f>
        <v>1</v>
      </c>
    </row>
    <row r="205" spans="15:42" ht="14.25" x14ac:dyDescent="0.45">
      <c r="O205" s="43" t="s">
        <v>30</v>
      </c>
      <c r="P205" s="43">
        <v>2</v>
      </c>
      <c r="Q205" s="43">
        <v>12</v>
      </c>
      <c r="R205" s="43">
        <v>3</v>
      </c>
      <c r="S205" s="45"/>
      <c r="T205" t="b">
        <f>(S203+S204+S205)=O3</f>
        <v>0</v>
      </c>
      <c r="X205" s="1">
        <f t="shared" si="17"/>
        <v>0</v>
      </c>
      <c r="Y205" s="48">
        <v>0</v>
      </c>
      <c r="AA205" s="1">
        <v>7</v>
      </c>
      <c r="AB205" s="1" t="s">
        <v>16</v>
      </c>
      <c r="AC205" s="1" t="s">
        <v>22</v>
      </c>
      <c r="AD205" s="1">
        <v>21</v>
      </c>
      <c r="AE205" s="1">
        <v>18</v>
      </c>
      <c r="AF205" s="1">
        <v>0.8</v>
      </c>
      <c r="AG205" s="1">
        <v>0.9</v>
      </c>
      <c r="AH205" s="1">
        <v>0</v>
      </c>
      <c r="AI205" s="1">
        <v>0</v>
      </c>
      <c r="AJ205" s="1">
        <f t="shared" si="18"/>
        <v>0</v>
      </c>
      <c r="AK205" s="1">
        <f>E25</f>
        <v>0</v>
      </c>
      <c r="AL205" s="1">
        <f>E31</f>
        <v>0</v>
      </c>
      <c r="AM205" s="1">
        <f t="shared" si="19"/>
        <v>0</v>
      </c>
      <c r="AN205" s="1">
        <f t="shared" si="20"/>
        <v>0</v>
      </c>
      <c r="AO205" s="1">
        <f t="shared" si="21"/>
        <v>0</v>
      </c>
      <c r="AP205" t="b" cm="1">
        <f t="array" ref="AP205">INDEX($AU$8:$BB$25,6*(R205-1)+MATCH(AB205,$AS$8:$AS$13,0),MATCH(O205,$AU$7:$BB$7,0))</f>
        <v>1</v>
      </c>
    </row>
    <row r="206" spans="15:42" ht="14.25" x14ac:dyDescent="0.45">
      <c r="O206" s="43" t="s">
        <v>30</v>
      </c>
      <c r="P206" s="43">
        <v>2</v>
      </c>
      <c r="Q206" s="43">
        <v>13</v>
      </c>
      <c r="R206" s="43">
        <v>1</v>
      </c>
      <c r="S206" s="45"/>
      <c r="T206" t="b">
        <f>(S206+S207+S208)=O3</f>
        <v>0</v>
      </c>
      <c r="X206" s="1">
        <f t="shared" si="17"/>
        <v>0</v>
      </c>
      <c r="Y206" s="48">
        <v>0</v>
      </c>
      <c r="AA206" s="1">
        <v>8</v>
      </c>
      <c r="AB206" s="1" t="s">
        <v>15</v>
      </c>
      <c r="AC206" s="1" t="s">
        <v>21</v>
      </c>
      <c r="AD206" s="1">
        <v>12</v>
      </c>
      <c r="AE206" s="1">
        <v>9</v>
      </c>
      <c r="AF206" s="1">
        <v>0.76</v>
      </c>
      <c r="AG206" s="1">
        <v>0.84</v>
      </c>
      <c r="AH206" s="1">
        <v>0</v>
      </c>
      <c r="AI206" s="1">
        <v>0</v>
      </c>
      <c r="AJ206" s="1">
        <f t="shared" si="18"/>
        <v>0</v>
      </c>
      <c r="AK206" s="1">
        <f>C24</f>
        <v>0</v>
      </c>
      <c r="AL206" s="1">
        <f>C30</f>
        <v>0</v>
      </c>
      <c r="AM206" s="1">
        <f t="shared" si="19"/>
        <v>0</v>
      </c>
      <c r="AN206" s="1">
        <f t="shared" si="20"/>
        <v>0</v>
      </c>
      <c r="AO206" s="1">
        <f t="shared" si="21"/>
        <v>0</v>
      </c>
      <c r="AP206" t="b" cm="1">
        <f t="array" ref="AP206">INDEX($AU$8:$BB$25,6*(R206-1)+MATCH(AB206,$AS$8:$AS$13,0),MATCH(O206,$AU$7:$BB$7,0))</f>
        <v>1</v>
      </c>
    </row>
    <row r="207" spans="15:42" ht="14.25" x14ac:dyDescent="0.45">
      <c r="O207" s="43" t="s">
        <v>30</v>
      </c>
      <c r="P207" s="43">
        <v>2</v>
      </c>
      <c r="Q207" s="43">
        <v>13</v>
      </c>
      <c r="R207" s="43">
        <v>2</v>
      </c>
      <c r="S207" s="45"/>
      <c r="T207" t="b">
        <f>(S206+S207+S208)=O3</f>
        <v>0</v>
      </c>
      <c r="X207" s="1">
        <f t="shared" si="17"/>
        <v>0</v>
      </c>
      <c r="Y207" s="48">
        <v>0</v>
      </c>
      <c r="AA207" s="1">
        <v>8</v>
      </c>
      <c r="AB207" s="1" t="s">
        <v>15</v>
      </c>
      <c r="AC207" s="1" t="s">
        <v>21</v>
      </c>
      <c r="AD207" s="1">
        <v>12</v>
      </c>
      <c r="AE207" s="1">
        <v>9</v>
      </c>
      <c r="AF207" s="1">
        <v>0.76</v>
      </c>
      <c r="AG207" s="1">
        <v>0.84</v>
      </c>
      <c r="AH207" s="1">
        <v>0</v>
      </c>
      <c r="AI207" s="1">
        <v>0</v>
      </c>
      <c r="AJ207" s="1">
        <f t="shared" si="18"/>
        <v>0</v>
      </c>
      <c r="AK207" s="1">
        <f>D24</f>
        <v>0</v>
      </c>
      <c r="AL207" s="1">
        <f>D30</f>
        <v>0</v>
      </c>
      <c r="AM207" s="1">
        <f t="shared" si="19"/>
        <v>0</v>
      </c>
      <c r="AN207" s="1">
        <f t="shared" si="20"/>
        <v>0</v>
      </c>
      <c r="AO207" s="1">
        <f t="shared" si="21"/>
        <v>0</v>
      </c>
      <c r="AP207" t="b" cm="1">
        <f t="array" ref="AP207">INDEX($AU$8:$BB$25,6*(R207-1)+MATCH(AB207,$AS$8:$AS$13,0),MATCH(O207,$AU$7:$BB$7,0))</f>
        <v>1</v>
      </c>
    </row>
    <row r="208" spans="15:42" ht="14.25" x14ac:dyDescent="0.45">
      <c r="O208" s="43" t="s">
        <v>30</v>
      </c>
      <c r="P208" s="43">
        <v>2</v>
      </c>
      <c r="Q208" s="43">
        <v>13</v>
      </c>
      <c r="R208" s="43">
        <v>3</v>
      </c>
      <c r="S208" s="45"/>
      <c r="T208" t="b">
        <f>(S206+S207+S208)=O3</f>
        <v>0</v>
      </c>
      <c r="X208" s="1">
        <f t="shared" si="17"/>
        <v>0</v>
      </c>
      <c r="Y208" s="48">
        <v>0</v>
      </c>
      <c r="AA208" s="1">
        <v>8</v>
      </c>
      <c r="AB208" s="1" t="s">
        <v>15</v>
      </c>
      <c r="AC208" s="1" t="s">
        <v>21</v>
      </c>
      <c r="AD208" s="1">
        <v>12</v>
      </c>
      <c r="AE208" s="1">
        <v>9</v>
      </c>
      <c r="AF208" s="1">
        <v>0.76</v>
      </c>
      <c r="AG208" s="1">
        <v>0.84</v>
      </c>
      <c r="AH208" s="1">
        <v>0</v>
      </c>
      <c r="AI208" s="1">
        <v>0</v>
      </c>
      <c r="AJ208" s="1">
        <f t="shared" si="18"/>
        <v>0</v>
      </c>
      <c r="AK208" s="1">
        <f>E24</f>
        <v>0</v>
      </c>
      <c r="AL208" s="1">
        <f>E30</f>
        <v>0</v>
      </c>
      <c r="AM208" s="1">
        <f t="shared" si="19"/>
        <v>0</v>
      </c>
      <c r="AN208" s="1">
        <f t="shared" si="20"/>
        <v>0</v>
      </c>
      <c r="AO208" s="1">
        <f t="shared" si="21"/>
        <v>0</v>
      </c>
      <c r="AP208" t="b" cm="1">
        <f t="array" ref="AP208">INDEX($AU$8:$BB$25,6*(R208-1)+MATCH(AB208,$AS$8:$AS$13,0),MATCH(O208,$AU$7:$BB$7,0))</f>
        <v>1</v>
      </c>
    </row>
    <row r="209" spans="15:42" ht="14.25" x14ac:dyDescent="0.45">
      <c r="O209" s="43" t="s">
        <v>30</v>
      </c>
      <c r="P209" s="43">
        <v>2</v>
      </c>
      <c r="Q209" s="43">
        <v>14</v>
      </c>
      <c r="R209" s="43">
        <v>1</v>
      </c>
      <c r="S209" s="45"/>
      <c r="T209" t="b">
        <f>(S209+S210+S211)=O3</f>
        <v>0</v>
      </c>
      <c r="X209" s="1">
        <f t="shared" si="17"/>
        <v>0</v>
      </c>
      <c r="Y209" s="48">
        <v>0</v>
      </c>
      <c r="AA209" s="1">
        <v>5</v>
      </c>
      <c r="AB209" s="1" t="s">
        <v>15</v>
      </c>
      <c r="AC209" s="1" t="s">
        <v>21</v>
      </c>
      <c r="AD209" s="1">
        <v>15</v>
      </c>
      <c r="AE209" s="1">
        <v>12</v>
      </c>
      <c r="AF209" s="1">
        <v>0.76</v>
      </c>
      <c r="AG209" s="1">
        <v>0.84</v>
      </c>
      <c r="AH209" s="1">
        <v>0</v>
      </c>
      <c r="AI209" s="1">
        <v>0</v>
      </c>
      <c r="AJ209" s="1">
        <f t="shared" si="18"/>
        <v>0</v>
      </c>
      <c r="AK209" s="1">
        <f>C24</f>
        <v>0</v>
      </c>
      <c r="AL209" s="1">
        <f>C30</f>
        <v>0</v>
      </c>
      <c r="AM209" s="1">
        <f t="shared" si="19"/>
        <v>0</v>
      </c>
      <c r="AN209" s="1">
        <f t="shared" si="20"/>
        <v>0</v>
      </c>
      <c r="AO209" s="1">
        <f t="shared" si="21"/>
        <v>0</v>
      </c>
      <c r="AP209" t="b" cm="1">
        <f t="array" ref="AP209">INDEX($AU$8:$BB$25,6*(R209-1)+MATCH(AB209,$AS$8:$AS$13,0),MATCH(O209,$AU$7:$BB$7,0))</f>
        <v>1</v>
      </c>
    </row>
    <row r="210" spans="15:42" ht="14.25" x14ac:dyDescent="0.45">
      <c r="O210" s="43" t="s">
        <v>30</v>
      </c>
      <c r="P210" s="43">
        <v>2</v>
      </c>
      <c r="Q210" s="43">
        <v>14</v>
      </c>
      <c r="R210" s="43">
        <v>2</v>
      </c>
      <c r="S210" s="45"/>
      <c r="T210" t="b">
        <f>(S209+S210+S211)=O3</f>
        <v>0</v>
      </c>
      <c r="X210" s="1">
        <f t="shared" si="17"/>
        <v>0</v>
      </c>
      <c r="Y210" s="48">
        <v>0</v>
      </c>
      <c r="AA210" s="1">
        <v>5</v>
      </c>
      <c r="AB210" s="1" t="s">
        <v>15</v>
      </c>
      <c r="AC210" s="1" t="s">
        <v>21</v>
      </c>
      <c r="AD210" s="1">
        <v>15</v>
      </c>
      <c r="AE210" s="1">
        <v>12</v>
      </c>
      <c r="AF210" s="1">
        <v>0.76</v>
      </c>
      <c r="AG210" s="1">
        <v>0.84</v>
      </c>
      <c r="AH210" s="1">
        <v>0</v>
      </c>
      <c r="AI210" s="1">
        <v>0</v>
      </c>
      <c r="AJ210" s="1">
        <f t="shared" si="18"/>
        <v>0</v>
      </c>
      <c r="AK210" s="1">
        <f>D24</f>
        <v>0</v>
      </c>
      <c r="AL210" s="1">
        <f>D30</f>
        <v>0</v>
      </c>
      <c r="AM210" s="1">
        <f t="shared" si="19"/>
        <v>0</v>
      </c>
      <c r="AN210" s="1">
        <f t="shared" si="20"/>
        <v>0</v>
      </c>
      <c r="AO210" s="1">
        <f t="shared" si="21"/>
        <v>0</v>
      </c>
      <c r="AP210" t="b" cm="1">
        <f t="array" ref="AP210">INDEX($AU$8:$BB$25,6*(R210-1)+MATCH(AB210,$AS$8:$AS$13,0),MATCH(O210,$AU$7:$BB$7,0))</f>
        <v>1</v>
      </c>
    </row>
    <row r="211" spans="15:42" ht="14.25" x14ac:dyDescent="0.45">
      <c r="O211" s="43" t="s">
        <v>30</v>
      </c>
      <c r="P211" s="43">
        <v>2</v>
      </c>
      <c r="Q211" s="43">
        <v>14</v>
      </c>
      <c r="R211" s="43">
        <v>3</v>
      </c>
      <c r="S211" s="45"/>
      <c r="T211" t="b">
        <f>(S209+S210+S211)=O3</f>
        <v>0</v>
      </c>
      <c r="X211" s="1">
        <f t="shared" si="17"/>
        <v>0</v>
      </c>
      <c r="Y211" s="48">
        <v>0</v>
      </c>
      <c r="AA211" s="1">
        <v>5</v>
      </c>
      <c r="AB211" s="1" t="s">
        <v>15</v>
      </c>
      <c r="AC211" s="1" t="s">
        <v>21</v>
      </c>
      <c r="AD211" s="1">
        <v>15</v>
      </c>
      <c r="AE211" s="1">
        <v>12</v>
      </c>
      <c r="AF211" s="1">
        <v>0.76</v>
      </c>
      <c r="AG211" s="1">
        <v>0.84</v>
      </c>
      <c r="AH211" s="1">
        <v>0</v>
      </c>
      <c r="AI211" s="1">
        <v>0</v>
      </c>
      <c r="AJ211" s="1">
        <f t="shared" si="18"/>
        <v>0</v>
      </c>
      <c r="AK211" s="1">
        <f>E24</f>
        <v>0</v>
      </c>
      <c r="AL211" s="1">
        <f>E30</f>
        <v>0</v>
      </c>
      <c r="AM211" s="1">
        <f t="shared" si="19"/>
        <v>0</v>
      </c>
      <c r="AN211" s="1">
        <f t="shared" si="20"/>
        <v>0</v>
      </c>
      <c r="AO211" s="1">
        <f t="shared" si="21"/>
        <v>0</v>
      </c>
      <c r="AP211" t="b" cm="1">
        <f t="array" ref="AP211">INDEX($AU$8:$BB$25,6*(R211-1)+MATCH(AB211,$AS$8:$AS$13,0),MATCH(O211,$AU$7:$BB$7,0))</f>
        <v>1</v>
      </c>
    </row>
    <row r="212" spans="15:42" ht="14.25" x14ac:dyDescent="0.45">
      <c r="O212" s="43" t="s">
        <v>30</v>
      </c>
      <c r="P212" s="43">
        <v>2</v>
      </c>
      <c r="Q212" s="43">
        <v>15</v>
      </c>
      <c r="R212" s="43">
        <v>1</v>
      </c>
      <c r="S212" s="45"/>
      <c r="T212" t="b">
        <f>(S212+S213+S214)=O3</f>
        <v>0</v>
      </c>
      <c r="X212" s="1">
        <f t="shared" si="17"/>
        <v>0</v>
      </c>
      <c r="Y212" s="48">
        <v>0</v>
      </c>
      <c r="AA212" s="1">
        <v>7</v>
      </c>
      <c r="AB212" s="1" t="s">
        <v>15</v>
      </c>
      <c r="AC212" s="1" t="s">
        <v>21</v>
      </c>
      <c r="AD212" s="1">
        <v>13</v>
      </c>
      <c r="AE212" s="1">
        <v>10</v>
      </c>
      <c r="AF212" s="1">
        <v>0.76</v>
      </c>
      <c r="AG212" s="1">
        <v>0.84</v>
      </c>
      <c r="AH212" s="1">
        <v>0</v>
      </c>
      <c r="AI212" s="1">
        <v>0</v>
      </c>
      <c r="AJ212" s="1">
        <f t="shared" si="18"/>
        <v>0</v>
      </c>
      <c r="AK212" s="1">
        <f>C24</f>
        <v>0</v>
      </c>
      <c r="AL212" s="1">
        <f>C30</f>
        <v>0</v>
      </c>
      <c r="AM212" s="1">
        <f t="shared" si="19"/>
        <v>0</v>
      </c>
      <c r="AN212" s="1">
        <f t="shared" si="20"/>
        <v>0</v>
      </c>
      <c r="AO212" s="1">
        <f t="shared" si="21"/>
        <v>0</v>
      </c>
      <c r="AP212" t="b" cm="1">
        <f t="array" ref="AP212">INDEX($AU$8:$BB$25,6*(R212-1)+MATCH(AB212,$AS$8:$AS$13,0),MATCH(O212,$AU$7:$BB$7,0))</f>
        <v>1</v>
      </c>
    </row>
    <row r="213" spans="15:42" ht="14.25" x14ac:dyDescent="0.45">
      <c r="O213" s="43" t="s">
        <v>30</v>
      </c>
      <c r="P213" s="43">
        <v>2</v>
      </c>
      <c r="Q213" s="43">
        <v>15</v>
      </c>
      <c r="R213" s="43">
        <v>2</v>
      </c>
      <c r="S213" s="45"/>
      <c r="T213" t="b">
        <f>(S212+S213+S214)=O3</f>
        <v>0</v>
      </c>
      <c r="X213" s="1">
        <f t="shared" si="17"/>
        <v>0</v>
      </c>
      <c r="Y213" s="48">
        <v>0</v>
      </c>
      <c r="AA213" s="1">
        <v>7</v>
      </c>
      <c r="AB213" s="1" t="s">
        <v>15</v>
      </c>
      <c r="AC213" s="1" t="s">
        <v>21</v>
      </c>
      <c r="AD213" s="1">
        <v>13</v>
      </c>
      <c r="AE213" s="1">
        <v>10</v>
      </c>
      <c r="AF213" s="1">
        <v>0.76</v>
      </c>
      <c r="AG213" s="1">
        <v>0.84</v>
      </c>
      <c r="AH213" s="1">
        <v>0</v>
      </c>
      <c r="AI213" s="1">
        <v>0</v>
      </c>
      <c r="AJ213" s="1">
        <f t="shared" si="18"/>
        <v>0</v>
      </c>
      <c r="AK213" s="1">
        <f>D24</f>
        <v>0</v>
      </c>
      <c r="AL213" s="1">
        <f>D30</f>
        <v>0</v>
      </c>
      <c r="AM213" s="1">
        <f t="shared" si="19"/>
        <v>0</v>
      </c>
      <c r="AN213" s="1">
        <f t="shared" si="20"/>
        <v>0</v>
      </c>
      <c r="AO213" s="1">
        <f t="shared" si="21"/>
        <v>0</v>
      </c>
      <c r="AP213" t="b" cm="1">
        <f t="array" ref="AP213">INDEX($AU$8:$BB$25,6*(R213-1)+MATCH(AB213,$AS$8:$AS$13,0),MATCH(O213,$AU$7:$BB$7,0))</f>
        <v>1</v>
      </c>
    </row>
    <row r="214" spans="15:42" ht="14.25" x14ac:dyDescent="0.45">
      <c r="O214" s="43" t="s">
        <v>30</v>
      </c>
      <c r="P214" s="43">
        <v>2</v>
      </c>
      <c r="Q214" s="43">
        <v>15</v>
      </c>
      <c r="R214" s="43">
        <v>3</v>
      </c>
      <c r="S214" s="45"/>
      <c r="T214" t="b">
        <f>(S212+S213+S214)=O3</f>
        <v>0</v>
      </c>
      <c r="X214" s="1">
        <f t="shared" si="17"/>
        <v>0</v>
      </c>
      <c r="Y214" s="48">
        <v>0</v>
      </c>
      <c r="AA214" s="1">
        <v>7</v>
      </c>
      <c r="AB214" s="1" t="s">
        <v>15</v>
      </c>
      <c r="AC214" s="1" t="s">
        <v>21</v>
      </c>
      <c r="AD214" s="1">
        <v>13</v>
      </c>
      <c r="AE214" s="1">
        <v>10</v>
      </c>
      <c r="AF214" s="1">
        <v>0.76</v>
      </c>
      <c r="AG214" s="1">
        <v>0.84</v>
      </c>
      <c r="AH214" s="1">
        <v>0</v>
      </c>
      <c r="AI214" s="1">
        <v>0</v>
      </c>
      <c r="AJ214" s="1">
        <f t="shared" si="18"/>
        <v>0</v>
      </c>
      <c r="AK214" s="1">
        <f>E24</f>
        <v>0</v>
      </c>
      <c r="AL214" s="1">
        <f>E30</f>
        <v>0</v>
      </c>
      <c r="AM214" s="1">
        <f t="shared" si="19"/>
        <v>0</v>
      </c>
      <c r="AN214" s="1">
        <f t="shared" si="20"/>
        <v>0</v>
      </c>
      <c r="AO214" s="1">
        <f t="shared" si="21"/>
        <v>0</v>
      </c>
      <c r="AP214" t="b" cm="1">
        <f t="array" ref="AP214">INDEX($AU$8:$BB$25,6*(R214-1)+MATCH(AB214,$AS$8:$AS$13,0),MATCH(O214,$AU$7:$BB$7,0))</f>
        <v>1</v>
      </c>
    </row>
    <row r="215" spans="15:42" ht="14.25" x14ac:dyDescent="0.45">
      <c r="O215" s="43" t="s">
        <v>30</v>
      </c>
      <c r="P215" s="43">
        <v>3</v>
      </c>
      <c r="Q215" s="43">
        <v>1</v>
      </c>
      <c r="R215" s="43">
        <v>1</v>
      </c>
      <c r="S215" s="45"/>
      <c r="T215" t="b">
        <f>(S215+S216+S217)=O4</f>
        <v>0</v>
      </c>
      <c r="X215" s="1">
        <v>0</v>
      </c>
      <c r="Y215" s="48">
        <v>0</v>
      </c>
      <c r="AA215" s="1">
        <v>1</v>
      </c>
      <c r="AB215" s="1" t="s">
        <v>13</v>
      </c>
      <c r="AC215" s="1" t="s">
        <v>19</v>
      </c>
      <c r="AD215" s="1">
        <v>21</v>
      </c>
      <c r="AE215" s="1">
        <v>20</v>
      </c>
      <c r="AF215" s="1">
        <v>0.8</v>
      </c>
      <c r="AG215" s="1">
        <v>0.86</v>
      </c>
      <c r="AH215" s="1">
        <v>0</v>
      </c>
      <c r="AI215" s="1">
        <v>0</v>
      </c>
      <c r="AJ215" s="1">
        <f t="shared" si="18"/>
        <v>0</v>
      </c>
      <c r="AK215" s="1">
        <f>C22</f>
        <v>0</v>
      </c>
      <c r="AL215" s="1">
        <f>C28</f>
        <v>0</v>
      </c>
      <c r="AM215" s="1">
        <f t="shared" si="19"/>
        <v>0</v>
      </c>
      <c r="AN215" s="1">
        <f t="shared" si="20"/>
        <v>0</v>
      </c>
      <c r="AO215" s="1">
        <f t="shared" si="21"/>
        <v>0</v>
      </c>
      <c r="AP215" t="b" cm="1">
        <f t="array" ref="AP215">INDEX($AU$8:$BB$25,6*(R215-1)+MATCH(AB215,$AS$8:$AS$13,0),MATCH(O215,$AU$7:$BB$7,0))</f>
        <v>1</v>
      </c>
    </row>
    <row r="216" spans="15:42" ht="14.25" x14ac:dyDescent="0.45">
      <c r="O216" s="43" t="s">
        <v>30</v>
      </c>
      <c r="P216" s="43">
        <v>3</v>
      </c>
      <c r="Q216" s="43">
        <v>1</v>
      </c>
      <c r="R216" s="43">
        <v>2</v>
      </c>
      <c r="S216" s="45"/>
      <c r="T216" t="b">
        <f>(S215+S216+S217)=O4</f>
        <v>0</v>
      </c>
      <c r="X216" s="1">
        <v>0</v>
      </c>
      <c r="Y216" s="48">
        <v>0</v>
      </c>
      <c r="AA216" s="1">
        <v>1</v>
      </c>
      <c r="AB216" s="1" t="s">
        <v>13</v>
      </c>
      <c r="AC216" s="1" t="s">
        <v>19</v>
      </c>
      <c r="AD216" s="1">
        <v>21</v>
      </c>
      <c r="AE216" s="1">
        <v>20</v>
      </c>
      <c r="AF216" s="1">
        <v>0.8</v>
      </c>
      <c r="AG216" s="1">
        <v>0.86</v>
      </c>
      <c r="AH216" s="1">
        <v>0</v>
      </c>
      <c r="AI216" s="1">
        <v>0</v>
      </c>
      <c r="AJ216" s="1">
        <f t="shared" si="18"/>
        <v>0</v>
      </c>
      <c r="AK216" s="1">
        <f>D22</f>
        <v>0</v>
      </c>
      <c r="AL216" s="1">
        <f>D28</f>
        <v>0</v>
      </c>
      <c r="AM216" s="1">
        <f t="shared" si="19"/>
        <v>0</v>
      </c>
      <c r="AN216" s="1">
        <f t="shared" si="20"/>
        <v>0</v>
      </c>
      <c r="AO216" s="1">
        <f t="shared" si="21"/>
        <v>0</v>
      </c>
      <c r="AP216" t="b" cm="1">
        <f t="array" ref="AP216">INDEX($AU$8:$BB$25,6*(R216-1)+MATCH(AB216,$AS$8:$AS$13,0),MATCH(O216,$AU$7:$BB$7,0))</f>
        <v>1</v>
      </c>
    </row>
    <row r="217" spans="15:42" ht="14.25" x14ac:dyDescent="0.45">
      <c r="O217" s="43" t="s">
        <v>30</v>
      </c>
      <c r="P217" s="43">
        <v>3</v>
      </c>
      <c r="Q217" s="43">
        <v>1</v>
      </c>
      <c r="R217" s="43">
        <v>3</v>
      </c>
      <c r="S217" s="45"/>
      <c r="T217" t="b">
        <f>(S215+S216+S217)=O4</f>
        <v>0</v>
      </c>
      <c r="X217" s="1">
        <v>0</v>
      </c>
      <c r="Y217" s="48">
        <v>0</v>
      </c>
      <c r="AA217" s="1">
        <v>1</v>
      </c>
      <c r="AB217" s="1" t="s">
        <v>13</v>
      </c>
      <c r="AC217" s="1" t="s">
        <v>19</v>
      </c>
      <c r="AD217" s="1">
        <v>21</v>
      </c>
      <c r="AE217" s="1">
        <v>20</v>
      </c>
      <c r="AF217" s="1">
        <v>0.8</v>
      </c>
      <c r="AG217" s="1">
        <v>0.86</v>
      </c>
      <c r="AH217" s="1">
        <v>0</v>
      </c>
      <c r="AI217" s="1">
        <v>0</v>
      </c>
      <c r="AJ217" s="1">
        <f t="shared" si="18"/>
        <v>0</v>
      </c>
      <c r="AK217" s="1">
        <f>E22</f>
        <v>0</v>
      </c>
      <c r="AL217" s="1">
        <f>E28</f>
        <v>0</v>
      </c>
      <c r="AM217" s="1">
        <f t="shared" si="19"/>
        <v>0</v>
      </c>
      <c r="AN217" s="1">
        <f t="shared" si="20"/>
        <v>0</v>
      </c>
      <c r="AO217" s="1">
        <f t="shared" si="21"/>
        <v>0</v>
      </c>
      <c r="AP217" t="b" cm="1">
        <f t="array" ref="AP217">INDEX($AU$8:$BB$25,6*(R217-1)+MATCH(AB217,$AS$8:$AS$13,0),MATCH(O217,$AU$7:$BB$7,0))</f>
        <v>1</v>
      </c>
    </row>
    <row r="218" spans="15:42" ht="14.25" x14ac:dyDescent="0.45">
      <c r="O218" s="43" t="s">
        <v>30</v>
      </c>
      <c r="P218" s="43">
        <v>3</v>
      </c>
      <c r="Q218" s="43">
        <v>2</v>
      </c>
      <c r="R218" s="43">
        <v>1</v>
      </c>
      <c r="S218" s="45"/>
      <c r="T218" t="b">
        <f>(S218+S219+S220)=O4</f>
        <v>0</v>
      </c>
      <c r="X218" s="1">
        <f t="shared" ref="X218:X265" si="22">MAX(S215-S218,0)</f>
        <v>0</v>
      </c>
      <c r="Y218" s="48">
        <v>0</v>
      </c>
      <c r="AA218" s="1">
        <v>8</v>
      </c>
      <c r="AB218" s="1" t="s">
        <v>14</v>
      </c>
      <c r="AC218" s="1" t="s">
        <v>20</v>
      </c>
      <c r="AD218" s="1">
        <v>9</v>
      </c>
      <c r="AE218" s="1">
        <v>7</v>
      </c>
      <c r="AF218" s="1">
        <v>0.8</v>
      </c>
      <c r="AG218" s="1">
        <v>0.88</v>
      </c>
      <c r="AH218" s="1">
        <v>0</v>
      </c>
      <c r="AI218" s="1">
        <v>0</v>
      </c>
      <c r="AJ218" s="1">
        <f t="shared" si="18"/>
        <v>0</v>
      </c>
      <c r="AK218" s="1">
        <f>C23</f>
        <v>0</v>
      </c>
      <c r="AL218" s="1">
        <f>C29</f>
        <v>0</v>
      </c>
      <c r="AM218" s="1">
        <f t="shared" si="19"/>
        <v>0</v>
      </c>
      <c r="AN218" s="1">
        <f t="shared" si="20"/>
        <v>0</v>
      </c>
      <c r="AO218" s="1">
        <f t="shared" si="21"/>
        <v>0</v>
      </c>
      <c r="AP218" t="b" cm="1">
        <f t="array" ref="AP218">INDEX($AU$8:$BB$25,6*(R218-1)+MATCH(AB218,$AS$8:$AS$13,0),MATCH(O218,$AU$7:$BB$7,0))</f>
        <v>1</v>
      </c>
    </row>
    <row r="219" spans="15:42" ht="14.25" x14ac:dyDescent="0.45">
      <c r="O219" s="43" t="s">
        <v>30</v>
      </c>
      <c r="P219" s="43">
        <v>3</v>
      </c>
      <c r="Q219" s="43">
        <v>2</v>
      </c>
      <c r="R219" s="43">
        <v>2</v>
      </c>
      <c r="S219" s="45"/>
      <c r="T219" t="b">
        <f>(S218+S219+S220)=O4</f>
        <v>0</v>
      </c>
      <c r="X219" s="1">
        <f t="shared" si="22"/>
        <v>0</v>
      </c>
      <c r="Y219" s="48">
        <v>0</v>
      </c>
      <c r="AA219" s="1">
        <v>8</v>
      </c>
      <c r="AB219" s="1" t="s">
        <v>14</v>
      </c>
      <c r="AC219" s="1" t="s">
        <v>20</v>
      </c>
      <c r="AD219" s="1">
        <v>9</v>
      </c>
      <c r="AE219" s="1">
        <v>7</v>
      </c>
      <c r="AF219" s="1">
        <v>0.8</v>
      </c>
      <c r="AG219" s="1">
        <v>0.88</v>
      </c>
      <c r="AH219" s="1">
        <v>0</v>
      </c>
      <c r="AI219" s="1">
        <v>0</v>
      </c>
      <c r="AJ219" s="1">
        <f t="shared" si="18"/>
        <v>0</v>
      </c>
      <c r="AK219" s="1">
        <f>D23</f>
        <v>0</v>
      </c>
      <c r="AL219" s="1">
        <f>D29</f>
        <v>0</v>
      </c>
      <c r="AM219" s="1">
        <f t="shared" si="19"/>
        <v>0</v>
      </c>
      <c r="AN219" s="1">
        <f t="shared" si="20"/>
        <v>0</v>
      </c>
      <c r="AO219" s="1">
        <f t="shared" si="21"/>
        <v>0</v>
      </c>
      <c r="AP219" t="b" cm="1">
        <f t="array" ref="AP219">INDEX($AU$8:$BB$25,6*(R219-1)+MATCH(AB219,$AS$8:$AS$13,0),MATCH(O219,$AU$7:$BB$7,0))</f>
        <v>1</v>
      </c>
    </row>
    <row r="220" spans="15:42" ht="14.25" x14ac:dyDescent="0.45">
      <c r="O220" s="43" t="s">
        <v>30</v>
      </c>
      <c r="P220" s="43">
        <v>3</v>
      </c>
      <c r="Q220" s="43">
        <v>2</v>
      </c>
      <c r="R220" s="43">
        <v>3</v>
      </c>
      <c r="S220" s="45"/>
      <c r="T220" t="b">
        <f>(S218+S219+S220)=O4</f>
        <v>0</v>
      </c>
      <c r="X220" s="1">
        <f t="shared" si="22"/>
        <v>0</v>
      </c>
      <c r="Y220" s="48">
        <v>0</v>
      </c>
      <c r="AA220" s="1">
        <v>8</v>
      </c>
      <c r="AB220" s="1" t="s">
        <v>14</v>
      </c>
      <c r="AC220" s="1" t="s">
        <v>20</v>
      </c>
      <c r="AD220" s="1">
        <v>9</v>
      </c>
      <c r="AE220" s="1">
        <v>7</v>
      </c>
      <c r="AF220" s="1">
        <v>0.8</v>
      </c>
      <c r="AG220" s="1">
        <v>0.88</v>
      </c>
      <c r="AH220" s="1">
        <v>0</v>
      </c>
      <c r="AI220" s="1">
        <v>0</v>
      </c>
      <c r="AJ220" s="1">
        <f t="shared" si="18"/>
        <v>0</v>
      </c>
      <c r="AK220" s="1">
        <f>E23</f>
        <v>0</v>
      </c>
      <c r="AL220" s="1">
        <f>E29</f>
        <v>0</v>
      </c>
      <c r="AM220" s="1">
        <f t="shared" si="19"/>
        <v>0</v>
      </c>
      <c r="AN220" s="1">
        <f t="shared" si="20"/>
        <v>0</v>
      </c>
      <c r="AO220" s="1">
        <f t="shared" si="21"/>
        <v>0</v>
      </c>
      <c r="AP220" t="b" cm="1">
        <f t="array" ref="AP220">INDEX($AU$8:$BB$25,6*(R220-1)+MATCH(AB220,$AS$8:$AS$13,0),MATCH(O220,$AU$7:$BB$7,0))</f>
        <v>1</v>
      </c>
    </row>
    <row r="221" spans="15:42" ht="14.25" x14ac:dyDescent="0.45">
      <c r="O221" s="43" t="s">
        <v>30</v>
      </c>
      <c r="P221" s="43">
        <v>3</v>
      </c>
      <c r="Q221" s="43">
        <v>3</v>
      </c>
      <c r="R221" s="43">
        <v>1</v>
      </c>
      <c r="S221" s="45"/>
      <c r="T221" t="b">
        <f>(S221+S222+S223)=O4</f>
        <v>0</v>
      </c>
      <c r="X221" s="1">
        <f t="shared" si="22"/>
        <v>0</v>
      </c>
      <c r="Y221" s="48">
        <v>0</v>
      </c>
      <c r="AA221" s="1">
        <v>1</v>
      </c>
      <c r="AB221" s="1" t="s">
        <v>15</v>
      </c>
      <c r="AC221" s="1" t="s">
        <v>21</v>
      </c>
      <c r="AD221" s="1">
        <v>24</v>
      </c>
      <c r="AE221" s="1">
        <v>23</v>
      </c>
      <c r="AF221" s="1">
        <v>0.76</v>
      </c>
      <c r="AG221" s="1">
        <v>0.84</v>
      </c>
      <c r="AH221" s="1">
        <v>0</v>
      </c>
      <c r="AI221" s="1">
        <v>0</v>
      </c>
      <c r="AJ221" s="1">
        <f t="shared" si="18"/>
        <v>0</v>
      </c>
      <c r="AK221" s="1">
        <f>C24</f>
        <v>0</v>
      </c>
      <c r="AL221" s="1">
        <f>C30</f>
        <v>0</v>
      </c>
      <c r="AM221" s="1">
        <f t="shared" si="19"/>
        <v>0</v>
      </c>
      <c r="AN221" s="1">
        <f t="shared" si="20"/>
        <v>0</v>
      </c>
      <c r="AO221" s="1">
        <f t="shared" si="21"/>
        <v>0</v>
      </c>
      <c r="AP221" t="b" cm="1">
        <f t="array" ref="AP221">INDEX($AU$8:$BB$25,6*(R221-1)+MATCH(AB221,$AS$8:$AS$13,0),MATCH(O221,$AU$7:$BB$7,0))</f>
        <v>1</v>
      </c>
    </row>
    <row r="222" spans="15:42" ht="14.25" x14ac:dyDescent="0.45">
      <c r="O222" s="43" t="s">
        <v>30</v>
      </c>
      <c r="P222" s="43">
        <v>3</v>
      </c>
      <c r="Q222" s="43">
        <v>3</v>
      </c>
      <c r="R222" s="43">
        <v>2</v>
      </c>
      <c r="S222" s="45"/>
      <c r="T222" t="b">
        <f>(S221+S222+S223)=O4</f>
        <v>0</v>
      </c>
      <c r="X222" s="1">
        <f t="shared" si="22"/>
        <v>0</v>
      </c>
      <c r="Y222" s="48">
        <v>0</v>
      </c>
      <c r="AA222" s="1">
        <v>1</v>
      </c>
      <c r="AB222" s="1" t="s">
        <v>15</v>
      </c>
      <c r="AC222" s="1" t="s">
        <v>21</v>
      </c>
      <c r="AD222" s="1">
        <v>24</v>
      </c>
      <c r="AE222" s="1">
        <v>23</v>
      </c>
      <c r="AF222" s="1">
        <v>0.76</v>
      </c>
      <c r="AG222" s="1">
        <v>0.84</v>
      </c>
      <c r="AH222" s="1">
        <v>0</v>
      </c>
      <c r="AI222" s="1">
        <v>0</v>
      </c>
      <c r="AJ222" s="1">
        <f t="shared" si="18"/>
        <v>0</v>
      </c>
      <c r="AK222" s="1">
        <f>D24</f>
        <v>0</v>
      </c>
      <c r="AL222" s="1">
        <f>D30</f>
        <v>0</v>
      </c>
      <c r="AM222" s="1">
        <f t="shared" si="19"/>
        <v>0</v>
      </c>
      <c r="AN222" s="1">
        <f t="shared" si="20"/>
        <v>0</v>
      </c>
      <c r="AO222" s="1">
        <f t="shared" si="21"/>
        <v>0</v>
      </c>
      <c r="AP222" t="b" cm="1">
        <f t="array" ref="AP222">INDEX($AU$8:$BB$25,6*(R222-1)+MATCH(AB222,$AS$8:$AS$13,0),MATCH(O222,$AU$7:$BB$7,0))</f>
        <v>1</v>
      </c>
    </row>
    <row r="223" spans="15:42" ht="14.25" x14ac:dyDescent="0.45">
      <c r="O223" s="43" t="s">
        <v>30</v>
      </c>
      <c r="P223" s="43">
        <v>3</v>
      </c>
      <c r="Q223" s="43">
        <v>3</v>
      </c>
      <c r="R223" s="43">
        <v>3</v>
      </c>
      <c r="S223" s="45"/>
      <c r="T223" t="b">
        <f>(S221+S222+S223)=O4</f>
        <v>0</v>
      </c>
      <c r="X223" s="1">
        <f t="shared" si="22"/>
        <v>0</v>
      </c>
      <c r="Y223" s="48">
        <v>0</v>
      </c>
      <c r="AA223" s="1">
        <v>1</v>
      </c>
      <c r="AB223" s="1" t="s">
        <v>15</v>
      </c>
      <c r="AC223" s="1" t="s">
        <v>21</v>
      </c>
      <c r="AD223" s="1">
        <v>24</v>
      </c>
      <c r="AE223" s="1">
        <v>23</v>
      </c>
      <c r="AF223" s="1">
        <v>0.76</v>
      </c>
      <c r="AG223" s="1">
        <v>0.84</v>
      </c>
      <c r="AH223" s="1">
        <v>0</v>
      </c>
      <c r="AI223" s="1">
        <v>0</v>
      </c>
      <c r="AJ223" s="1">
        <f t="shared" si="18"/>
        <v>0</v>
      </c>
      <c r="AK223" s="1">
        <f>E24</f>
        <v>0</v>
      </c>
      <c r="AL223" s="1">
        <f>E30</f>
        <v>0</v>
      </c>
      <c r="AM223" s="1">
        <f t="shared" si="19"/>
        <v>0</v>
      </c>
      <c r="AN223" s="1">
        <f t="shared" si="20"/>
        <v>0</v>
      </c>
      <c r="AO223" s="1">
        <f t="shared" si="21"/>
        <v>0</v>
      </c>
      <c r="AP223" t="b" cm="1">
        <f t="array" ref="AP223">INDEX($AU$8:$BB$25,6*(R223-1)+MATCH(AB223,$AS$8:$AS$13,0),MATCH(O223,$AU$7:$BB$7,0))</f>
        <v>1</v>
      </c>
    </row>
    <row r="224" spans="15:42" ht="14.25" x14ac:dyDescent="0.45">
      <c r="O224" s="43" t="s">
        <v>30</v>
      </c>
      <c r="P224" s="43">
        <v>3</v>
      </c>
      <c r="Q224" s="43">
        <v>4</v>
      </c>
      <c r="R224" s="43">
        <v>1</v>
      </c>
      <c r="S224" s="45"/>
      <c r="T224" t="b">
        <f>(S224+S225+S226)=O4</f>
        <v>0</v>
      </c>
      <c r="X224" s="1">
        <f t="shared" si="22"/>
        <v>0</v>
      </c>
      <c r="Y224" s="48">
        <v>0</v>
      </c>
      <c r="AA224" s="1">
        <v>9</v>
      </c>
      <c r="AB224" s="1" t="s">
        <v>15</v>
      </c>
      <c r="AC224" s="1" t="s">
        <v>21</v>
      </c>
      <c r="AD224" s="1">
        <v>15</v>
      </c>
      <c r="AE224" s="1">
        <v>11</v>
      </c>
      <c r="AF224" s="1">
        <v>0.76</v>
      </c>
      <c r="AG224" s="1">
        <v>0.84</v>
      </c>
      <c r="AH224" s="1">
        <v>0</v>
      </c>
      <c r="AI224" s="1">
        <v>0</v>
      </c>
      <c r="AJ224" s="1">
        <f t="shared" si="18"/>
        <v>0</v>
      </c>
      <c r="AK224" s="1">
        <f>C24</f>
        <v>0</v>
      </c>
      <c r="AL224" s="1">
        <f>C30</f>
        <v>0</v>
      </c>
      <c r="AM224" s="1">
        <f t="shared" si="19"/>
        <v>0</v>
      </c>
      <c r="AN224" s="1">
        <f t="shared" si="20"/>
        <v>0</v>
      </c>
      <c r="AO224" s="1">
        <f t="shared" si="21"/>
        <v>0</v>
      </c>
      <c r="AP224" t="b" cm="1">
        <f t="array" ref="AP224">INDEX($AU$8:$BB$25,6*(R224-1)+MATCH(AB224,$AS$8:$AS$13,0),MATCH(O224,$AU$7:$BB$7,0))</f>
        <v>1</v>
      </c>
    </row>
    <row r="225" spans="15:42" ht="14.25" x14ac:dyDescent="0.45">
      <c r="O225" s="43" t="s">
        <v>30</v>
      </c>
      <c r="P225" s="43">
        <v>3</v>
      </c>
      <c r="Q225" s="43">
        <v>4</v>
      </c>
      <c r="R225" s="43">
        <v>2</v>
      </c>
      <c r="S225" s="45"/>
      <c r="T225" t="b">
        <f>(S224+S225+S226)=O4</f>
        <v>0</v>
      </c>
      <c r="X225" s="1">
        <f t="shared" si="22"/>
        <v>0</v>
      </c>
      <c r="Y225" s="48">
        <v>0</v>
      </c>
      <c r="AA225" s="1">
        <v>9</v>
      </c>
      <c r="AB225" s="1" t="s">
        <v>15</v>
      </c>
      <c r="AC225" s="1" t="s">
        <v>21</v>
      </c>
      <c r="AD225" s="1">
        <v>15</v>
      </c>
      <c r="AE225" s="1">
        <v>11</v>
      </c>
      <c r="AF225" s="1">
        <v>0.76</v>
      </c>
      <c r="AG225" s="1">
        <v>0.84</v>
      </c>
      <c r="AH225" s="1">
        <v>0</v>
      </c>
      <c r="AI225" s="1">
        <v>0</v>
      </c>
      <c r="AJ225" s="1">
        <f t="shared" si="18"/>
        <v>0</v>
      </c>
      <c r="AK225" s="1">
        <f>D24</f>
        <v>0</v>
      </c>
      <c r="AL225" s="1">
        <f>D30</f>
        <v>0</v>
      </c>
      <c r="AM225" s="1">
        <f t="shared" si="19"/>
        <v>0</v>
      </c>
      <c r="AN225" s="1">
        <f t="shared" si="20"/>
        <v>0</v>
      </c>
      <c r="AO225" s="1">
        <f t="shared" si="21"/>
        <v>0</v>
      </c>
      <c r="AP225" t="b" cm="1">
        <f t="array" ref="AP225">INDEX($AU$8:$BB$25,6*(R225-1)+MATCH(AB225,$AS$8:$AS$13,0),MATCH(O225,$AU$7:$BB$7,0))</f>
        <v>1</v>
      </c>
    </row>
    <row r="226" spans="15:42" ht="14.25" x14ac:dyDescent="0.45">
      <c r="O226" s="43" t="s">
        <v>30</v>
      </c>
      <c r="P226" s="43">
        <v>3</v>
      </c>
      <c r="Q226" s="43">
        <v>4</v>
      </c>
      <c r="R226" s="43">
        <v>3</v>
      </c>
      <c r="S226" s="45"/>
      <c r="T226" t="b">
        <f>(S224+S225+S226)=O4</f>
        <v>0</v>
      </c>
      <c r="X226" s="1">
        <f t="shared" si="22"/>
        <v>0</v>
      </c>
      <c r="Y226" s="48">
        <v>0</v>
      </c>
      <c r="AA226" s="1">
        <v>9</v>
      </c>
      <c r="AB226" s="1" t="s">
        <v>15</v>
      </c>
      <c r="AC226" s="1" t="s">
        <v>21</v>
      </c>
      <c r="AD226" s="1">
        <v>15</v>
      </c>
      <c r="AE226" s="1">
        <v>11</v>
      </c>
      <c r="AF226" s="1">
        <v>0.76</v>
      </c>
      <c r="AG226" s="1">
        <v>0.84</v>
      </c>
      <c r="AH226" s="1">
        <v>0</v>
      </c>
      <c r="AI226" s="1">
        <v>0</v>
      </c>
      <c r="AJ226" s="1">
        <f t="shared" si="18"/>
        <v>0</v>
      </c>
      <c r="AK226" s="1">
        <f>E24</f>
        <v>0</v>
      </c>
      <c r="AL226" s="1">
        <f>E30</f>
        <v>0</v>
      </c>
      <c r="AM226" s="1">
        <f t="shared" si="19"/>
        <v>0</v>
      </c>
      <c r="AN226" s="1">
        <f t="shared" si="20"/>
        <v>0</v>
      </c>
      <c r="AO226" s="1">
        <f t="shared" si="21"/>
        <v>0</v>
      </c>
      <c r="AP226" t="b" cm="1">
        <f t="array" ref="AP226">INDEX($AU$8:$BB$25,6*(R226-1)+MATCH(AB226,$AS$8:$AS$13,0),MATCH(O226,$AU$7:$BB$7,0))</f>
        <v>1</v>
      </c>
    </row>
    <row r="227" spans="15:42" ht="14.25" x14ac:dyDescent="0.45">
      <c r="O227" s="43" t="s">
        <v>30</v>
      </c>
      <c r="P227" s="43">
        <v>3</v>
      </c>
      <c r="Q227" s="43">
        <v>5</v>
      </c>
      <c r="R227" s="43">
        <v>1</v>
      </c>
      <c r="S227" s="45"/>
      <c r="T227" t="b">
        <f>(S227+S228+S229)=O4</f>
        <v>0</v>
      </c>
      <c r="X227" s="1">
        <f t="shared" si="22"/>
        <v>0</v>
      </c>
      <c r="Y227" s="48">
        <v>0</v>
      </c>
      <c r="AA227" s="1">
        <v>6</v>
      </c>
      <c r="AB227" s="1" t="s">
        <v>16</v>
      </c>
      <c r="AC227" s="1" t="s">
        <v>22</v>
      </c>
      <c r="AD227" s="1">
        <v>16</v>
      </c>
      <c r="AE227" s="1">
        <v>14</v>
      </c>
      <c r="AF227" s="1">
        <v>0.8</v>
      </c>
      <c r="AG227" s="1">
        <v>0.9</v>
      </c>
      <c r="AH227" s="1">
        <v>0</v>
      </c>
      <c r="AI227" s="1">
        <v>0</v>
      </c>
      <c r="AJ227" s="1">
        <f t="shared" si="18"/>
        <v>0</v>
      </c>
      <c r="AK227" s="1">
        <f>C25</f>
        <v>0</v>
      </c>
      <c r="AL227" s="1">
        <f>C31</f>
        <v>0</v>
      </c>
      <c r="AM227" s="1">
        <f t="shared" si="19"/>
        <v>0</v>
      </c>
      <c r="AN227" s="1">
        <f t="shared" si="20"/>
        <v>0</v>
      </c>
      <c r="AO227" s="1">
        <f t="shared" si="21"/>
        <v>0</v>
      </c>
      <c r="AP227" t="b" cm="1">
        <f t="array" ref="AP227">INDEX($AU$8:$BB$25,6*(R227-1)+MATCH(AB227,$AS$8:$AS$13,0),MATCH(O227,$AU$7:$BB$7,0))</f>
        <v>1</v>
      </c>
    </row>
    <row r="228" spans="15:42" ht="14.25" x14ac:dyDescent="0.45">
      <c r="O228" s="43" t="s">
        <v>30</v>
      </c>
      <c r="P228" s="43">
        <v>3</v>
      </c>
      <c r="Q228" s="43">
        <v>5</v>
      </c>
      <c r="R228" s="43">
        <v>2</v>
      </c>
      <c r="S228" s="45"/>
      <c r="T228" t="b">
        <f>(S227+S228+S229)=O4</f>
        <v>0</v>
      </c>
      <c r="X228" s="1">
        <f t="shared" si="22"/>
        <v>0</v>
      </c>
      <c r="Y228" s="48">
        <v>0</v>
      </c>
      <c r="AA228" s="1">
        <v>6</v>
      </c>
      <c r="AB228" s="1" t="s">
        <v>16</v>
      </c>
      <c r="AC228" s="1" t="s">
        <v>22</v>
      </c>
      <c r="AD228" s="1">
        <v>16</v>
      </c>
      <c r="AE228" s="1">
        <v>14</v>
      </c>
      <c r="AF228" s="1">
        <v>0.8</v>
      </c>
      <c r="AG228" s="1">
        <v>0.9</v>
      </c>
      <c r="AH228" s="1">
        <v>0</v>
      </c>
      <c r="AI228" s="1">
        <v>0</v>
      </c>
      <c r="AJ228" s="1">
        <f t="shared" si="18"/>
        <v>0</v>
      </c>
      <c r="AK228" s="1">
        <f>D25</f>
        <v>0</v>
      </c>
      <c r="AL228" s="1">
        <f>D31</f>
        <v>0</v>
      </c>
      <c r="AM228" s="1">
        <f t="shared" si="19"/>
        <v>0</v>
      </c>
      <c r="AN228" s="1">
        <f t="shared" si="20"/>
        <v>0</v>
      </c>
      <c r="AO228" s="1">
        <f t="shared" si="21"/>
        <v>0</v>
      </c>
      <c r="AP228" t="b" cm="1">
        <f t="array" ref="AP228">INDEX($AU$8:$BB$25,6*(R228-1)+MATCH(AB228,$AS$8:$AS$13,0),MATCH(O228,$AU$7:$BB$7,0))</f>
        <v>1</v>
      </c>
    </row>
    <row r="229" spans="15:42" ht="14.25" x14ac:dyDescent="0.45">
      <c r="O229" s="43" t="s">
        <v>30</v>
      </c>
      <c r="P229" s="43">
        <v>3</v>
      </c>
      <c r="Q229" s="43">
        <v>5</v>
      </c>
      <c r="R229" s="43">
        <v>3</v>
      </c>
      <c r="S229" s="45"/>
      <c r="T229" t="b">
        <f>(S227+S228+S229)=O4</f>
        <v>0</v>
      </c>
      <c r="X229" s="1">
        <f t="shared" si="22"/>
        <v>0</v>
      </c>
      <c r="Y229" s="48">
        <v>0</v>
      </c>
      <c r="AA229" s="1">
        <v>6</v>
      </c>
      <c r="AB229" s="1" t="s">
        <v>16</v>
      </c>
      <c r="AC229" s="1" t="s">
        <v>22</v>
      </c>
      <c r="AD229" s="1">
        <v>16</v>
      </c>
      <c r="AE229" s="1">
        <v>14</v>
      </c>
      <c r="AF229" s="1">
        <v>0.8</v>
      </c>
      <c r="AG229" s="1">
        <v>0.9</v>
      </c>
      <c r="AH229" s="1">
        <v>0</v>
      </c>
      <c r="AI229" s="1">
        <v>0</v>
      </c>
      <c r="AJ229" s="1">
        <f t="shared" si="18"/>
        <v>0</v>
      </c>
      <c r="AK229" s="1">
        <f>E25</f>
        <v>0</v>
      </c>
      <c r="AL229" s="1">
        <f>E31</f>
        <v>0</v>
      </c>
      <c r="AM229" s="1">
        <f t="shared" si="19"/>
        <v>0</v>
      </c>
      <c r="AN229" s="1">
        <f t="shared" si="20"/>
        <v>0</v>
      </c>
      <c r="AO229" s="1">
        <f t="shared" si="21"/>
        <v>0</v>
      </c>
      <c r="AP229" t="b" cm="1">
        <f t="array" ref="AP229">INDEX($AU$8:$BB$25,6*(R229-1)+MATCH(AB229,$AS$8:$AS$13,0),MATCH(O229,$AU$7:$BB$7,0))</f>
        <v>1</v>
      </c>
    </row>
    <row r="230" spans="15:42" ht="14.25" x14ac:dyDescent="0.45">
      <c r="O230" s="43" t="s">
        <v>30</v>
      </c>
      <c r="P230" s="43">
        <v>3</v>
      </c>
      <c r="Q230" s="43">
        <v>6</v>
      </c>
      <c r="R230" s="43">
        <v>1</v>
      </c>
      <c r="S230" s="45"/>
      <c r="T230" t="b">
        <f>(S230+S231+S232)=O4</f>
        <v>0</v>
      </c>
      <c r="X230" s="1">
        <f t="shared" si="22"/>
        <v>0</v>
      </c>
      <c r="Y230" s="48">
        <v>0</v>
      </c>
      <c r="AA230" s="1">
        <v>1</v>
      </c>
      <c r="AB230" s="1" t="s">
        <v>14</v>
      </c>
      <c r="AC230" s="1" t="s">
        <v>20</v>
      </c>
      <c r="AD230" s="1">
        <v>12</v>
      </c>
      <c r="AE230" s="1">
        <v>11</v>
      </c>
      <c r="AF230" s="1">
        <v>0.8</v>
      </c>
      <c r="AG230" s="1">
        <v>0.88</v>
      </c>
      <c r="AH230" s="1">
        <v>0</v>
      </c>
      <c r="AI230" s="1">
        <v>0</v>
      </c>
      <c r="AJ230" s="1">
        <f t="shared" si="18"/>
        <v>0</v>
      </c>
      <c r="AK230" s="1">
        <f>C23</f>
        <v>0</v>
      </c>
      <c r="AL230" s="1">
        <f>C29</f>
        <v>0</v>
      </c>
      <c r="AM230" s="1">
        <f t="shared" si="19"/>
        <v>0</v>
      </c>
      <c r="AN230" s="1">
        <f t="shared" si="20"/>
        <v>0</v>
      </c>
      <c r="AO230" s="1">
        <f t="shared" si="21"/>
        <v>0</v>
      </c>
      <c r="AP230" t="b" cm="1">
        <f t="array" ref="AP230">INDEX($AU$8:$BB$25,6*(R230-1)+MATCH(AB230,$AS$8:$AS$13,0),MATCH(O230,$AU$7:$BB$7,0))</f>
        <v>1</v>
      </c>
    </row>
    <row r="231" spans="15:42" ht="14.25" x14ac:dyDescent="0.45">
      <c r="O231" s="43" t="s">
        <v>30</v>
      </c>
      <c r="P231" s="43">
        <v>3</v>
      </c>
      <c r="Q231" s="43">
        <v>6</v>
      </c>
      <c r="R231" s="43">
        <v>2</v>
      </c>
      <c r="S231" s="45"/>
      <c r="T231" t="b">
        <f>(S230+S231+S232)=O4</f>
        <v>0</v>
      </c>
      <c r="X231" s="1">
        <f t="shared" si="22"/>
        <v>0</v>
      </c>
      <c r="Y231" s="48">
        <v>0</v>
      </c>
      <c r="AA231" s="1">
        <v>1</v>
      </c>
      <c r="AB231" s="1" t="s">
        <v>14</v>
      </c>
      <c r="AC231" s="1" t="s">
        <v>20</v>
      </c>
      <c r="AD231" s="1">
        <v>12</v>
      </c>
      <c r="AE231" s="1">
        <v>11</v>
      </c>
      <c r="AF231" s="1">
        <v>0.8</v>
      </c>
      <c r="AG231" s="1">
        <v>0.88</v>
      </c>
      <c r="AH231" s="1">
        <v>0</v>
      </c>
      <c r="AI231" s="1">
        <v>0</v>
      </c>
      <c r="AJ231" s="1">
        <f t="shared" si="18"/>
        <v>0</v>
      </c>
      <c r="AK231" s="1">
        <f>D23</f>
        <v>0</v>
      </c>
      <c r="AL231" s="1">
        <f>D29</f>
        <v>0</v>
      </c>
      <c r="AM231" s="1">
        <f t="shared" si="19"/>
        <v>0</v>
      </c>
      <c r="AN231" s="1">
        <f t="shared" si="20"/>
        <v>0</v>
      </c>
      <c r="AO231" s="1">
        <f t="shared" si="21"/>
        <v>0</v>
      </c>
      <c r="AP231" t="b" cm="1">
        <f t="array" ref="AP231">INDEX($AU$8:$BB$25,6*(R231-1)+MATCH(AB231,$AS$8:$AS$13,0),MATCH(O231,$AU$7:$BB$7,0))</f>
        <v>1</v>
      </c>
    </row>
    <row r="232" spans="15:42" ht="14.25" x14ac:dyDescent="0.45">
      <c r="O232" s="43" t="s">
        <v>30</v>
      </c>
      <c r="P232" s="43">
        <v>3</v>
      </c>
      <c r="Q232" s="43">
        <v>6</v>
      </c>
      <c r="R232" s="43">
        <v>3</v>
      </c>
      <c r="S232" s="45"/>
      <c r="T232" t="b">
        <f>(S230+S231+S232)=O4</f>
        <v>0</v>
      </c>
      <c r="X232" s="1">
        <f t="shared" si="22"/>
        <v>0</v>
      </c>
      <c r="Y232" s="48">
        <v>0</v>
      </c>
      <c r="AA232" s="1">
        <v>1</v>
      </c>
      <c r="AB232" s="1" t="s">
        <v>14</v>
      </c>
      <c r="AC232" s="1" t="s">
        <v>20</v>
      </c>
      <c r="AD232" s="1">
        <v>12</v>
      </c>
      <c r="AE232" s="1">
        <v>11</v>
      </c>
      <c r="AF232" s="1">
        <v>0.8</v>
      </c>
      <c r="AG232" s="1">
        <v>0.88</v>
      </c>
      <c r="AH232" s="1">
        <v>0</v>
      </c>
      <c r="AI232" s="1">
        <v>0</v>
      </c>
      <c r="AJ232" s="1">
        <f t="shared" si="18"/>
        <v>0</v>
      </c>
      <c r="AK232" s="1">
        <f>E23</f>
        <v>0</v>
      </c>
      <c r="AL232" s="1">
        <f>E29</f>
        <v>0</v>
      </c>
      <c r="AM232" s="1">
        <f t="shared" si="19"/>
        <v>0</v>
      </c>
      <c r="AN232" s="1">
        <f t="shared" si="20"/>
        <v>0</v>
      </c>
      <c r="AO232" s="1">
        <f t="shared" si="21"/>
        <v>0</v>
      </c>
      <c r="AP232" t="b" cm="1">
        <f t="array" ref="AP232">INDEX($AU$8:$BB$25,6*(R232-1)+MATCH(AB232,$AS$8:$AS$13,0),MATCH(O232,$AU$7:$BB$7,0))</f>
        <v>1</v>
      </c>
    </row>
    <row r="233" spans="15:42" ht="14.25" x14ac:dyDescent="0.45">
      <c r="O233" s="43" t="s">
        <v>30</v>
      </c>
      <c r="P233" s="43">
        <v>3</v>
      </c>
      <c r="Q233" s="43">
        <v>7</v>
      </c>
      <c r="R233" s="43">
        <v>1</v>
      </c>
      <c r="S233" s="45"/>
      <c r="T233" t="b">
        <f>(S233+S234+S235)=O4</f>
        <v>0</v>
      </c>
      <c r="X233" s="1">
        <f t="shared" si="22"/>
        <v>0</v>
      </c>
      <c r="Y233" s="48">
        <v>0</v>
      </c>
      <c r="AA233" s="1">
        <v>3</v>
      </c>
      <c r="AB233" s="1" t="s">
        <v>13</v>
      </c>
      <c r="AC233" s="1" t="s">
        <v>19</v>
      </c>
      <c r="AD233" s="1">
        <v>24</v>
      </c>
      <c r="AE233" s="1">
        <v>21</v>
      </c>
      <c r="AF233" s="1">
        <v>0.8</v>
      </c>
      <c r="AG233" s="1">
        <v>0.86</v>
      </c>
      <c r="AH233" s="1">
        <v>0</v>
      </c>
      <c r="AI233" s="1">
        <v>0</v>
      </c>
      <c r="AJ233" s="1">
        <f t="shared" si="18"/>
        <v>0</v>
      </c>
      <c r="AK233" s="1">
        <f>C22</f>
        <v>0</v>
      </c>
      <c r="AL233" s="1">
        <f>C28</f>
        <v>0</v>
      </c>
      <c r="AM233" s="1">
        <f t="shared" si="19"/>
        <v>0</v>
      </c>
      <c r="AN233" s="1">
        <f t="shared" si="20"/>
        <v>0</v>
      </c>
      <c r="AO233" s="1">
        <f t="shared" si="21"/>
        <v>0</v>
      </c>
      <c r="AP233" t="b" cm="1">
        <f t="array" ref="AP233">INDEX($AU$8:$BB$25,6*(R233-1)+MATCH(AB233,$AS$8:$AS$13,0),MATCH(O233,$AU$7:$BB$7,0))</f>
        <v>1</v>
      </c>
    </row>
    <row r="234" spans="15:42" ht="14.25" x14ac:dyDescent="0.45">
      <c r="O234" s="43" t="s">
        <v>30</v>
      </c>
      <c r="P234" s="43">
        <v>3</v>
      </c>
      <c r="Q234" s="43">
        <v>7</v>
      </c>
      <c r="R234" s="43">
        <v>2</v>
      </c>
      <c r="S234" s="45"/>
      <c r="T234" t="b">
        <f>(S233+S234+S235)=O4</f>
        <v>0</v>
      </c>
      <c r="X234" s="1">
        <f t="shared" si="22"/>
        <v>0</v>
      </c>
      <c r="Y234" s="48">
        <v>0</v>
      </c>
      <c r="AA234" s="1">
        <v>3</v>
      </c>
      <c r="AB234" s="1" t="s">
        <v>13</v>
      </c>
      <c r="AC234" s="1" t="s">
        <v>19</v>
      </c>
      <c r="AD234" s="1">
        <v>24</v>
      </c>
      <c r="AE234" s="1">
        <v>21</v>
      </c>
      <c r="AF234" s="1">
        <v>0.8</v>
      </c>
      <c r="AG234" s="1">
        <v>0.86</v>
      </c>
      <c r="AH234" s="1">
        <v>0</v>
      </c>
      <c r="AI234" s="1">
        <v>0</v>
      </c>
      <c r="AJ234" s="1">
        <f t="shared" si="18"/>
        <v>0</v>
      </c>
      <c r="AK234" s="1">
        <f>D22</f>
        <v>0</v>
      </c>
      <c r="AL234" s="1">
        <f>D28</f>
        <v>0</v>
      </c>
      <c r="AM234" s="1">
        <f t="shared" si="19"/>
        <v>0</v>
      </c>
      <c r="AN234" s="1">
        <f t="shared" si="20"/>
        <v>0</v>
      </c>
      <c r="AO234" s="1">
        <f t="shared" si="21"/>
        <v>0</v>
      </c>
      <c r="AP234" t="b" cm="1">
        <f t="array" ref="AP234">INDEX($AU$8:$BB$25,6*(R234-1)+MATCH(AB234,$AS$8:$AS$13,0),MATCH(O234,$AU$7:$BB$7,0))</f>
        <v>1</v>
      </c>
    </row>
    <row r="235" spans="15:42" ht="14.25" x14ac:dyDescent="0.45">
      <c r="O235" s="43" t="s">
        <v>30</v>
      </c>
      <c r="P235" s="43">
        <v>3</v>
      </c>
      <c r="Q235" s="43">
        <v>7</v>
      </c>
      <c r="R235" s="43">
        <v>3</v>
      </c>
      <c r="S235" s="45"/>
      <c r="T235" t="b">
        <f>(S233+S234+S235)=O4</f>
        <v>0</v>
      </c>
      <c r="X235" s="1">
        <f t="shared" si="22"/>
        <v>0</v>
      </c>
      <c r="Y235" s="48">
        <v>0</v>
      </c>
      <c r="AA235" s="1">
        <v>3</v>
      </c>
      <c r="AB235" s="1" t="s">
        <v>13</v>
      </c>
      <c r="AC235" s="1" t="s">
        <v>19</v>
      </c>
      <c r="AD235" s="1">
        <v>24</v>
      </c>
      <c r="AE235" s="1">
        <v>21</v>
      </c>
      <c r="AF235" s="1">
        <v>0.8</v>
      </c>
      <c r="AG235" s="1">
        <v>0.86</v>
      </c>
      <c r="AH235" s="1">
        <v>0</v>
      </c>
      <c r="AI235" s="1">
        <v>0</v>
      </c>
      <c r="AJ235" s="1">
        <f t="shared" si="18"/>
        <v>0</v>
      </c>
      <c r="AK235" s="1">
        <f>E22</f>
        <v>0</v>
      </c>
      <c r="AL235" s="1">
        <f>E28</f>
        <v>0</v>
      </c>
      <c r="AM235" s="1">
        <f t="shared" si="19"/>
        <v>0</v>
      </c>
      <c r="AN235" s="1">
        <f t="shared" si="20"/>
        <v>0</v>
      </c>
      <c r="AO235" s="1">
        <f t="shared" si="21"/>
        <v>0</v>
      </c>
      <c r="AP235" t="b" cm="1">
        <f t="array" ref="AP235">INDEX($AU$8:$BB$25,6*(R235-1)+MATCH(AB235,$AS$8:$AS$13,0),MATCH(O235,$AU$7:$BB$7,0))</f>
        <v>1</v>
      </c>
    </row>
    <row r="236" spans="15:42" ht="14.25" x14ac:dyDescent="0.45">
      <c r="O236" s="43" t="s">
        <v>30</v>
      </c>
      <c r="P236" s="43">
        <v>3</v>
      </c>
      <c r="Q236" s="43">
        <v>8</v>
      </c>
      <c r="R236" s="43">
        <v>1</v>
      </c>
      <c r="S236" s="45"/>
      <c r="T236" t="b">
        <f>(S236+S237+S238)=O4</f>
        <v>0</v>
      </c>
      <c r="X236" s="1">
        <f t="shared" si="22"/>
        <v>0</v>
      </c>
      <c r="Y236" s="48">
        <v>0</v>
      </c>
      <c r="AA236" s="1">
        <v>5</v>
      </c>
      <c r="AB236" s="1" t="s">
        <v>13</v>
      </c>
      <c r="AC236" s="1" t="s">
        <v>19</v>
      </c>
      <c r="AD236" s="1">
        <v>19</v>
      </c>
      <c r="AE236" s="1">
        <v>13</v>
      </c>
      <c r="AF236" s="1">
        <v>0.8</v>
      </c>
      <c r="AG236" s="1">
        <v>0.86</v>
      </c>
      <c r="AH236" s="1">
        <v>0</v>
      </c>
      <c r="AI236" s="1">
        <v>0</v>
      </c>
      <c r="AJ236" s="1">
        <f t="shared" si="18"/>
        <v>0</v>
      </c>
      <c r="AK236" s="1">
        <f>C22</f>
        <v>0</v>
      </c>
      <c r="AL236" s="1">
        <f>C28</f>
        <v>0</v>
      </c>
      <c r="AM236" s="1">
        <f t="shared" si="19"/>
        <v>0</v>
      </c>
      <c r="AN236" s="1">
        <f t="shared" si="20"/>
        <v>0</v>
      </c>
      <c r="AO236" s="1">
        <f t="shared" si="21"/>
        <v>0</v>
      </c>
      <c r="AP236" t="b" cm="1">
        <f t="array" ref="AP236">INDEX($AU$8:$BB$25,6*(R236-1)+MATCH(AB236,$AS$8:$AS$13,0),MATCH(O236,$AU$7:$BB$7,0))</f>
        <v>1</v>
      </c>
    </row>
    <row r="237" spans="15:42" ht="14.25" x14ac:dyDescent="0.45">
      <c r="O237" s="43" t="s">
        <v>30</v>
      </c>
      <c r="P237" s="43">
        <v>3</v>
      </c>
      <c r="Q237" s="43">
        <v>8</v>
      </c>
      <c r="R237" s="43">
        <v>2</v>
      </c>
      <c r="S237" s="45"/>
      <c r="T237" t="b">
        <f>(S236+S237+S238)=O4</f>
        <v>0</v>
      </c>
      <c r="X237" s="1">
        <f t="shared" si="22"/>
        <v>0</v>
      </c>
      <c r="Y237" s="48">
        <v>0</v>
      </c>
      <c r="AA237" s="1">
        <v>5</v>
      </c>
      <c r="AB237" s="1" t="s">
        <v>13</v>
      </c>
      <c r="AC237" s="1" t="s">
        <v>19</v>
      </c>
      <c r="AD237" s="1">
        <v>19</v>
      </c>
      <c r="AE237" s="1">
        <v>13</v>
      </c>
      <c r="AF237" s="1">
        <v>0.8</v>
      </c>
      <c r="AG237" s="1">
        <v>0.86</v>
      </c>
      <c r="AH237" s="1">
        <v>0</v>
      </c>
      <c r="AI237" s="1">
        <v>0</v>
      </c>
      <c r="AJ237" s="1">
        <f t="shared" si="18"/>
        <v>0</v>
      </c>
      <c r="AK237" s="1">
        <f>D22</f>
        <v>0</v>
      </c>
      <c r="AL237" s="1">
        <f>D28</f>
        <v>0</v>
      </c>
      <c r="AM237" s="1">
        <f t="shared" si="19"/>
        <v>0</v>
      </c>
      <c r="AN237" s="1">
        <f t="shared" si="20"/>
        <v>0</v>
      </c>
      <c r="AO237" s="1">
        <f t="shared" si="21"/>
        <v>0</v>
      </c>
      <c r="AP237" t="b" cm="1">
        <f t="array" ref="AP237">INDEX($AU$8:$BB$25,6*(R237-1)+MATCH(AB237,$AS$8:$AS$13,0),MATCH(O237,$AU$7:$BB$7,0))</f>
        <v>1</v>
      </c>
    </row>
    <row r="238" spans="15:42" ht="14.25" x14ac:dyDescent="0.45">
      <c r="O238" s="43" t="s">
        <v>30</v>
      </c>
      <c r="P238" s="43">
        <v>3</v>
      </c>
      <c r="Q238" s="43">
        <v>8</v>
      </c>
      <c r="R238" s="43">
        <v>3</v>
      </c>
      <c r="S238" s="45"/>
      <c r="T238" t="b">
        <f>(S236+S237+S238)=O4</f>
        <v>0</v>
      </c>
      <c r="X238" s="1">
        <f t="shared" si="22"/>
        <v>0</v>
      </c>
      <c r="Y238" s="48">
        <v>0</v>
      </c>
      <c r="AA238" s="1">
        <v>5</v>
      </c>
      <c r="AB238" s="1" t="s">
        <v>13</v>
      </c>
      <c r="AC238" s="1" t="s">
        <v>19</v>
      </c>
      <c r="AD238" s="1">
        <v>19</v>
      </c>
      <c r="AE238" s="1">
        <v>13</v>
      </c>
      <c r="AF238" s="1">
        <v>0.8</v>
      </c>
      <c r="AG238" s="1">
        <v>0.86</v>
      </c>
      <c r="AH238" s="1">
        <v>0</v>
      </c>
      <c r="AI238" s="1">
        <v>0</v>
      </c>
      <c r="AJ238" s="1">
        <f t="shared" si="18"/>
        <v>0</v>
      </c>
      <c r="AK238" s="1">
        <f>E22</f>
        <v>0</v>
      </c>
      <c r="AL238" s="1">
        <f>E28</f>
        <v>0</v>
      </c>
      <c r="AM238" s="1">
        <f t="shared" si="19"/>
        <v>0</v>
      </c>
      <c r="AN238" s="1">
        <f t="shared" si="20"/>
        <v>0</v>
      </c>
      <c r="AO238" s="1">
        <f t="shared" si="21"/>
        <v>0</v>
      </c>
      <c r="AP238" t="b" cm="1">
        <f t="array" ref="AP238">INDEX($AU$8:$BB$25,6*(R238-1)+MATCH(AB238,$AS$8:$AS$13,0),MATCH(O238,$AU$7:$BB$7,0))</f>
        <v>1</v>
      </c>
    </row>
    <row r="239" spans="15:42" ht="14.25" x14ac:dyDescent="0.45">
      <c r="O239" s="43" t="s">
        <v>30</v>
      </c>
      <c r="P239" s="43">
        <v>3</v>
      </c>
      <c r="Q239" s="43">
        <v>9</v>
      </c>
      <c r="R239" s="43">
        <v>1</v>
      </c>
      <c r="S239" s="45"/>
      <c r="T239" t="b">
        <f>(S239+S240+S241)=O4</f>
        <v>0</v>
      </c>
      <c r="X239" s="1">
        <f t="shared" si="22"/>
        <v>0</v>
      </c>
      <c r="Y239" s="48">
        <v>0</v>
      </c>
      <c r="AA239" s="1">
        <v>3</v>
      </c>
      <c r="AB239" s="1" t="s">
        <v>14</v>
      </c>
      <c r="AC239" s="1" t="s">
        <v>20</v>
      </c>
      <c r="AD239" s="1">
        <v>15</v>
      </c>
      <c r="AE239" s="1">
        <v>13</v>
      </c>
      <c r="AF239" s="1">
        <v>0.8</v>
      </c>
      <c r="AG239" s="1">
        <v>0.88</v>
      </c>
      <c r="AH239" s="1">
        <v>0</v>
      </c>
      <c r="AI239" s="1">
        <v>0</v>
      </c>
      <c r="AJ239" s="1">
        <f t="shared" si="18"/>
        <v>0</v>
      </c>
      <c r="AK239" s="1">
        <f>C23</f>
        <v>0</v>
      </c>
      <c r="AL239" s="1">
        <f>C29</f>
        <v>0</v>
      </c>
      <c r="AM239" s="1">
        <f t="shared" si="19"/>
        <v>0</v>
      </c>
      <c r="AN239" s="1">
        <f t="shared" si="20"/>
        <v>0</v>
      </c>
      <c r="AO239" s="1">
        <f t="shared" si="21"/>
        <v>0</v>
      </c>
      <c r="AP239" t="b" cm="1">
        <f t="array" ref="AP239">INDEX($AU$8:$BB$25,6*(R239-1)+MATCH(AB239,$AS$8:$AS$13,0),MATCH(O239,$AU$7:$BB$7,0))</f>
        <v>1</v>
      </c>
    </row>
    <row r="240" spans="15:42" ht="14.25" x14ac:dyDescent="0.45">
      <c r="O240" s="43" t="s">
        <v>30</v>
      </c>
      <c r="P240" s="43">
        <v>3</v>
      </c>
      <c r="Q240" s="43">
        <v>9</v>
      </c>
      <c r="R240" s="43">
        <v>2</v>
      </c>
      <c r="S240" s="45"/>
      <c r="T240" t="b">
        <f>(S239+S240+S241)=O4</f>
        <v>0</v>
      </c>
      <c r="X240" s="1">
        <f t="shared" si="22"/>
        <v>0</v>
      </c>
      <c r="Y240" s="48">
        <v>0</v>
      </c>
      <c r="AA240" s="1">
        <v>3</v>
      </c>
      <c r="AB240" s="1" t="s">
        <v>14</v>
      </c>
      <c r="AC240" s="1" t="s">
        <v>20</v>
      </c>
      <c r="AD240" s="1">
        <v>15</v>
      </c>
      <c r="AE240" s="1">
        <v>13</v>
      </c>
      <c r="AF240" s="1">
        <v>0.8</v>
      </c>
      <c r="AG240" s="1">
        <v>0.88</v>
      </c>
      <c r="AH240" s="1">
        <v>0</v>
      </c>
      <c r="AI240" s="1">
        <v>0</v>
      </c>
      <c r="AJ240" s="1">
        <f t="shared" si="18"/>
        <v>0</v>
      </c>
      <c r="AK240" s="1">
        <f>D23</f>
        <v>0</v>
      </c>
      <c r="AL240" s="1">
        <f>D29</f>
        <v>0</v>
      </c>
      <c r="AM240" s="1">
        <f t="shared" si="19"/>
        <v>0</v>
      </c>
      <c r="AN240" s="1">
        <f t="shared" si="20"/>
        <v>0</v>
      </c>
      <c r="AO240" s="1">
        <f t="shared" si="21"/>
        <v>0</v>
      </c>
      <c r="AP240" t="b" cm="1">
        <f t="array" ref="AP240">INDEX($AU$8:$BB$25,6*(R240-1)+MATCH(AB240,$AS$8:$AS$13,0),MATCH(O240,$AU$7:$BB$7,0))</f>
        <v>1</v>
      </c>
    </row>
    <row r="241" spans="15:42" ht="14.25" x14ac:dyDescent="0.45">
      <c r="O241" s="43" t="s">
        <v>30</v>
      </c>
      <c r="P241" s="43">
        <v>3</v>
      </c>
      <c r="Q241" s="43">
        <v>9</v>
      </c>
      <c r="R241" s="43">
        <v>3</v>
      </c>
      <c r="S241" s="45"/>
      <c r="T241" t="b">
        <f>(S239+S240+S241)=O4</f>
        <v>0</v>
      </c>
      <c r="X241" s="1">
        <f t="shared" si="22"/>
        <v>0</v>
      </c>
      <c r="Y241" s="48">
        <v>0</v>
      </c>
      <c r="AA241" s="1">
        <v>3</v>
      </c>
      <c r="AB241" s="1" t="s">
        <v>14</v>
      </c>
      <c r="AC241" s="1" t="s">
        <v>20</v>
      </c>
      <c r="AD241" s="1">
        <v>15</v>
      </c>
      <c r="AE241" s="1">
        <v>13</v>
      </c>
      <c r="AF241" s="1">
        <v>0.8</v>
      </c>
      <c r="AG241" s="1">
        <v>0.88</v>
      </c>
      <c r="AH241" s="1">
        <v>0</v>
      </c>
      <c r="AI241" s="1">
        <v>0</v>
      </c>
      <c r="AJ241" s="1">
        <f t="shared" si="18"/>
        <v>0</v>
      </c>
      <c r="AK241" s="1">
        <f>E23</f>
        <v>0</v>
      </c>
      <c r="AL241" s="1">
        <f>E29</f>
        <v>0</v>
      </c>
      <c r="AM241" s="1">
        <f t="shared" si="19"/>
        <v>0</v>
      </c>
      <c r="AN241" s="1">
        <f t="shared" si="20"/>
        <v>0</v>
      </c>
      <c r="AO241" s="1">
        <f t="shared" si="21"/>
        <v>0</v>
      </c>
      <c r="AP241" t="b" cm="1">
        <f t="array" ref="AP241">INDEX($AU$8:$BB$25,6*(R241-1)+MATCH(AB241,$AS$8:$AS$13,0),MATCH(O241,$AU$7:$BB$7,0))</f>
        <v>1</v>
      </c>
    </row>
    <row r="242" spans="15:42" ht="14.25" x14ac:dyDescent="0.45">
      <c r="O242" s="43" t="s">
        <v>30</v>
      </c>
      <c r="P242" s="43">
        <v>3</v>
      </c>
      <c r="Q242" s="43">
        <v>10</v>
      </c>
      <c r="R242" s="43">
        <v>1</v>
      </c>
      <c r="S242" s="45"/>
      <c r="T242" t="b">
        <f>(S242+S243+S244)=O4</f>
        <v>0</v>
      </c>
      <c r="X242" s="1">
        <f t="shared" si="22"/>
        <v>0</v>
      </c>
      <c r="Y242" s="48">
        <v>0</v>
      </c>
      <c r="AA242" s="1">
        <v>5</v>
      </c>
      <c r="AB242" s="1" t="s">
        <v>14</v>
      </c>
      <c r="AC242" s="1" t="s">
        <v>20</v>
      </c>
      <c r="AD242" s="1">
        <v>24</v>
      </c>
      <c r="AE242" s="1">
        <v>20</v>
      </c>
      <c r="AF242" s="1">
        <v>0.8</v>
      </c>
      <c r="AG242" s="1">
        <v>0.88</v>
      </c>
      <c r="AH242" s="1">
        <v>0</v>
      </c>
      <c r="AI242" s="1">
        <v>0</v>
      </c>
      <c r="AJ242" s="1">
        <f t="shared" si="18"/>
        <v>0</v>
      </c>
      <c r="AK242" s="1">
        <f>C23</f>
        <v>0</v>
      </c>
      <c r="AL242" s="1">
        <f>C29</f>
        <v>0</v>
      </c>
      <c r="AM242" s="1">
        <f t="shared" si="19"/>
        <v>0</v>
      </c>
      <c r="AN242" s="1">
        <f t="shared" si="20"/>
        <v>0</v>
      </c>
      <c r="AO242" s="1">
        <f t="shared" si="21"/>
        <v>0</v>
      </c>
      <c r="AP242" t="b" cm="1">
        <f t="array" ref="AP242">INDEX($AU$8:$BB$25,6*(R242-1)+MATCH(AB242,$AS$8:$AS$13,0),MATCH(O242,$AU$7:$BB$7,0))</f>
        <v>1</v>
      </c>
    </row>
    <row r="243" spans="15:42" ht="14.25" x14ac:dyDescent="0.45">
      <c r="O243" s="43" t="s">
        <v>30</v>
      </c>
      <c r="P243" s="43">
        <v>3</v>
      </c>
      <c r="Q243" s="43">
        <v>10</v>
      </c>
      <c r="R243" s="43">
        <v>2</v>
      </c>
      <c r="S243" s="45"/>
      <c r="T243" t="b">
        <f>(S242+S243+S244)=O4</f>
        <v>0</v>
      </c>
      <c r="X243" s="1">
        <f t="shared" si="22"/>
        <v>0</v>
      </c>
      <c r="Y243" s="48">
        <v>0</v>
      </c>
      <c r="AA243" s="1">
        <v>5</v>
      </c>
      <c r="AB243" s="1" t="s">
        <v>14</v>
      </c>
      <c r="AC243" s="1" t="s">
        <v>20</v>
      </c>
      <c r="AD243" s="1">
        <v>24</v>
      </c>
      <c r="AE243" s="1">
        <v>20</v>
      </c>
      <c r="AF243" s="1">
        <v>0.8</v>
      </c>
      <c r="AG243" s="1">
        <v>0.88</v>
      </c>
      <c r="AH243" s="1">
        <v>0</v>
      </c>
      <c r="AI243" s="1">
        <v>0</v>
      </c>
      <c r="AJ243" s="1">
        <f t="shared" si="18"/>
        <v>0</v>
      </c>
      <c r="AK243" s="1">
        <f>D23</f>
        <v>0</v>
      </c>
      <c r="AL243" s="1">
        <f>D29</f>
        <v>0</v>
      </c>
      <c r="AM243" s="1">
        <f t="shared" si="19"/>
        <v>0</v>
      </c>
      <c r="AN243" s="1">
        <f t="shared" si="20"/>
        <v>0</v>
      </c>
      <c r="AO243" s="1">
        <f t="shared" si="21"/>
        <v>0</v>
      </c>
      <c r="AP243" t="b" cm="1">
        <f t="array" ref="AP243">INDEX($AU$8:$BB$25,6*(R243-1)+MATCH(AB243,$AS$8:$AS$13,0),MATCH(O243,$AU$7:$BB$7,0))</f>
        <v>1</v>
      </c>
    </row>
    <row r="244" spans="15:42" ht="14.25" x14ac:dyDescent="0.45">
      <c r="O244" s="43" t="s">
        <v>30</v>
      </c>
      <c r="P244" s="43">
        <v>3</v>
      </c>
      <c r="Q244" s="43">
        <v>10</v>
      </c>
      <c r="R244" s="43">
        <v>3</v>
      </c>
      <c r="S244" s="45"/>
      <c r="T244" t="b">
        <f>(S242+S243+S244)=O4</f>
        <v>0</v>
      </c>
      <c r="X244" s="1">
        <f t="shared" si="22"/>
        <v>0</v>
      </c>
      <c r="Y244" s="48">
        <v>0</v>
      </c>
      <c r="AA244" s="1">
        <v>5</v>
      </c>
      <c r="AB244" s="1" t="s">
        <v>14</v>
      </c>
      <c r="AC244" s="1" t="s">
        <v>20</v>
      </c>
      <c r="AD244" s="1">
        <v>24</v>
      </c>
      <c r="AE244" s="1">
        <v>20</v>
      </c>
      <c r="AF244" s="1">
        <v>0.8</v>
      </c>
      <c r="AG244" s="1">
        <v>0.88</v>
      </c>
      <c r="AH244" s="1">
        <v>0</v>
      </c>
      <c r="AI244" s="1">
        <v>0</v>
      </c>
      <c r="AJ244" s="1">
        <f t="shared" si="18"/>
        <v>0</v>
      </c>
      <c r="AK244" s="1">
        <f>E23</f>
        <v>0</v>
      </c>
      <c r="AL244" s="1">
        <f>E29</f>
        <v>0</v>
      </c>
      <c r="AM244" s="1">
        <f t="shared" si="19"/>
        <v>0</v>
      </c>
      <c r="AN244" s="1">
        <f t="shared" si="20"/>
        <v>0</v>
      </c>
      <c r="AO244" s="1">
        <f t="shared" si="21"/>
        <v>0</v>
      </c>
      <c r="AP244" t="b" cm="1">
        <f t="array" ref="AP244">INDEX($AU$8:$BB$25,6*(R244-1)+MATCH(AB244,$AS$8:$AS$13,0),MATCH(O244,$AU$7:$BB$7,0))</f>
        <v>1</v>
      </c>
    </row>
    <row r="245" spans="15:42" ht="14.25" x14ac:dyDescent="0.45">
      <c r="O245" s="43" t="s">
        <v>30</v>
      </c>
      <c r="P245" s="43">
        <v>3</v>
      </c>
      <c r="Q245" s="43">
        <v>11</v>
      </c>
      <c r="R245" s="43">
        <v>1</v>
      </c>
      <c r="S245" s="45"/>
      <c r="T245" t="b">
        <f>(S245+S246+S247)=O4</f>
        <v>0</v>
      </c>
      <c r="X245" s="1">
        <f t="shared" si="22"/>
        <v>0</v>
      </c>
      <c r="Y245" s="48">
        <v>0</v>
      </c>
      <c r="AA245" s="1">
        <v>3</v>
      </c>
      <c r="AB245" s="1" t="s">
        <v>15</v>
      </c>
      <c r="AC245" s="1" t="s">
        <v>21</v>
      </c>
      <c r="AD245" s="1">
        <v>17</v>
      </c>
      <c r="AE245" s="1">
        <v>15</v>
      </c>
      <c r="AF245" s="1">
        <v>0.76</v>
      </c>
      <c r="AG245" s="1">
        <v>0.84</v>
      </c>
      <c r="AH245" s="1">
        <v>0</v>
      </c>
      <c r="AI245" s="1">
        <v>0</v>
      </c>
      <c r="AJ245" s="1">
        <f t="shared" si="18"/>
        <v>0</v>
      </c>
      <c r="AK245" s="1">
        <f>C24</f>
        <v>0</v>
      </c>
      <c r="AL245" s="1">
        <f>C30</f>
        <v>0</v>
      </c>
      <c r="AM245" s="1">
        <f t="shared" si="19"/>
        <v>0</v>
      </c>
      <c r="AN245" s="1">
        <f t="shared" si="20"/>
        <v>0</v>
      </c>
      <c r="AO245" s="1">
        <f t="shared" si="21"/>
        <v>0</v>
      </c>
      <c r="AP245" t="b" cm="1">
        <f t="array" ref="AP245">INDEX($AU$8:$BB$25,6*(R245-1)+MATCH(AB245,$AS$8:$AS$13,0),MATCH(O245,$AU$7:$BB$7,0))</f>
        <v>1</v>
      </c>
    </row>
    <row r="246" spans="15:42" ht="14.25" x14ac:dyDescent="0.45">
      <c r="O246" s="43" t="s">
        <v>30</v>
      </c>
      <c r="P246" s="43">
        <v>3</v>
      </c>
      <c r="Q246" s="43">
        <v>11</v>
      </c>
      <c r="R246" s="43">
        <v>2</v>
      </c>
      <c r="S246" s="45"/>
      <c r="T246" t="b">
        <f>(S245+S246+S247)=O4</f>
        <v>0</v>
      </c>
      <c r="X246" s="1">
        <f t="shared" si="22"/>
        <v>0</v>
      </c>
      <c r="Y246" s="48">
        <v>0</v>
      </c>
      <c r="AA246" s="1">
        <v>3</v>
      </c>
      <c r="AB246" s="1" t="s">
        <v>15</v>
      </c>
      <c r="AC246" s="1" t="s">
        <v>21</v>
      </c>
      <c r="AD246" s="1">
        <v>17</v>
      </c>
      <c r="AE246" s="1">
        <v>15</v>
      </c>
      <c r="AF246" s="1">
        <v>0.76</v>
      </c>
      <c r="AG246" s="1">
        <v>0.84</v>
      </c>
      <c r="AH246" s="1">
        <v>0</v>
      </c>
      <c r="AI246" s="1">
        <v>0</v>
      </c>
      <c r="AJ246" s="1">
        <f t="shared" si="18"/>
        <v>0</v>
      </c>
      <c r="AK246" s="1">
        <f>D24</f>
        <v>0</v>
      </c>
      <c r="AL246" s="1">
        <f>D30</f>
        <v>0</v>
      </c>
      <c r="AM246" s="1">
        <f t="shared" si="19"/>
        <v>0</v>
      </c>
      <c r="AN246" s="1">
        <f t="shared" si="20"/>
        <v>0</v>
      </c>
      <c r="AO246" s="1">
        <f t="shared" si="21"/>
        <v>0</v>
      </c>
      <c r="AP246" t="b" cm="1">
        <f t="array" ref="AP246">INDEX($AU$8:$BB$25,6*(R246-1)+MATCH(AB246,$AS$8:$AS$13,0),MATCH(O246,$AU$7:$BB$7,0))</f>
        <v>1</v>
      </c>
    </row>
    <row r="247" spans="15:42" ht="14.25" x14ac:dyDescent="0.45">
      <c r="O247" s="43" t="s">
        <v>30</v>
      </c>
      <c r="P247" s="43">
        <v>3</v>
      </c>
      <c r="Q247" s="43">
        <v>11</v>
      </c>
      <c r="R247" s="43">
        <v>3</v>
      </c>
      <c r="S247" s="45"/>
      <c r="T247" t="b">
        <f>(S245+S246+S247)=O4</f>
        <v>0</v>
      </c>
      <c r="X247" s="1">
        <f t="shared" si="22"/>
        <v>0</v>
      </c>
      <c r="Y247" s="48">
        <v>0</v>
      </c>
      <c r="AA247" s="1">
        <v>3</v>
      </c>
      <c r="AB247" s="1" t="s">
        <v>15</v>
      </c>
      <c r="AC247" s="1" t="s">
        <v>21</v>
      </c>
      <c r="AD247" s="1">
        <v>17</v>
      </c>
      <c r="AE247" s="1">
        <v>15</v>
      </c>
      <c r="AF247" s="1">
        <v>0.76</v>
      </c>
      <c r="AG247" s="1">
        <v>0.84</v>
      </c>
      <c r="AH247" s="1">
        <v>0</v>
      </c>
      <c r="AI247" s="1">
        <v>0</v>
      </c>
      <c r="AJ247" s="1">
        <f t="shared" si="18"/>
        <v>0</v>
      </c>
      <c r="AK247" s="1">
        <f>E24</f>
        <v>0</v>
      </c>
      <c r="AL247" s="1">
        <f>E30</f>
        <v>0</v>
      </c>
      <c r="AM247" s="1">
        <f t="shared" si="19"/>
        <v>0</v>
      </c>
      <c r="AN247" s="1">
        <f t="shared" si="20"/>
        <v>0</v>
      </c>
      <c r="AO247" s="1">
        <f t="shared" si="21"/>
        <v>0</v>
      </c>
      <c r="AP247" t="b" cm="1">
        <f t="array" ref="AP247">INDEX($AU$8:$BB$25,6*(R247-1)+MATCH(AB247,$AS$8:$AS$13,0),MATCH(O247,$AU$7:$BB$7,0))</f>
        <v>1</v>
      </c>
    </row>
    <row r="248" spans="15:42" ht="14.25" x14ac:dyDescent="0.45">
      <c r="O248" s="43" t="s">
        <v>30</v>
      </c>
      <c r="P248" s="43">
        <v>3</v>
      </c>
      <c r="Q248" s="43">
        <v>12</v>
      </c>
      <c r="R248" s="43">
        <v>1</v>
      </c>
      <c r="S248" s="45"/>
      <c r="T248" t="b">
        <f>(S248+S249+S250)=O4</f>
        <v>0</v>
      </c>
      <c r="X248" s="1">
        <f t="shared" si="22"/>
        <v>0</v>
      </c>
      <c r="Y248" s="48">
        <v>0</v>
      </c>
      <c r="AA248" s="1">
        <v>10</v>
      </c>
      <c r="AB248" s="1" t="s">
        <v>15</v>
      </c>
      <c r="AC248" s="1" t="s">
        <v>21</v>
      </c>
      <c r="AD248" s="1">
        <v>18</v>
      </c>
      <c r="AE248" s="1">
        <v>13</v>
      </c>
      <c r="AF248" s="1">
        <v>0.76</v>
      </c>
      <c r="AG248" s="1">
        <v>0.84</v>
      </c>
      <c r="AH248" s="1">
        <v>0</v>
      </c>
      <c r="AI248" s="1">
        <v>0</v>
      </c>
      <c r="AJ248" s="1">
        <f t="shared" si="18"/>
        <v>0</v>
      </c>
      <c r="AK248" s="1">
        <f>C24</f>
        <v>0</v>
      </c>
      <c r="AL248" s="1">
        <f>C30</f>
        <v>0</v>
      </c>
      <c r="AM248" s="1">
        <f t="shared" si="19"/>
        <v>0</v>
      </c>
      <c r="AN248" s="1">
        <f t="shared" si="20"/>
        <v>0</v>
      </c>
      <c r="AO248" s="1">
        <f t="shared" si="21"/>
        <v>0</v>
      </c>
      <c r="AP248" t="b" cm="1">
        <f t="array" ref="AP248">INDEX($AU$8:$BB$25,6*(R248-1)+MATCH(AB248,$AS$8:$AS$13,0),MATCH(O248,$AU$7:$BB$7,0))</f>
        <v>1</v>
      </c>
    </row>
    <row r="249" spans="15:42" ht="14.25" x14ac:dyDescent="0.45">
      <c r="O249" s="43" t="s">
        <v>30</v>
      </c>
      <c r="P249" s="43">
        <v>3</v>
      </c>
      <c r="Q249" s="43">
        <v>12</v>
      </c>
      <c r="R249" s="43">
        <v>2</v>
      </c>
      <c r="S249" s="45"/>
      <c r="T249" t="b">
        <f>(S248+S249+S250)=O4</f>
        <v>0</v>
      </c>
      <c r="X249" s="1">
        <f t="shared" si="22"/>
        <v>0</v>
      </c>
      <c r="Y249" s="48">
        <v>0</v>
      </c>
      <c r="AA249" s="1">
        <v>10</v>
      </c>
      <c r="AB249" s="1" t="s">
        <v>15</v>
      </c>
      <c r="AC249" s="1" t="s">
        <v>21</v>
      </c>
      <c r="AD249" s="1">
        <v>18</v>
      </c>
      <c r="AE249" s="1">
        <v>13</v>
      </c>
      <c r="AF249" s="1">
        <v>0.76</v>
      </c>
      <c r="AG249" s="1">
        <v>0.84</v>
      </c>
      <c r="AH249" s="1">
        <v>0</v>
      </c>
      <c r="AI249" s="1">
        <v>0</v>
      </c>
      <c r="AJ249" s="1">
        <f t="shared" si="18"/>
        <v>0</v>
      </c>
      <c r="AK249" s="1">
        <f>D24</f>
        <v>0</v>
      </c>
      <c r="AL249" s="1">
        <f>D30</f>
        <v>0</v>
      </c>
      <c r="AM249" s="1">
        <f t="shared" si="19"/>
        <v>0</v>
      </c>
      <c r="AN249" s="1">
        <f t="shared" si="20"/>
        <v>0</v>
      </c>
      <c r="AO249" s="1">
        <f t="shared" si="21"/>
        <v>0</v>
      </c>
      <c r="AP249" t="b" cm="1">
        <f t="array" ref="AP249">INDEX($AU$8:$BB$25,6*(R249-1)+MATCH(AB249,$AS$8:$AS$13,0),MATCH(O249,$AU$7:$BB$7,0))</f>
        <v>1</v>
      </c>
    </row>
    <row r="250" spans="15:42" ht="14.25" x14ac:dyDescent="0.45">
      <c r="O250" s="43" t="s">
        <v>30</v>
      </c>
      <c r="P250" s="43">
        <v>3</v>
      </c>
      <c r="Q250" s="43">
        <v>12</v>
      </c>
      <c r="R250" s="43">
        <v>3</v>
      </c>
      <c r="S250" s="45"/>
      <c r="T250" t="b">
        <f>(S248+S249+S250)=O4</f>
        <v>0</v>
      </c>
      <c r="X250" s="1">
        <f t="shared" si="22"/>
        <v>0</v>
      </c>
      <c r="Y250" s="48">
        <v>0</v>
      </c>
      <c r="AA250" s="1">
        <v>10</v>
      </c>
      <c r="AB250" s="1" t="s">
        <v>15</v>
      </c>
      <c r="AC250" s="1" t="s">
        <v>21</v>
      </c>
      <c r="AD250" s="1">
        <v>18</v>
      </c>
      <c r="AE250" s="1">
        <v>13</v>
      </c>
      <c r="AF250" s="1">
        <v>0.76</v>
      </c>
      <c r="AG250" s="1">
        <v>0.84</v>
      </c>
      <c r="AH250" s="1">
        <v>0</v>
      </c>
      <c r="AI250" s="1">
        <v>0</v>
      </c>
      <c r="AJ250" s="1">
        <f t="shared" si="18"/>
        <v>0</v>
      </c>
      <c r="AK250" s="1">
        <f>E24</f>
        <v>0</v>
      </c>
      <c r="AL250" s="1">
        <f>E30</f>
        <v>0</v>
      </c>
      <c r="AM250" s="1">
        <f t="shared" si="19"/>
        <v>0</v>
      </c>
      <c r="AN250" s="1">
        <f t="shared" si="20"/>
        <v>0</v>
      </c>
      <c r="AO250" s="1">
        <f t="shared" si="21"/>
        <v>0</v>
      </c>
      <c r="AP250" t="b" cm="1">
        <f t="array" ref="AP250">INDEX($AU$8:$BB$25,6*(R250-1)+MATCH(AB250,$AS$8:$AS$13,0),MATCH(O250,$AU$7:$BB$7,0))</f>
        <v>1</v>
      </c>
    </row>
    <row r="251" spans="15:42" ht="14.25" x14ac:dyDescent="0.45">
      <c r="O251" s="43" t="s">
        <v>30</v>
      </c>
      <c r="P251" s="43">
        <v>3</v>
      </c>
      <c r="Q251" s="43">
        <v>13</v>
      </c>
      <c r="R251" s="43">
        <v>1</v>
      </c>
      <c r="S251" s="45"/>
      <c r="T251" t="b">
        <f>(S251+S252+S253)=O4</f>
        <v>0</v>
      </c>
      <c r="X251" s="1">
        <f t="shared" si="22"/>
        <v>0</v>
      </c>
      <c r="Y251" s="48">
        <v>0</v>
      </c>
      <c r="AA251" s="1">
        <v>2</v>
      </c>
      <c r="AB251" s="1" t="s">
        <v>16</v>
      </c>
      <c r="AC251" s="1" t="s">
        <v>22</v>
      </c>
      <c r="AD251" s="1">
        <v>20</v>
      </c>
      <c r="AE251" s="1">
        <v>18</v>
      </c>
      <c r="AF251" s="1">
        <v>0.8</v>
      </c>
      <c r="AG251" s="1">
        <v>0.9</v>
      </c>
      <c r="AH251" s="1">
        <v>0</v>
      </c>
      <c r="AI251" s="1">
        <v>0</v>
      </c>
      <c r="AJ251" s="1">
        <f t="shared" si="18"/>
        <v>0</v>
      </c>
      <c r="AK251" s="1">
        <f>C25</f>
        <v>0</v>
      </c>
      <c r="AL251" s="1">
        <f>C31</f>
        <v>0</v>
      </c>
      <c r="AM251" s="1">
        <f t="shared" si="19"/>
        <v>0</v>
      </c>
      <c r="AN251" s="1">
        <f t="shared" si="20"/>
        <v>0</v>
      </c>
      <c r="AO251" s="1">
        <f t="shared" si="21"/>
        <v>0</v>
      </c>
      <c r="AP251" t="b" cm="1">
        <f t="array" ref="AP251">INDEX($AU$8:$BB$25,6*(R251-1)+MATCH(AB251,$AS$8:$AS$13,0),MATCH(O251,$AU$7:$BB$7,0))</f>
        <v>1</v>
      </c>
    </row>
    <row r="252" spans="15:42" ht="14.25" x14ac:dyDescent="0.45">
      <c r="O252" s="43" t="s">
        <v>30</v>
      </c>
      <c r="P252" s="43">
        <v>3</v>
      </c>
      <c r="Q252" s="43">
        <v>13</v>
      </c>
      <c r="R252" s="43">
        <v>2</v>
      </c>
      <c r="S252" s="45"/>
      <c r="T252" t="b">
        <f>(S251+S252+S253)=O4</f>
        <v>0</v>
      </c>
      <c r="X252" s="1">
        <f t="shared" si="22"/>
        <v>0</v>
      </c>
      <c r="Y252" s="48">
        <v>0</v>
      </c>
      <c r="AA252" s="1">
        <v>2</v>
      </c>
      <c r="AB252" s="1" t="s">
        <v>16</v>
      </c>
      <c r="AC252" s="1" t="s">
        <v>22</v>
      </c>
      <c r="AD252" s="1">
        <v>20</v>
      </c>
      <c r="AE252" s="1">
        <v>18</v>
      </c>
      <c r="AF252" s="1">
        <v>0.8</v>
      </c>
      <c r="AG252" s="1">
        <v>0.9</v>
      </c>
      <c r="AH252" s="1">
        <v>0</v>
      </c>
      <c r="AI252" s="1">
        <v>0</v>
      </c>
      <c r="AJ252" s="1">
        <f t="shared" si="18"/>
        <v>0</v>
      </c>
      <c r="AK252" s="1">
        <f>D25</f>
        <v>0</v>
      </c>
      <c r="AL252" s="1">
        <f>D31</f>
        <v>0</v>
      </c>
      <c r="AM252" s="1">
        <f t="shared" si="19"/>
        <v>0</v>
      </c>
      <c r="AN252" s="1">
        <f t="shared" si="20"/>
        <v>0</v>
      </c>
      <c r="AO252" s="1">
        <f t="shared" si="21"/>
        <v>0</v>
      </c>
      <c r="AP252" t="b" cm="1">
        <f t="array" ref="AP252">INDEX($AU$8:$BB$25,6*(R252-1)+MATCH(AB252,$AS$8:$AS$13,0),MATCH(O252,$AU$7:$BB$7,0))</f>
        <v>1</v>
      </c>
    </row>
    <row r="253" spans="15:42" ht="14.25" x14ac:dyDescent="0.45">
      <c r="O253" s="43" t="s">
        <v>30</v>
      </c>
      <c r="P253" s="43">
        <v>3</v>
      </c>
      <c r="Q253" s="43">
        <v>13</v>
      </c>
      <c r="R253" s="43">
        <v>3</v>
      </c>
      <c r="S253" s="45"/>
      <c r="T253" t="b">
        <f>(S251+S252+S253)=O4</f>
        <v>0</v>
      </c>
      <c r="X253" s="1">
        <f t="shared" si="22"/>
        <v>0</v>
      </c>
      <c r="Y253" s="48">
        <v>0</v>
      </c>
      <c r="AA253" s="1">
        <v>2</v>
      </c>
      <c r="AB253" s="1" t="s">
        <v>16</v>
      </c>
      <c r="AC253" s="1" t="s">
        <v>22</v>
      </c>
      <c r="AD253" s="1">
        <v>20</v>
      </c>
      <c r="AE253" s="1">
        <v>18</v>
      </c>
      <c r="AF253" s="1">
        <v>0.8</v>
      </c>
      <c r="AG253" s="1">
        <v>0.9</v>
      </c>
      <c r="AH253" s="1">
        <v>0</v>
      </c>
      <c r="AI253" s="1">
        <v>0</v>
      </c>
      <c r="AJ253" s="1">
        <f t="shared" si="18"/>
        <v>0</v>
      </c>
      <c r="AK253" s="1">
        <f>E25</f>
        <v>0</v>
      </c>
      <c r="AL253" s="1">
        <f>E31</f>
        <v>0</v>
      </c>
      <c r="AM253" s="1">
        <f t="shared" si="19"/>
        <v>0</v>
      </c>
      <c r="AN253" s="1">
        <f t="shared" si="20"/>
        <v>0</v>
      </c>
      <c r="AO253" s="1">
        <f t="shared" si="21"/>
        <v>0</v>
      </c>
      <c r="AP253" t="b" cm="1">
        <f t="array" ref="AP253">INDEX($AU$8:$BB$25,6*(R253-1)+MATCH(AB253,$AS$8:$AS$13,0),MATCH(O253,$AU$7:$BB$7,0))</f>
        <v>1</v>
      </c>
    </row>
    <row r="254" spans="15:42" ht="14.25" x14ac:dyDescent="0.45">
      <c r="O254" s="43" t="s">
        <v>30</v>
      </c>
      <c r="P254" s="43">
        <v>3</v>
      </c>
      <c r="Q254" s="43">
        <v>14</v>
      </c>
      <c r="R254" s="43">
        <v>1</v>
      </c>
      <c r="S254" s="45"/>
      <c r="T254" t="b">
        <f>(S254+S255+S256)=O4</f>
        <v>0</v>
      </c>
      <c r="X254" s="1">
        <f t="shared" si="22"/>
        <v>0</v>
      </c>
      <c r="Y254" s="48">
        <v>0</v>
      </c>
      <c r="AA254" s="1">
        <v>2</v>
      </c>
      <c r="AB254" s="1" t="s">
        <v>13</v>
      </c>
      <c r="AC254" s="1" t="s">
        <v>19</v>
      </c>
      <c r="AD254" s="1">
        <v>12</v>
      </c>
      <c r="AE254" s="1">
        <v>11</v>
      </c>
      <c r="AF254" s="1">
        <v>0.8</v>
      </c>
      <c r="AG254" s="1">
        <v>0.86</v>
      </c>
      <c r="AH254" s="1">
        <v>0</v>
      </c>
      <c r="AI254" s="1">
        <v>0</v>
      </c>
      <c r="AJ254" s="1">
        <f t="shared" si="18"/>
        <v>0</v>
      </c>
      <c r="AK254" s="1">
        <f>C22</f>
        <v>0</v>
      </c>
      <c r="AL254" s="1">
        <f>C28</f>
        <v>0</v>
      </c>
      <c r="AM254" s="1">
        <f t="shared" si="19"/>
        <v>0</v>
      </c>
      <c r="AN254" s="1">
        <f t="shared" si="20"/>
        <v>0</v>
      </c>
      <c r="AO254" s="1">
        <f t="shared" si="21"/>
        <v>0</v>
      </c>
      <c r="AP254" t="b" cm="1">
        <f t="array" ref="AP254">INDEX($AU$8:$BB$25,6*(R254-1)+MATCH(AB254,$AS$8:$AS$13,0),MATCH(O254,$AU$7:$BB$7,0))</f>
        <v>1</v>
      </c>
    </row>
    <row r="255" spans="15:42" ht="14.25" x14ac:dyDescent="0.45">
      <c r="O255" s="43" t="s">
        <v>30</v>
      </c>
      <c r="P255" s="43">
        <v>3</v>
      </c>
      <c r="Q255" s="43">
        <v>14</v>
      </c>
      <c r="R255" s="43">
        <v>2</v>
      </c>
      <c r="S255" s="45"/>
      <c r="T255" t="b">
        <f>(S254+S255+S256)=O4</f>
        <v>0</v>
      </c>
      <c r="X255" s="1">
        <f t="shared" si="22"/>
        <v>0</v>
      </c>
      <c r="Y255" s="48">
        <v>0</v>
      </c>
      <c r="AA255" s="1">
        <v>2</v>
      </c>
      <c r="AB255" s="1" t="s">
        <v>13</v>
      </c>
      <c r="AC255" s="1" t="s">
        <v>19</v>
      </c>
      <c r="AD255" s="1">
        <v>12</v>
      </c>
      <c r="AE255" s="1">
        <v>11</v>
      </c>
      <c r="AF255" s="1">
        <v>0.8</v>
      </c>
      <c r="AG255" s="1">
        <v>0.86</v>
      </c>
      <c r="AH255" s="1">
        <v>0</v>
      </c>
      <c r="AI255" s="1">
        <v>0</v>
      </c>
      <c r="AJ255" s="1">
        <f t="shared" si="18"/>
        <v>0</v>
      </c>
      <c r="AK255" s="1">
        <f>D22</f>
        <v>0</v>
      </c>
      <c r="AL255" s="1">
        <f>D28</f>
        <v>0</v>
      </c>
      <c r="AM255" s="1">
        <f t="shared" si="19"/>
        <v>0</v>
      </c>
      <c r="AN255" s="1">
        <f t="shared" si="20"/>
        <v>0</v>
      </c>
      <c r="AO255" s="1">
        <f t="shared" si="21"/>
        <v>0</v>
      </c>
      <c r="AP255" t="b" cm="1">
        <f t="array" ref="AP255">INDEX($AU$8:$BB$25,6*(R255-1)+MATCH(AB255,$AS$8:$AS$13,0),MATCH(O255,$AU$7:$BB$7,0))</f>
        <v>1</v>
      </c>
    </row>
    <row r="256" spans="15:42" ht="14.25" x14ac:dyDescent="0.45">
      <c r="O256" s="43" t="s">
        <v>30</v>
      </c>
      <c r="P256" s="43">
        <v>3</v>
      </c>
      <c r="Q256" s="43">
        <v>14</v>
      </c>
      <c r="R256" s="43">
        <v>3</v>
      </c>
      <c r="S256" s="45"/>
      <c r="T256" t="b">
        <f>(S254+S255+S256)=O4</f>
        <v>0</v>
      </c>
      <c r="X256" s="1">
        <f t="shared" si="22"/>
        <v>0</v>
      </c>
      <c r="Y256" s="48">
        <v>0</v>
      </c>
      <c r="AA256" s="1">
        <v>2</v>
      </c>
      <c r="AB256" s="1" t="s">
        <v>13</v>
      </c>
      <c r="AC256" s="1" t="s">
        <v>19</v>
      </c>
      <c r="AD256" s="1">
        <v>12</v>
      </c>
      <c r="AE256" s="1">
        <v>11</v>
      </c>
      <c r="AF256" s="1">
        <v>0.8</v>
      </c>
      <c r="AG256" s="1">
        <v>0.86</v>
      </c>
      <c r="AH256" s="1">
        <v>0</v>
      </c>
      <c r="AI256" s="1">
        <v>0</v>
      </c>
      <c r="AJ256" s="1">
        <f t="shared" si="18"/>
        <v>0</v>
      </c>
      <c r="AK256" s="1">
        <f>E22</f>
        <v>0</v>
      </c>
      <c r="AL256" s="1">
        <f>E28</f>
        <v>0</v>
      </c>
      <c r="AM256" s="1">
        <f t="shared" si="19"/>
        <v>0</v>
      </c>
      <c r="AN256" s="1">
        <f t="shared" si="20"/>
        <v>0</v>
      </c>
      <c r="AO256" s="1">
        <f t="shared" si="21"/>
        <v>0</v>
      </c>
      <c r="AP256" t="b" cm="1">
        <f t="array" ref="AP256">INDEX($AU$8:$BB$25,6*(R256-1)+MATCH(AB256,$AS$8:$AS$13,0),MATCH(O256,$AU$7:$BB$7,0))</f>
        <v>1</v>
      </c>
    </row>
    <row r="257" spans="15:42" ht="14.25" x14ac:dyDescent="0.45">
      <c r="O257" s="43" t="s">
        <v>30</v>
      </c>
      <c r="P257" s="43">
        <v>3</v>
      </c>
      <c r="Q257" s="43">
        <v>15</v>
      </c>
      <c r="R257" s="43">
        <v>1</v>
      </c>
      <c r="S257" s="45"/>
      <c r="T257" t="b">
        <f>(S257+S258+S259)=O4</f>
        <v>0</v>
      </c>
      <c r="X257" s="1">
        <f t="shared" si="22"/>
        <v>0</v>
      </c>
      <c r="Y257" s="48">
        <v>0</v>
      </c>
      <c r="AA257" s="1">
        <v>2</v>
      </c>
      <c r="AB257" s="1" t="s">
        <v>14</v>
      </c>
      <c r="AC257" s="1" t="s">
        <v>20</v>
      </c>
      <c r="AD257" s="1">
        <v>11</v>
      </c>
      <c r="AE257" s="1">
        <v>10</v>
      </c>
      <c r="AF257" s="1">
        <v>0.8</v>
      </c>
      <c r="AG257" s="1">
        <v>0.88</v>
      </c>
      <c r="AH257" s="1">
        <v>0</v>
      </c>
      <c r="AI257" s="1">
        <v>0</v>
      </c>
      <c r="AJ257" s="1">
        <f t="shared" si="18"/>
        <v>0</v>
      </c>
      <c r="AK257" s="1">
        <f>C23</f>
        <v>0</v>
      </c>
      <c r="AL257" s="1">
        <f>C29</f>
        <v>0</v>
      </c>
      <c r="AM257" s="1">
        <f t="shared" si="19"/>
        <v>0</v>
      </c>
      <c r="AN257" s="1">
        <f t="shared" si="20"/>
        <v>0</v>
      </c>
      <c r="AO257" s="1">
        <f t="shared" si="21"/>
        <v>0</v>
      </c>
      <c r="AP257" t="b" cm="1">
        <f t="array" ref="AP257">INDEX($AU$8:$BB$25,6*(R257-1)+MATCH(AB257,$AS$8:$AS$13,0),MATCH(O257,$AU$7:$BB$7,0))</f>
        <v>1</v>
      </c>
    </row>
    <row r="258" spans="15:42" ht="14.25" x14ac:dyDescent="0.45">
      <c r="O258" s="43" t="s">
        <v>30</v>
      </c>
      <c r="P258" s="43">
        <v>3</v>
      </c>
      <c r="Q258" s="43">
        <v>15</v>
      </c>
      <c r="R258" s="43">
        <v>2</v>
      </c>
      <c r="S258" s="45"/>
      <c r="T258" t="b">
        <f>(S257+S258+S259)=O4</f>
        <v>0</v>
      </c>
      <c r="X258" s="1">
        <f t="shared" si="22"/>
        <v>0</v>
      </c>
      <c r="Y258" s="48">
        <v>0</v>
      </c>
      <c r="AA258" s="1">
        <v>2</v>
      </c>
      <c r="AB258" s="1" t="s">
        <v>14</v>
      </c>
      <c r="AC258" s="1" t="s">
        <v>20</v>
      </c>
      <c r="AD258" s="1">
        <v>11</v>
      </c>
      <c r="AE258" s="1">
        <v>10</v>
      </c>
      <c r="AF258" s="1">
        <v>0.8</v>
      </c>
      <c r="AG258" s="1">
        <v>0.88</v>
      </c>
      <c r="AH258" s="1">
        <v>0</v>
      </c>
      <c r="AI258" s="1">
        <v>0</v>
      </c>
      <c r="AJ258" s="1">
        <f t="shared" si="18"/>
        <v>0</v>
      </c>
      <c r="AK258" s="1">
        <f>D23</f>
        <v>0</v>
      </c>
      <c r="AL258" s="1">
        <f>D29</f>
        <v>0</v>
      </c>
      <c r="AM258" s="1">
        <f t="shared" si="19"/>
        <v>0</v>
      </c>
      <c r="AN258" s="1">
        <f t="shared" si="20"/>
        <v>0</v>
      </c>
      <c r="AO258" s="1">
        <f t="shared" si="21"/>
        <v>0</v>
      </c>
      <c r="AP258" t="b" cm="1">
        <f t="array" ref="AP258">INDEX($AU$8:$BB$25,6*(R258-1)+MATCH(AB258,$AS$8:$AS$13,0),MATCH(O258,$AU$7:$BB$7,0))</f>
        <v>1</v>
      </c>
    </row>
    <row r="259" spans="15:42" ht="14.25" x14ac:dyDescent="0.45">
      <c r="O259" s="43" t="s">
        <v>30</v>
      </c>
      <c r="P259" s="43">
        <v>3</v>
      </c>
      <c r="Q259" s="43">
        <v>15</v>
      </c>
      <c r="R259" s="43">
        <v>3</v>
      </c>
      <c r="S259" s="45"/>
      <c r="T259" t="b">
        <f>(S257+S258+S259)=O4</f>
        <v>0</v>
      </c>
      <c r="X259" s="1">
        <f t="shared" si="22"/>
        <v>0</v>
      </c>
      <c r="Y259" s="48">
        <v>0</v>
      </c>
      <c r="AA259" s="1">
        <v>2</v>
      </c>
      <c r="AB259" s="1" t="s">
        <v>14</v>
      </c>
      <c r="AC259" s="1" t="s">
        <v>20</v>
      </c>
      <c r="AD259" s="1">
        <v>11</v>
      </c>
      <c r="AE259" s="1">
        <v>10</v>
      </c>
      <c r="AF259" s="1">
        <v>0.8</v>
      </c>
      <c r="AG259" s="1">
        <v>0.88</v>
      </c>
      <c r="AH259" s="1">
        <v>0</v>
      </c>
      <c r="AI259" s="1">
        <v>0</v>
      </c>
      <c r="AJ259" s="1">
        <f t="shared" si="18"/>
        <v>0</v>
      </c>
      <c r="AK259" s="1">
        <f>E23</f>
        <v>0</v>
      </c>
      <c r="AL259" s="1">
        <f>E29</f>
        <v>0</v>
      </c>
      <c r="AM259" s="1">
        <f t="shared" si="19"/>
        <v>0</v>
      </c>
      <c r="AN259" s="1">
        <f t="shared" si="20"/>
        <v>0</v>
      </c>
      <c r="AO259" s="1">
        <f t="shared" si="21"/>
        <v>0</v>
      </c>
      <c r="AP259" t="b" cm="1">
        <f t="array" ref="AP259">INDEX($AU$8:$BB$25,6*(R259-1)+MATCH(AB259,$AS$8:$AS$13,0),MATCH(O259,$AU$7:$BB$7,0))</f>
        <v>1</v>
      </c>
    </row>
    <row r="260" spans="15:42" ht="14.25" x14ac:dyDescent="0.45">
      <c r="O260" s="43" t="s">
        <v>30</v>
      </c>
      <c r="P260" s="43">
        <v>3</v>
      </c>
      <c r="Q260" s="43">
        <v>16</v>
      </c>
      <c r="R260" s="43">
        <v>1</v>
      </c>
      <c r="S260" s="45"/>
      <c r="T260" t="b">
        <f>(S260+S261+S262)=O4</f>
        <v>0</v>
      </c>
      <c r="X260" s="1">
        <f t="shared" si="22"/>
        <v>0</v>
      </c>
      <c r="Y260" s="48">
        <v>0</v>
      </c>
      <c r="AA260" s="1">
        <v>4</v>
      </c>
      <c r="AB260" s="1" t="s">
        <v>13</v>
      </c>
      <c r="AC260" s="1" t="s">
        <v>19</v>
      </c>
      <c r="AD260" s="1">
        <v>25</v>
      </c>
      <c r="AE260" s="1">
        <v>20</v>
      </c>
      <c r="AF260" s="1">
        <v>0.8</v>
      </c>
      <c r="AG260" s="1">
        <v>0.86</v>
      </c>
      <c r="AH260" s="1">
        <v>0</v>
      </c>
      <c r="AI260" s="1">
        <v>0</v>
      </c>
      <c r="AJ260" s="1">
        <f t="shared" si="18"/>
        <v>0</v>
      </c>
      <c r="AK260" s="1">
        <f>C22</f>
        <v>0</v>
      </c>
      <c r="AL260" s="1">
        <f>C28</f>
        <v>0</v>
      </c>
      <c r="AM260" s="1">
        <f t="shared" si="19"/>
        <v>0</v>
      </c>
      <c r="AN260" s="1">
        <f t="shared" si="20"/>
        <v>0</v>
      </c>
      <c r="AO260" s="1">
        <f t="shared" si="21"/>
        <v>0</v>
      </c>
      <c r="AP260" t="b" cm="1">
        <f t="array" ref="AP260">INDEX($AU$8:$BB$25,6*(R260-1)+MATCH(AB260,$AS$8:$AS$13,0),MATCH(O260,$AU$7:$BB$7,0))</f>
        <v>1</v>
      </c>
    </row>
    <row r="261" spans="15:42" ht="14.25" x14ac:dyDescent="0.45">
      <c r="O261" s="43" t="s">
        <v>30</v>
      </c>
      <c r="P261" s="43">
        <v>3</v>
      </c>
      <c r="Q261" s="43">
        <v>16</v>
      </c>
      <c r="R261" s="43">
        <v>2</v>
      </c>
      <c r="S261" s="45"/>
      <c r="T261" t="b">
        <f>(S260+S261+S262)=O4</f>
        <v>0</v>
      </c>
      <c r="X261" s="1">
        <f t="shared" si="22"/>
        <v>0</v>
      </c>
      <c r="Y261" s="48">
        <v>0</v>
      </c>
      <c r="AA261" s="1">
        <v>4</v>
      </c>
      <c r="AB261" s="1" t="s">
        <v>13</v>
      </c>
      <c r="AC261" s="1" t="s">
        <v>19</v>
      </c>
      <c r="AD261" s="1">
        <v>25</v>
      </c>
      <c r="AE261" s="1">
        <v>20</v>
      </c>
      <c r="AF261" s="1">
        <v>0.8</v>
      </c>
      <c r="AG261" s="1">
        <v>0.86</v>
      </c>
      <c r="AH261" s="1">
        <v>0</v>
      </c>
      <c r="AI261" s="1">
        <v>0</v>
      </c>
      <c r="AJ261" s="1">
        <f t="shared" si="18"/>
        <v>0</v>
      </c>
      <c r="AK261" s="1">
        <f>D22</f>
        <v>0</v>
      </c>
      <c r="AL261" s="1">
        <f>D28</f>
        <v>0</v>
      </c>
      <c r="AM261" s="1">
        <f t="shared" si="19"/>
        <v>0</v>
      </c>
      <c r="AN261" s="1">
        <f t="shared" si="20"/>
        <v>0</v>
      </c>
      <c r="AO261" s="1">
        <f t="shared" si="21"/>
        <v>0</v>
      </c>
      <c r="AP261" t="b" cm="1">
        <f t="array" ref="AP261">INDEX($AU$8:$BB$25,6*(R261-1)+MATCH(AB261,$AS$8:$AS$13,0),MATCH(O261,$AU$7:$BB$7,0))</f>
        <v>1</v>
      </c>
    </row>
    <row r="262" spans="15:42" ht="14.25" x14ac:dyDescent="0.45">
      <c r="O262" s="43" t="s">
        <v>30</v>
      </c>
      <c r="P262" s="43">
        <v>3</v>
      </c>
      <c r="Q262" s="43">
        <v>16</v>
      </c>
      <c r="R262" s="43">
        <v>3</v>
      </c>
      <c r="S262" s="45"/>
      <c r="T262" t="b">
        <f>(S260+S261+S262)=O4</f>
        <v>0</v>
      </c>
      <c r="X262" s="1">
        <f t="shared" si="22"/>
        <v>0</v>
      </c>
      <c r="Y262" s="48">
        <v>0</v>
      </c>
      <c r="AA262" s="1">
        <v>4</v>
      </c>
      <c r="AB262" s="1" t="s">
        <v>13</v>
      </c>
      <c r="AC262" s="1" t="s">
        <v>19</v>
      </c>
      <c r="AD262" s="1">
        <v>25</v>
      </c>
      <c r="AE262" s="1">
        <v>20</v>
      </c>
      <c r="AF262" s="1">
        <v>0.8</v>
      </c>
      <c r="AG262" s="1">
        <v>0.86</v>
      </c>
      <c r="AH262" s="1">
        <v>0</v>
      </c>
      <c r="AI262" s="1">
        <v>0</v>
      </c>
      <c r="AJ262" s="1">
        <f t="shared" si="18"/>
        <v>0</v>
      </c>
      <c r="AK262" s="1">
        <f>E22</f>
        <v>0</v>
      </c>
      <c r="AL262" s="1">
        <f>E28</f>
        <v>0</v>
      </c>
      <c r="AM262" s="1">
        <f t="shared" si="19"/>
        <v>0</v>
      </c>
      <c r="AN262" s="1">
        <f t="shared" si="20"/>
        <v>0</v>
      </c>
      <c r="AO262" s="1">
        <f t="shared" si="21"/>
        <v>0</v>
      </c>
      <c r="AP262" t="b" cm="1">
        <f t="array" ref="AP262">INDEX($AU$8:$BB$25,6*(R262-1)+MATCH(AB262,$AS$8:$AS$13,0),MATCH(O262,$AU$7:$BB$7,0))</f>
        <v>1</v>
      </c>
    </row>
    <row r="263" spans="15:42" ht="14.25" x14ac:dyDescent="0.45">
      <c r="O263" s="43" t="s">
        <v>30</v>
      </c>
      <c r="P263" s="43">
        <v>3</v>
      </c>
      <c r="Q263" s="43">
        <v>17</v>
      </c>
      <c r="R263" s="43">
        <v>1</v>
      </c>
      <c r="S263" s="45"/>
      <c r="T263" t="b">
        <f>(S263+S264+S265)=O4</f>
        <v>0</v>
      </c>
      <c r="X263" s="1">
        <f t="shared" si="22"/>
        <v>0</v>
      </c>
      <c r="Y263" s="48">
        <v>0</v>
      </c>
      <c r="AA263" s="1">
        <v>1</v>
      </c>
      <c r="AB263" s="1" t="s">
        <v>16</v>
      </c>
      <c r="AC263" s="1" t="s">
        <v>22</v>
      </c>
      <c r="AD263" s="1">
        <v>14</v>
      </c>
      <c r="AE263" s="1">
        <v>13</v>
      </c>
      <c r="AF263" s="1">
        <v>0.8</v>
      </c>
      <c r="AG263" s="1">
        <v>0.9</v>
      </c>
      <c r="AH263" s="1">
        <v>0</v>
      </c>
      <c r="AI263" s="1">
        <v>0</v>
      </c>
      <c r="AJ263" s="1">
        <f t="shared" si="18"/>
        <v>0</v>
      </c>
      <c r="AK263" s="1">
        <f>C25</f>
        <v>0</v>
      </c>
      <c r="AL263" s="1">
        <f>C31</f>
        <v>0</v>
      </c>
      <c r="AM263" s="1">
        <f t="shared" si="19"/>
        <v>0</v>
      </c>
      <c r="AN263" s="1">
        <f t="shared" si="20"/>
        <v>0</v>
      </c>
      <c r="AO263" s="1">
        <f t="shared" si="21"/>
        <v>0</v>
      </c>
      <c r="AP263" t="b" cm="1">
        <f t="array" ref="AP263">INDEX($AU$8:$BB$25,6*(R263-1)+MATCH(AB263,$AS$8:$AS$13,0),MATCH(O263,$AU$7:$BB$7,0))</f>
        <v>1</v>
      </c>
    </row>
    <row r="264" spans="15:42" ht="14.25" x14ac:dyDescent="0.45">
      <c r="O264" s="43" t="s">
        <v>30</v>
      </c>
      <c r="P264" s="43">
        <v>3</v>
      </c>
      <c r="Q264" s="43">
        <v>17</v>
      </c>
      <c r="R264" s="43">
        <v>2</v>
      </c>
      <c r="S264" s="45"/>
      <c r="T264" t="b">
        <f>(S263+S264+S265)=O4</f>
        <v>0</v>
      </c>
      <c r="X264" s="1">
        <f t="shared" si="22"/>
        <v>0</v>
      </c>
      <c r="Y264" s="48">
        <v>0</v>
      </c>
      <c r="AA264" s="1">
        <v>1</v>
      </c>
      <c r="AB264" s="1" t="s">
        <v>16</v>
      </c>
      <c r="AC264" s="1" t="s">
        <v>22</v>
      </c>
      <c r="AD264" s="1">
        <v>14</v>
      </c>
      <c r="AE264" s="1">
        <v>13</v>
      </c>
      <c r="AF264" s="1">
        <v>0.8</v>
      </c>
      <c r="AG264" s="1">
        <v>0.9</v>
      </c>
      <c r="AH264" s="1">
        <v>0</v>
      </c>
      <c r="AI264" s="1">
        <v>0</v>
      </c>
      <c r="AJ264" s="1">
        <f t="shared" si="18"/>
        <v>0</v>
      </c>
      <c r="AK264" s="1">
        <f>D25</f>
        <v>0</v>
      </c>
      <c r="AL264" s="1">
        <f>D31</f>
        <v>0</v>
      </c>
      <c r="AM264" s="1">
        <f t="shared" si="19"/>
        <v>0</v>
      </c>
      <c r="AN264" s="1">
        <f t="shared" si="20"/>
        <v>0</v>
      </c>
      <c r="AO264" s="1">
        <f t="shared" si="21"/>
        <v>0</v>
      </c>
      <c r="AP264" t="b" cm="1">
        <f t="array" ref="AP264">INDEX($AU$8:$BB$25,6*(R264-1)+MATCH(AB264,$AS$8:$AS$13,0),MATCH(O264,$AU$7:$BB$7,0))</f>
        <v>1</v>
      </c>
    </row>
    <row r="265" spans="15:42" ht="14.25" x14ac:dyDescent="0.45">
      <c r="O265" s="43" t="s">
        <v>30</v>
      </c>
      <c r="P265" s="43">
        <v>3</v>
      </c>
      <c r="Q265" s="43">
        <v>17</v>
      </c>
      <c r="R265" s="43">
        <v>3</v>
      </c>
      <c r="S265" s="45"/>
      <c r="T265" t="b">
        <f>(S263+S264+S265)=O4</f>
        <v>0</v>
      </c>
      <c r="X265" s="1">
        <f t="shared" si="22"/>
        <v>0</v>
      </c>
      <c r="Y265" s="48">
        <v>0</v>
      </c>
      <c r="AA265" s="1">
        <v>1</v>
      </c>
      <c r="AB265" s="1" t="s">
        <v>16</v>
      </c>
      <c r="AC265" s="1" t="s">
        <v>22</v>
      </c>
      <c r="AD265" s="1">
        <v>14</v>
      </c>
      <c r="AE265" s="1">
        <v>13</v>
      </c>
      <c r="AF265" s="1">
        <v>0.8</v>
      </c>
      <c r="AG265" s="1">
        <v>0.9</v>
      </c>
      <c r="AH265" s="1">
        <v>0</v>
      </c>
      <c r="AI265" s="1">
        <v>0</v>
      </c>
      <c r="AJ265" s="1">
        <f t="shared" ref="AJ265:AJ328" si="23">SUMIFS(AH$8:AH$1039,$O$8:$O$1039,O265,$AB$8:$AB$1039,AB265,$R$8:$R$1039,R265,$AA$8:$AA$1039,"&lt;="&amp;AA265)</f>
        <v>0</v>
      </c>
      <c r="AK265" s="1">
        <f>E25</f>
        <v>0</v>
      </c>
      <c r="AL265" s="1">
        <f>E31</f>
        <v>0</v>
      </c>
      <c r="AM265" s="1">
        <f t="shared" ref="AM265:AM328" si="24">MAX(0,AJ265-AK265)</f>
        <v>0</v>
      </c>
      <c r="AN265" s="1">
        <f t="shared" ref="AN265:AN328" si="25">IF(AM265=0,AH265,IF(AM265&gt;=AH265,0,AH265-AM265))</f>
        <v>0</v>
      </c>
      <c r="AO265" s="1">
        <f t="shared" ref="AO265:AO328" si="26">IF(AM265&gt;=AH265,AI265,AI265*AM265/AH265)</f>
        <v>0</v>
      </c>
      <c r="AP265" t="b" cm="1">
        <f t="array" ref="AP265">INDEX($AU$8:$BB$25,6*(R265-1)+MATCH(AB265,$AS$8:$AS$13,0),MATCH(O265,$AU$7:$BB$7,0))</f>
        <v>1</v>
      </c>
    </row>
    <row r="266" spans="15:42" ht="14.25" x14ac:dyDescent="0.45">
      <c r="O266" s="43" t="s">
        <v>31</v>
      </c>
      <c r="P266" s="43">
        <v>1</v>
      </c>
      <c r="Q266" s="43">
        <v>1</v>
      </c>
      <c r="R266" s="43">
        <v>1</v>
      </c>
      <c r="S266" s="45"/>
      <c r="T266" t="b">
        <f>(S266+S267+S268)=P2</f>
        <v>0</v>
      </c>
      <c r="X266" s="1">
        <v>0</v>
      </c>
      <c r="Y266" s="48">
        <v>0</v>
      </c>
      <c r="AA266" s="1">
        <v>4</v>
      </c>
      <c r="AB266" s="1" t="s">
        <v>14</v>
      </c>
      <c r="AC266" s="1" t="s">
        <v>20</v>
      </c>
      <c r="AD266" s="1">
        <v>14</v>
      </c>
      <c r="AE266" s="1">
        <v>12</v>
      </c>
      <c r="AF266" s="1">
        <v>0.8</v>
      </c>
      <c r="AG266" s="1">
        <v>0.88</v>
      </c>
      <c r="AH266" s="1">
        <v>0</v>
      </c>
      <c r="AI266" s="1">
        <v>0</v>
      </c>
      <c r="AJ266" s="1">
        <f t="shared" si="23"/>
        <v>0</v>
      </c>
      <c r="AK266" s="1">
        <f>C35</f>
        <v>0</v>
      </c>
      <c r="AL266" s="1">
        <f>C41</f>
        <v>0</v>
      </c>
      <c r="AM266" s="1">
        <f t="shared" si="24"/>
        <v>0</v>
      </c>
      <c r="AN266" s="1">
        <f t="shared" si="25"/>
        <v>0</v>
      </c>
      <c r="AO266" s="1">
        <f t="shared" si="26"/>
        <v>0</v>
      </c>
      <c r="AP266" t="b" cm="1">
        <f t="array" ref="AP266">INDEX($AU$8:$BB$25,6*(R266-1)+MATCH(AB266,$AS$8:$AS$13,0),MATCH(O266,$AU$7:$BB$7,0))</f>
        <v>1</v>
      </c>
    </row>
    <row r="267" spans="15:42" ht="14.25" x14ac:dyDescent="0.45">
      <c r="O267" s="43" t="s">
        <v>31</v>
      </c>
      <c r="P267" s="43">
        <v>1</v>
      </c>
      <c r="Q267" s="43">
        <v>1</v>
      </c>
      <c r="R267" s="43">
        <v>2</v>
      </c>
      <c r="S267" s="45"/>
      <c r="T267" t="b">
        <f>(S266+S267+S268)=P2</f>
        <v>0</v>
      </c>
      <c r="X267" s="1">
        <v>0</v>
      </c>
      <c r="Y267" s="48">
        <v>0</v>
      </c>
      <c r="AA267" s="1">
        <v>4</v>
      </c>
      <c r="AB267" s="1" t="s">
        <v>14</v>
      </c>
      <c r="AC267" s="1" t="s">
        <v>20</v>
      </c>
      <c r="AD267" s="1">
        <v>14</v>
      </c>
      <c r="AE267" s="1">
        <v>12</v>
      </c>
      <c r="AF267" s="1">
        <v>0.8</v>
      </c>
      <c r="AG267" s="1">
        <v>0.88</v>
      </c>
      <c r="AH267" s="1">
        <v>0</v>
      </c>
      <c r="AI267" s="1">
        <v>0</v>
      </c>
      <c r="AJ267" s="1">
        <f t="shared" si="23"/>
        <v>0</v>
      </c>
      <c r="AK267" s="1">
        <f>D35</f>
        <v>0</v>
      </c>
      <c r="AL267" s="1">
        <f>D41</f>
        <v>0</v>
      </c>
      <c r="AM267" s="1">
        <f t="shared" si="24"/>
        <v>0</v>
      </c>
      <c r="AN267" s="1">
        <f t="shared" si="25"/>
        <v>0</v>
      </c>
      <c r="AO267" s="1">
        <f t="shared" si="26"/>
        <v>0</v>
      </c>
      <c r="AP267" t="b" cm="1">
        <f t="array" ref="AP267">INDEX($AU$8:$BB$25,6*(R267-1)+MATCH(AB267,$AS$8:$AS$13,0),MATCH(O267,$AU$7:$BB$7,0))</f>
        <v>1</v>
      </c>
    </row>
    <row r="268" spans="15:42" ht="14.25" x14ac:dyDescent="0.45">
      <c r="O268" s="43" t="s">
        <v>31</v>
      </c>
      <c r="P268" s="43">
        <v>1</v>
      </c>
      <c r="Q268" s="43">
        <v>1</v>
      </c>
      <c r="R268" s="43">
        <v>3</v>
      </c>
      <c r="S268" s="45"/>
      <c r="T268" t="b">
        <f>(S266+S267+S268)=P2</f>
        <v>0</v>
      </c>
      <c r="X268" s="1">
        <v>0</v>
      </c>
      <c r="Y268" s="48">
        <v>0</v>
      </c>
      <c r="AA268" s="1">
        <v>4</v>
      </c>
      <c r="AB268" s="1" t="s">
        <v>14</v>
      </c>
      <c r="AC268" s="1" t="s">
        <v>20</v>
      </c>
      <c r="AD268" s="1">
        <v>14</v>
      </c>
      <c r="AE268" s="1">
        <v>12</v>
      </c>
      <c r="AF268" s="1">
        <v>0.8</v>
      </c>
      <c r="AG268" s="1">
        <v>0.88</v>
      </c>
      <c r="AH268" s="1">
        <v>0</v>
      </c>
      <c r="AI268" s="1">
        <v>0</v>
      </c>
      <c r="AJ268" s="1">
        <f t="shared" si="23"/>
        <v>0</v>
      </c>
      <c r="AK268" s="1">
        <f>E35</f>
        <v>0</v>
      </c>
      <c r="AL268" s="1">
        <f>E41</f>
        <v>0</v>
      </c>
      <c r="AM268" s="1">
        <f t="shared" si="24"/>
        <v>0</v>
      </c>
      <c r="AN268" s="1">
        <f t="shared" si="25"/>
        <v>0</v>
      </c>
      <c r="AO268" s="1">
        <f t="shared" si="26"/>
        <v>0</v>
      </c>
      <c r="AP268" t="b" cm="1">
        <f t="array" ref="AP268">INDEX($AU$8:$BB$25,6*(R268-1)+MATCH(AB268,$AS$8:$AS$13,0),MATCH(O268,$AU$7:$BB$7,0))</f>
        <v>1</v>
      </c>
    </row>
    <row r="269" spans="15:42" ht="14.25" x14ac:dyDescent="0.45">
      <c r="O269" s="43" t="s">
        <v>31</v>
      </c>
      <c r="P269" s="43">
        <v>1</v>
      </c>
      <c r="Q269" s="43">
        <v>2</v>
      </c>
      <c r="R269" s="43">
        <v>1</v>
      </c>
      <c r="S269" s="45"/>
      <c r="T269" t="b">
        <f>(S269+S270+S271)=P2</f>
        <v>0</v>
      </c>
      <c r="X269" s="1">
        <f>MAX(S266-S269,0)</f>
        <v>0</v>
      </c>
      <c r="Y269" s="48">
        <v>0</v>
      </c>
      <c r="AA269" s="1">
        <v>10</v>
      </c>
      <c r="AB269" s="1" t="s">
        <v>16</v>
      </c>
      <c r="AC269" s="1" t="s">
        <v>22</v>
      </c>
      <c r="AD269" s="1">
        <v>25</v>
      </c>
      <c r="AE269" s="1">
        <v>21</v>
      </c>
      <c r="AF269" s="1">
        <v>0.8</v>
      </c>
      <c r="AG269" s="1">
        <v>0.9</v>
      </c>
      <c r="AH269" s="1">
        <v>0</v>
      </c>
      <c r="AI269" s="1">
        <v>0</v>
      </c>
      <c r="AJ269" s="1">
        <f t="shared" si="23"/>
        <v>0</v>
      </c>
      <c r="AK269" s="1">
        <f>C37</f>
        <v>0</v>
      </c>
      <c r="AL269" s="1">
        <f>C43</f>
        <v>0</v>
      </c>
      <c r="AM269" s="1">
        <f t="shared" si="24"/>
        <v>0</v>
      </c>
      <c r="AN269" s="1">
        <f t="shared" si="25"/>
        <v>0</v>
      </c>
      <c r="AO269" s="1">
        <f t="shared" si="26"/>
        <v>0</v>
      </c>
      <c r="AP269" t="b" cm="1">
        <f t="array" ref="AP269">INDEX($AU$8:$BB$25,6*(R269-1)+MATCH(AB269,$AS$8:$AS$13,0),MATCH(O269,$AU$7:$BB$7,0))</f>
        <v>1</v>
      </c>
    </row>
    <row r="270" spans="15:42" ht="14.25" x14ac:dyDescent="0.45">
      <c r="O270" s="43" t="s">
        <v>31</v>
      </c>
      <c r="P270" s="43">
        <v>1</v>
      </c>
      <c r="Q270" s="43">
        <v>2</v>
      </c>
      <c r="R270" s="43">
        <v>2</v>
      </c>
      <c r="S270" s="45"/>
      <c r="T270" t="b">
        <f>(S269+S270+S271)=P2</f>
        <v>0</v>
      </c>
      <c r="X270" s="1">
        <f t="shared" ref="X270:X298" si="27">MAX(S267-S270,0)</f>
        <v>0</v>
      </c>
      <c r="Y270" s="48">
        <v>0</v>
      </c>
      <c r="AA270" s="1">
        <v>10</v>
      </c>
      <c r="AB270" s="1" t="s">
        <v>16</v>
      </c>
      <c r="AC270" s="1" t="s">
        <v>22</v>
      </c>
      <c r="AD270" s="1">
        <v>25</v>
      </c>
      <c r="AE270" s="1">
        <v>21</v>
      </c>
      <c r="AF270" s="1">
        <v>0.8</v>
      </c>
      <c r="AG270" s="1">
        <v>0.9</v>
      </c>
      <c r="AH270" s="1">
        <v>0</v>
      </c>
      <c r="AI270" s="1">
        <v>0</v>
      </c>
      <c r="AJ270" s="1">
        <f t="shared" si="23"/>
        <v>0</v>
      </c>
      <c r="AK270" s="1">
        <f>D37</f>
        <v>0</v>
      </c>
      <c r="AL270" s="1">
        <f>D43</f>
        <v>0</v>
      </c>
      <c r="AM270" s="1">
        <f t="shared" si="24"/>
        <v>0</v>
      </c>
      <c r="AN270" s="1">
        <f t="shared" si="25"/>
        <v>0</v>
      </c>
      <c r="AO270" s="1">
        <f t="shared" si="26"/>
        <v>0</v>
      </c>
      <c r="AP270" t="b" cm="1">
        <f t="array" ref="AP270">INDEX($AU$8:$BB$25,6*(R270-1)+MATCH(AB270,$AS$8:$AS$13,0),MATCH(O270,$AU$7:$BB$7,0))</f>
        <v>1</v>
      </c>
    </row>
    <row r="271" spans="15:42" ht="14.25" x14ac:dyDescent="0.45">
      <c r="O271" s="43" t="s">
        <v>31</v>
      </c>
      <c r="P271" s="43">
        <v>1</v>
      </c>
      <c r="Q271" s="43">
        <v>2</v>
      </c>
      <c r="R271" s="43">
        <v>3</v>
      </c>
      <c r="S271" s="45"/>
      <c r="T271" t="b">
        <f>(S269+S270+S271)=P2</f>
        <v>0</v>
      </c>
      <c r="X271" s="1">
        <f t="shared" si="27"/>
        <v>0</v>
      </c>
      <c r="Y271" s="48">
        <v>0</v>
      </c>
      <c r="AA271" s="1">
        <v>10</v>
      </c>
      <c r="AB271" s="1" t="s">
        <v>16</v>
      </c>
      <c r="AC271" s="1" t="s">
        <v>22</v>
      </c>
      <c r="AD271" s="1">
        <v>25</v>
      </c>
      <c r="AE271" s="1">
        <v>21</v>
      </c>
      <c r="AF271" s="1">
        <v>0.8</v>
      </c>
      <c r="AG271" s="1">
        <v>0.9</v>
      </c>
      <c r="AH271" s="1">
        <v>0</v>
      </c>
      <c r="AI271" s="1">
        <v>0</v>
      </c>
      <c r="AJ271" s="1">
        <f t="shared" si="23"/>
        <v>0</v>
      </c>
      <c r="AK271" s="1">
        <f>E37</f>
        <v>0</v>
      </c>
      <c r="AL271" s="1">
        <f>E43</f>
        <v>0</v>
      </c>
      <c r="AM271" s="1">
        <f t="shared" si="24"/>
        <v>0</v>
      </c>
      <c r="AN271" s="1">
        <f t="shared" si="25"/>
        <v>0</v>
      </c>
      <c r="AO271" s="1">
        <f t="shared" si="26"/>
        <v>0</v>
      </c>
      <c r="AP271" t="b" cm="1">
        <f t="array" ref="AP271">INDEX($AU$8:$BB$25,6*(R271-1)+MATCH(AB271,$AS$8:$AS$13,0),MATCH(O271,$AU$7:$BB$7,0))</f>
        <v>1</v>
      </c>
    </row>
    <row r="272" spans="15:42" ht="14.25" x14ac:dyDescent="0.45">
      <c r="O272" s="43" t="s">
        <v>31</v>
      </c>
      <c r="P272" s="43">
        <v>1</v>
      </c>
      <c r="Q272" s="43">
        <v>3</v>
      </c>
      <c r="R272" s="43">
        <v>1</v>
      </c>
      <c r="S272" s="45"/>
      <c r="T272" t="b">
        <f>(S272+S273+S274)=P2</f>
        <v>0</v>
      </c>
      <c r="X272" s="1">
        <f t="shared" si="27"/>
        <v>0</v>
      </c>
      <c r="Y272" s="48">
        <v>0</v>
      </c>
      <c r="AA272" s="1">
        <v>8</v>
      </c>
      <c r="AB272" s="1" t="s">
        <v>16</v>
      </c>
      <c r="AC272" s="1" t="s">
        <v>22</v>
      </c>
      <c r="AD272" s="1">
        <v>27</v>
      </c>
      <c r="AE272" s="1">
        <v>23</v>
      </c>
      <c r="AF272" s="1">
        <v>0.8</v>
      </c>
      <c r="AG272" s="1">
        <v>0.9</v>
      </c>
      <c r="AH272" s="1">
        <v>0</v>
      </c>
      <c r="AI272" s="1">
        <v>0</v>
      </c>
      <c r="AJ272" s="1">
        <f t="shared" si="23"/>
        <v>0</v>
      </c>
      <c r="AK272" s="1">
        <f>C37</f>
        <v>0</v>
      </c>
      <c r="AL272" s="1">
        <f>C43</f>
        <v>0</v>
      </c>
      <c r="AM272" s="1">
        <f t="shared" si="24"/>
        <v>0</v>
      </c>
      <c r="AN272" s="1">
        <f t="shared" si="25"/>
        <v>0</v>
      </c>
      <c r="AO272" s="1">
        <f t="shared" si="26"/>
        <v>0</v>
      </c>
      <c r="AP272" t="b" cm="1">
        <f t="array" ref="AP272">INDEX($AU$8:$BB$25,6*(R272-1)+MATCH(AB272,$AS$8:$AS$13,0),MATCH(O272,$AU$7:$BB$7,0))</f>
        <v>1</v>
      </c>
    </row>
    <row r="273" spans="15:42" ht="14.25" x14ac:dyDescent="0.45">
      <c r="O273" s="43" t="s">
        <v>31</v>
      </c>
      <c r="P273" s="43">
        <v>1</v>
      </c>
      <c r="Q273" s="43">
        <v>3</v>
      </c>
      <c r="R273" s="43">
        <v>2</v>
      </c>
      <c r="S273" s="45"/>
      <c r="T273" t="b">
        <f>(S272+S273+S274)=P2</f>
        <v>0</v>
      </c>
      <c r="X273" s="1">
        <f t="shared" si="27"/>
        <v>0</v>
      </c>
      <c r="Y273" s="48">
        <v>0</v>
      </c>
      <c r="AA273" s="1">
        <v>8</v>
      </c>
      <c r="AB273" s="1" t="s">
        <v>16</v>
      </c>
      <c r="AC273" s="1" t="s">
        <v>22</v>
      </c>
      <c r="AD273" s="1">
        <v>27</v>
      </c>
      <c r="AE273" s="1">
        <v>23</v>
      </c>
      <c r="AF273" s="1">
        <v>0.8</v>
      </c>
      <c r="AG273" s="1">
        <v>0.9</v>
      </c>
      <c r="AH273" s="1">
        <v>0</v>
      </c>
      <c r="AI273" s="1">
        <v>0</v>
      </c>
      <c r="AJ273" s="1">
        <f t="shared" si="23"/>
        <v>0</v>
      </c>
      <c r="AK273" s="1">
        <f>D37</f>
        <v>0</v>
      </c>
      <c r="AL273" s="1">
        <f>D43</f>
        <v>0</v>
      </c>
      <c r="AM273" s="1">
        <f t="shared" si="24"/>
        <v>0</v>
      </c>
      <c r="AN273" s="1">
        <f t="shared" si="25"/>
        <v>0</v>
      </c>
      <c r="AO273" s="1">
        <f t="shared" si="26"/>
        <v>0</v>
      </c>
      <c r="AP273" t="b" cm="1">
        <f t="array" ref="AP273">INDEX($AU$8:$BB$25,6*(R273-1)+MATCH(AB273,$AS$8:$AS$13,0),MATCH(O273,$AU$7:$BB$7,0))</f>
        <v>1</v>
      </c>
    </row>
    <row r="274" spans="15:42" ht="14.25" x14ac:dyDescent="0.45">
      <c r="O274" s="43" t="s">
        <v>31</v>
      </c>
      <c r="P274" s="43">
        <v>1</v>
      </c>
      <c r="Q274" s="43">
        <v>3</v>
      </c>
      <c r="R274" s="43">
        <v>3</v>
      </c>
      <c r="S274" s="45"/>
      <c r="T274" t="b">
        <f>(S272+S273+S274)=P2</f>
        <v>0</v>
      </c>
      <c r="X274" s="1">
        <f t="shared" si="27"/>
        <v>0</v>
      </c>
      <c r="Y274" s="48">
        <v>0</v>
      </c>
      <c r="AA274" s="1">
        <v>8</v>
      </c>
      <c r="AB274" s="1" t="s">
        <v>16</v>
      </c>
      <c r="AC274" s="1" t="s">
        <v>22</v>
      </c>
      <c r="AD274" s="1">
        <v>27</v>
      </c>
      <c r="AE274" s="1">
        <v>23</v>
      </c>
      <c r="AF274" s="1">
        <v>0.8</v>
      </c>
      <c r="AG274" s="1">
        <v>0.9</v>
      </c>
      <c r="AH274" s="1">
        <v>0</v>
      </c>
      <c r="AI274" s="1">
        <v>0</v>
      </c>
      <c r="AJ274" s="1">
        <f t="shared" si="23"/>
        <v>0</v>
      </c>
      <c r="AK274" s="1">
        <f>E37</f>
        <v>0</v>
      </c>
      <c r="AL274" s="1">
        <f>E43</f>
        <v>0</v>
      </c>
      <c r="AM274" s="1">
        <f t="shared" si="24"/>
        <v>0</v>
      </c>
      <c r="AN274" s="1">
        <f t="shared" si="25"/>
        <v>0</v>
      </c>
      <c r="AO274" s="1">
        <f t="shared" si="26"/>
        <v>0</v>
      </c>
      <c r="AP274" t="b" cm="1">
        <f t="array" ref="AP274">INDEX($AU$8:$BB$25,6*(R274-1)+MATCH(AB274,$AS$8:$AS$13,0),MATCH(O274,$AU$7:$BB$7,0))</f>
        <v>1</v>
      </c>
    </row>
    <row r="275" spans="15:42" ht="14.25" x14ac:dyDescent="0.45">
      <c r="O275" s="43" t="s">
        <v>31</v>
      </c>
      <c r="P275" s="43">
        <v>1</v>
      </c>
      <c r="Q275" s="43">
        <v>4</v>
      </c>
      <c r="R275" s="43">
        <v>1</v>
      </c>
      <c r="S275" s="45"/>
      <c r="T275" t="b">
        <f>(S275+S276+S277)=P2</f>
        <v>0</v>
      </c>
      <c r="X275" s="1">
        <f t="shared" si="27"/>
        <v>0</v>
      </c>
      <c r="Y275" s="48">
        <v>0</v>
      </c>
      <c r="AA275" s="1">
        <v>3</v>
      </c>
      <c r="AB275" s="1" t="s">
        <v>10</v>
      </c>
      <c r="AC275" s="1" t="s">
        <v>17</v>
      </c>
      <c r="AD275" s="1">
        <v>20</v>
      </c>
      <c r="AE275" s="1">
        <v>16</v>
      </c>
      <c r="AF275" s="1">
        <v>0.78</v>
      </c>
      <c r="AG275" s="1">
        <v>0.84</v>
      </c>
      <c r="AH275" s="1">
        <v>0</v>
      </c>
      <c r="AI275" s="1">
        <v>0</v>
      </c>
      <c r="AJ275" s="1">
        <f t="shared" si="23"/>
        <v>0</v>
      </c>
      <c r="AK275" s="1">
        <f>C32</f>
        <v>0</v>
      </c>
      <c r="AL275" s="1">
        <f>C38</f>
        <v>0</v>
      </c>
      <c r="AM275" s="1">
        <f t="shared" si="24"/>
        <v>0</v>
      </c>
      <c r="AN275" s="1">
        <f t="shared" si="25"/>
        <v>0</v>
      </c>
      <c r="AO275" s="1">
        <f t="shared" si="26"/>
        <v>0</v>
      </c>
      <c r="AP275" t="b" cm="1">
        <f t="array" ref="AP275">INDEX($AU$8:$BB$25,6*(R275-1)+MATCH(AB275,$AS$8:$AS$13,0),MATCH(O275,$AU$7:$BB$7,0))</f>
        <v>1</v>
      </c>
    </row>
    <row r="276" spans="15:42" ht="14.25" x14ac:dyDescent="0.45">
      <c r="O276" s="43" t="s">
        <v>31</v>
      </c>
      <c r="P276" s="43">
        <v>1</v>
      </c>
      <c r="Q276" s="43">
        <v>4</v>
      </c>
      <c r="R276" s="43">
        <v>2</v>
      </c>
      <c r="S276" s="45"/>
      <c r="T276" t="b">
        <f>(S275+S276+S277)=P2</f>
        <v>0</v>
      </c>
      <c r="X276" s="1">
        <f t="shared" si="27"/>
        <v>0</v>
      </c>
      <c r="Y276" s="48">
        <v>0</v>
      </c>
      <c r="AA276" s="1">
        <v>3</v>
      </c>
      <c r="AB276" s="1" t="s">
        <v>10</v>
      </c>
      <c r="AC276" s="1" t="s">
        <v>17</v>
      </c>
      <c r="AD276" s="1">
        <v>20</v>
      </c>
      <c r="AE276" s="1">
        <v>16</v>
      </c>
      <c r="AF276" s="1">
        <v>0.78</v>
      </c>
      <c r="AG276" s="1">
        <v>0.84</v>
      </c>
      <c r="AH276" s="1">
        <v>0</v>
      </c>
      <c r="AI276" s="1">
        <v>0</v>
      </c>
      <c r="AJ276" s="1">
        <f t="shared" si="23"/>
        <v>0</v>
      </c>
      <c r="AK276" s="1">
        <f>D32</f>
        <v>0</v>
      </c>
      <c r="AL276" s="1">
        <f>D38</f>
        <v>0</v>
      </c>
      <c r="AM276" s="1">
        <f t="shared" si="24"/>
        <v>0</v>
      </c>
      <c r="AN276" s="1">
        <f t="shared" si="25"/>
        <v>0</v>
      </c>
      <c r="AO276" s="1">
        <f t="shared" si="26"/>
        <v>0</v>
      </c>
      <c r="AP276" t="b" cm="1">
        <f t="array" ref="AP276">INDEX($AU$8:$BB$25,6*(R276-1)+MATCH(AB276,$AS$8:$AS$13,0),MATCH(O276,$AU$7:$BB$7,0))</f>
        <v>1</v>
      </c>
    </row>
    <row r="277" spans="15:42" ht="14.25" x14ac:dyDescent="0.45">
      <c r="O277" s="43" t="s">
        <v>31</v>
      </c>
      <c r="P277" s="43">
        <v>1</v>
      </c>
      <c r="Q277" s="43">
        <v>4</v>
      </c>
      <c r="R277" s="43">
        <v>3</v>
      </c>
      <c r="S277" s="45"/>
      <c r="T277" t="b">
        <f>(S275+S276+S277)=P2</f>
        <v>0</v>
      </c>
      <c r="X277" s="1">
        <f t="shared" si="27"/>
        <v>0</v>
      </c>
      <c r="Y277" s="48">
        <v>0</v>
      </c>
      <c r="AA277" s="1">
        <v>3</v>
      </c>
      <c r="AB277" s="1" t="s">
        <v>10</v>
      </c>
      <c r="AC277" s="1" t="s">
        <v>17</v>
      </c>
      <c r="AD277" s="1">
        <v>20</v>
      </c>
      <c r="AE277" s="1">
        <v>16</v>
      </c>
      <c r="AF277" s="1">
        <v>0.78</v>
      </c>
      <c r="AG277" s="1">
        <v>0.84</v>
      </c>
      <c r="AH277" s="1">
        <v>0</v>
      </c>
      <c r="AI277" s="1">
        <v>0</v>
      </c>
      <c r="AJ277" s="1">
        <f t="shared" si="23"/>
        <v>0</v>
      </c>
      <c r="AK277" s="1">
        <f>E32</f>
        <v>0</v>
      </c>
      <c r="AL277" s="1">
        <f>E38</f>
        <v>0</v>
      </c>
      <c r="AM277" s="1">
        <f t="shared" si="24"/>
        <v>0</v>
      </c>
      <c r="AN277" s="1">
        <f t="shared" si="25"/>
        <v>0</v>
      </c>
      <c r="AO277" s="1">
        <f t="shared" si="26"/>
        <v>0</v>
      </c>
      <c r="AP277" t="b" cm="1">
        <f t="array" ref="AP277">INDEX($AU$8:$BB$25,6*(R277-1)+MATCH(AB277,$AS$8:$AS$13,0),MATCH(O277,$AU$7:$BB$7,0))</f>
        <v>1</v>
      </c>
    </row>
    <row r="278" spans="15:42" ht="14.25" x14ac:dyDescent="0.45">
      <c r="O278" s="43" t="s">
        <v>31</v>
      </c>
      <c r="P278" s="43">
        <v>1</v>
      </c>
      <c r="Q278" s="43">
        <v>5</v>
      </c>
      <c r="R278" s="43">
        <v>1</v>
      </c>
      <c r="S278" s="45"/>
      <c r="T278" t="b">
        <f>(S278+S279+S280)=P2</f>
        <v>0</v>
      </c>
      <c r="X278" s="1">
        <f t="shared" si="27"/>
        <v>0</v>
      </c>
      <c r="Y278" s="48">
        <v>0</v>
      </c>
      <c r="AA278" s="1">
        <v>11</v>
      </c>
      <c r="AB278" s="1" t="s">
        <v>16</v>
      </c>
      <c r="AC278" s="1" t="s">
        <v>22</v>
      </c>
      <c r="AD278" s="1">
        <v>12</v>
      </c>
      <c r="AE278" s="1">
        <v>9</v>
      </c>
      <c r="AF278" s="1">
        <v>0.8</v>
      </c>
      <c r="AG278" s="1">
        <v>0.9</v>
      </c>
      <c r="AH278" s="1">
        <v>0</v>
      </c>
      <c r="AI278" s="1">
        <v>0</v>
      </c>
      <c r="AJ278" s="1">
        <f t="shared" si="23"/>
        <v>0</v>
      </c>
      <c r="AK278" s="1">
        <f>C37</f>
        <v>0</v>
      </c>
      <c r="AL278" s="1">
        <f>C43</f>
        <v>0</v>
      </c>
      <c r="AM278" s="1">
        <f t="shared" si="24"/>
        <v>0</v>
      </c>
      <c r="AN278" s="1">
        <f t="shared" si="25"/>
        <v>0</v>
      </c>
      <c r="AO278" s="1">
        <f t="shared" si="26"/>
        <v>0</v>
      </c>
      <c r="AP278" t="b" cm="1">
        <f t="array" ref="AP278">INDEX($AU$8:$BB$25,6*(R278-1)+MATCH(AB278,$AS$8:$AS$13,0),MATCH(O278,$AU$7:$BB$7,0))</f>
        <v>1</v>
      </c>
    </row>
    <row r="279" spans="15:42" ht="14.25" x14ac:dyDescent="0.45">
      <c r="O279" s="43" t="s">
        <v>31</v>
      </c>
      <c r="P279" s="43">
        <v>1</v>
      </c>
      <c r="Q279" s="43">
        <v>5</v>
      </c>
      <c r="R279" s="43">
        <v>2</v>
      </c>
      <c r="S279" s="45"/>
      <c r="T279" t="b">
        <f>(S278+S279+S280)=P2</f>
        <v>0</v>
      </c>
      <c r="X279" s="1">
        <f t="shared" si="27"/>
        <v>0</v>
      </c>
      <c r="Y279" s="48">
        <v>0</v>
      </c>
      <c r="AA279" s="1">
        <v>11</v>
      </c>
      <c r="AB279" s="1" t="s">
        <v>16</v>
      </c>
      <c r="AC279" s="1" t="s">
        <v>22</v>
      </c>
      <c r="AD279" s="1">
        <v>12</v>
      </c>
      <c r="AE279" s="1">
        <v>9</v>
      </c>
      <c r="AF279" s="1">
        <v>0.8</v>
      </c>
      <c r="AG279" s="1">
        <v>0.9</v>
      </c>
      <c r="AH279" s="1">
        <v>0</v>
      </c>
      <c r="AI279" s="1">
        <v>0</v>
      </c>
      <c r="AJ279" s="1">
        <f t="shared" si="23"/>
        <v>0</v>
      </c>
      <c r="AK279" s="1">
        <f>D37</f>
        <v>0</v>
      </c>
      <c r="AL279" s="1">
        <f>D43</f>
        <v>0</v>
      </c>
      <c r="AM279" s="1">
        <f t="shared" si="24"/>
        <v>0</v>
      </c>
      <c r="AN279" s="1">
        <f t="shared" si="25"/>
        <v>0</v>
      </c>
      <c r="AO279" s="1">
        <f t="shared" si="26"/>
        <v>0</v>
      </c>
      <c r="AP279" t="b" cm="1">
        <f t="array" ref="AP279">INDEX($AU$8:$BB$25,6*(R279-1)+MATCH(AB279,$AS$8:$AS$13,0),MATCH(O279,$AU$7:$BB$7,0))</f>
        <v>1</v>
      </c>
    </row>
    <row r="280" spans="15:42" ht="14.25" x14ac:dyDescent="0.45">
      <c r="O280" s="43" t="s">
        <v>31</v>
      </c>
      <c r="P280" s="43">
        <v>1</v>
      </c>
      <c r="Q280" s="43">
        <v>5</v>
      </c>
      <c r="R280" s="43">
        <v>3</v>
      </c>
      <c r="S280" s="45"/>
      <c r="T280" t="b">
        <f>(S278+S279+S280)=P2</f>
        <v>0</v>
      </c>
      <c r="X280" s="1">
        <f t="shared" si="27"/>
        <v>0</v>
      </c>
      <c r="Y280" s="48">
        <v>0</v>
      </c>
      <c r="AA280" s="1">
        <v>11</v>
      </c>
      <c r="AB280" s="1" t="s">
        <v>16</v>
      </c>
      <c r="AC280" s="1" t="s">
        <v>22</v>
      </c>
      <c r="AD280" s="1">
        <v>12</v>
      </c>
      <c r="AE280" s="1">
        <v>9</v>
      </c>
      <c r="AF280" s="1">
        <v>0.8</v>
      </c>
      <c r="AG280" s="1">
        <v>0.9</v>
      </c>
      <c r="AH280" s="1">
        <v>0</v>
      </c>
      <c r="AI280" s="1">
        <v>0</v>
      </c>
      <c r="AJ280" s="1">
        <f t="shared" si="23"/>
        <v>0</v>
      </c>
      <c r="AK280" s="1">
        <f>E37</f>
        <v>0</v>
      </c>
      <c r="AL280" s="1">
        <f>E43</f>
        <v>0</v>
      </c>
      <c r="AM280" s="1">
        <f t="shared" si="24"/>
        <v>0</v>
      </c>
      <c r="AN280" s="1">
        <f t="shared" si="25"/>
        <v>0</v>
      </c>
      <c r="AO280" s="1">
        <f t="shared" si="26"/>
        <v>0</v>
      </c>
      <c r="AP280" t="b" cm="1">
        <f t="array" ref="AP280">INDEX($AU$8:$BB$25,6*(R280-1)+MATCH(AB280,$AS$8:$AS$13,0),MATCH(O280,$AU$7:$BB$7,0))</f>
        <v>1</v>
      </c>
    </row>
    <row r="281" spans="15:42" ht="14.25" x14ac:dyDescent="0.45">
      <c r="O281" s="43" t="s">
        <v>31</v>
      </c>
      <c r="P281" s="43">
        <v>1</v>
      </c>
      <c r="Q281" s="43">
        <v>6</v>
      </c>
      <c r="R281" s="43">
        <v>1</v>
      </c>
      <c r="S281" s="45"/>
      <c r="T281" t="b">
        <f>(S281+S282+S283)=P2</f>
        <v>0</v>
      </c>
      <c r="X281" s="1">
        <f t="shared" si="27"/>
        <v>0</v>
      </c>
      <c r="Y281" s="48">
        <v>0</v>
      </c>
      <c r="AA281" s="1">
        <v>7</v>
      </c>
      <c r="AB281" s="1" t="s">
        <v>14</v>
      </c>
      <c r="AC281" s="1" t="s">
        <v>20</v>
      </c>
      <c r="AD281" s="1">
        <v>27</v>
      </c>
      <c r="AE281" s="1">
        <v>21</v>
      </c>
      <c r="AF281" s="1">
        <v>0.8</v>
      </c>
      <c r="AG281" s="1">
        <v>0.88</v>
      </c>
      <c r="AH281" s="1">
        <v>0</v>
      </c>
      <c r="AI281" s="1">
        <v>0</v>
      </c>
      <c r="AJ281" s="1">
        <f t="shared" si="23"/>
        <v>0</v>
      </c>
      <c r="AK281" s="1">
        <f>C35</f>
        <v>0</v>
      </c>
      <c r="AL281" s="1">
        <f>C41</f>
        <v>0</v>
      </c>
      <c r="AM281" s="1">
        <f t="shared" si="24"/>
        <v>0</v>
      </c>
      <c r="AN281" s="1">
        <f t="shared" si="25"/>
        <v>0</v>
      </c>
      <c r="AO281" s="1">
        <f t="shared" si="26"/>
        <v>0</v>
      </c>
      <c r="AP281" t="b" cm="1">
        <f t="array" ref="AP281">INDEX($AU$8:$BB$25,6*(R281-1)+MATCH(AB281,$AS$8:$AS$13,0),MATCH(O281,$AU$7:$BB$7,0))</f>
        <v>1</v>
      </c>
    </row>
    <row r="282" spans="15:42" ht="14.25" x14ac:dyDescent="0.45">
      <c r="O282" s="43" t="s">
        <v>31</v>
      </c>
      <c r="P282" s="43">
        <v>1</v>
      </c>
      <c r="Q282" s="43">
        <v>6</v>
      </c>
      <c r="R282" s="43">
        <v>2</v>
      </c>
      <c r="S282" s="45"/>
      <c r="T282" t="b">
        <f>(S281+S282+S283)=P2</f>
        <v>0</v>
      </c>
      <c r="X282" s="1">
        <f t="shared" si="27"/>
        <v>0</v>
      </c>
      <c r="Y282" s="48">
        <v>0</v>
      </c>
      <c r="AA282" s="1">
        <v>7</v>
      </c>
      <c r="AB282" s="1" t="s">
        <v>14</v>
      </c>
      <c r="AC282" s="1" t="s">
        <v>20</v>
      </c>
      <c r="AD282" s="1">
        <v>27</v>
      </c>
      <c r="AE282" s="1">
        <v>21</v>
      </c>
      <c r="AF282" s="1">
        <v>0.8</v>
      </c>
      <c r="AG282" s="1">
        <v>0.88</v>
      </c>
      <c r="AH282" s="1">
        <v>0</v>
      </c>
      <c r="AI282" s="1">
        <v>0</v>
      </c>
      <c r="AJ282" s="1">
        <f t="shared" si="23"/>
        <v>0</v>
      </c>
      <c r="AK282" s="1">
        <f>D35</f>
        <v>0</v>
      </c>
      <c r="AL282" s="1">
        <f>D41</f>
        <v>0</v>
      </c>
      <c r="AM282" s="1">
        <f t="shared" si="24"/>
        <v>0</v>
      </c>
      <c r="AN282" s="1">
        <f t="shared" si="25"/>
        <v>0</v>
      </c>
      <c r="AO282" s="1">
        <f t="shared" si="26"/>
        <v>0</v>
      </c>
      <c r="AP282" t="b" cm="1">
        <f t="array" ref="AP282">INDEX($AU$8:$BB$25,6*(R282-1)+MATCH(AB282,$AS$8:$AS$13,0),MATCH(O282,$AU$7:$BB$7,0))</f>
        <v>1</v>
      </c>
    </row>
    <row r="283" spans="15:42" ht="14.25" x14ac:dyDescent="0.45">
      <c r="O283" s="43" t="s">
        <v>31</v>
      </c>
      <c r="P283" s="43">
        <v>1</v>
      </c>
      <c r="Q283" s="43">
        <v>6</v>
      </c>
      <c r="R283" s="43">
        <v>3</v>
      </c>
      <c r="S283" s="45"/>
      <c r="T283" t="b">
        <f>(S281+S282+S283)=P2</f>
        <v>0</v>
      </c>
      <c r="X283" s="1">
        <f t="shared" si="27"/>
        <v>0</v>
      </c>
      <c r="Y283" s="48">
        <v>0</v>
      </c>
      <c r="AA283" s="1">
        <v>7</v>
      </c>
      <c r="AB283" s="1" t="s">
        <v>14</v>
      </c>
      <c r="AC283" s="1" t="s">
        <v>20</v>
      </c>
      <c r="AD283" s="1">
        <v>27</v>
      </c>
      <c r="AE283" s="1">
        <v>21</v>
      </c>
      <c r="AF283" s="1">
        <v>0.8</v>
      </c>
      <c r="AG283" s="1">
        <v>0.88</v>
      </c>
      <c r="AH283" s="1">
        <v>0</v>
      </c>
      <c r="AI283" s="1">
        <v>0</v>
      </c>
      <c r="AJ283" s="1">
        <f t="shared" si="23"/>
        <v>0</v>
      </c>
      <c r="AK283" s="1">
        <f>E35</f>
        <v>0</v>
      </c>
      <c r="AL283" s="1">
        <f>E41</f>
        <v>0</v>
      </c>
      <c r="AM283" s="1">
        <f t="shared" si="24"/>
        <v>0</v>
      </c>
      <c r="AN283" s="1">
        <f t="shared" si="25"/>
        <v>0</v>
      </c>
      <c r="AO283" s="1">
        <f t="shared" si="26"/>
        <v>0</v>
      </c>
      <c r="AP283" t="b" cm="1">
        <f t="array" ref="AP283">INDEX($AU$8:$BB$25,6*(R283-1)+MATCH(AB283,$AS$8:$AS$13,0),MATCH(O283,$AU$7:$BB$7,0))</f>
        <v>1</v>
      </c>
    </row>
    <row r="284" spans="15:42" ht="14.25" x14ac:dyDescent="0.45">
      <c r="O284" s="43" t="s">
        <v>31</v>
      </c>
      <c r="P284" s="43">
        <v>1</v>
      </c>
      <c r="Q284" s="43">
        <v>7</v>
      </c>
      <c r="R284" s="43">
        <v>1</v>
      </c>
      <c r="S284" s="45"/>
      <c r="T284" t="b">
        <f>(S284+S285+S286)=P2</f>
        <v>0</v>
      </c>
      <c r="X284" s="1">
        <f t="shared" si="27"/>
        <v>0</v>
      </c>
      <c r="Y284" s="48">
        <v>0</v>
      </c>
      <c r="AA284" s="1">
        <v>9</v>
      </c>
      <c r="AB284" s="1" t="s">
        <v>14</v>
      </c>
      <c r="AC284" s="1" t="s">
        <v>20</v>
      </c>
      <c r="AD284" s="1">
        <v>17</v>
      </c>
      <c r="AE284" s="1">
        <v>13</v>
      </c>
      <c r="AF284" s="1">
        <v>0.8</v>
      </c>
      <c r="AG284" s="1">
        <v>0.88</v>
      </c>
      <c r="AH284" s="1">
        <v>0</v>
      </c>
      <c r="AI284" s="1">
        <v>0</v>
      </c>
      <c r="AJ284" s="1">
        <f t="shared" si="23"/>
        <v>0</v>
      </c>
      <c r="AK284" s="1">
        <f>C35</f>
        <v>0</v>
      </c>
      <c r="AL284" s="1">
        <f>C41</f>
        <v>0</v>
      </c>
      <c r="AM284" s="1">
        <f t="shared" si="24"/>
        <v>0</v>
      </c>
      <c r="AN284" s="1">
        <f t="shared" si="25"/>
        <v>0</v>
      </c>
      <c r="AO284" s="1">
        <f t="shared" si="26"/>
        <v>0</v>
      </c>
      <c r="AP284" t="b" cm="1">
        <f t="array" ref="AP284">INDEX($AU$8:$BB$25,6*(R284-1)+MATCH(AB284,$AS$8:$AS$13,0),MATCH(O284,$AU$7:$BB$7,0))</f>
        <v>1</v>
      </c>
    </row>
    <row r="285" spans="15:42" ht="14.25" x14ac:dyDescent="0.45">
      <c r="O285" s="43" t="s">
        <v>31</v>
      </c>
      <c r="P285" s="43">
        <v>1</v>
      </c>
      <c r="Q285" s="43">
        <v>7</v>
      </c>
      <c r="R285" s="43">
        <v>2</v>
      </c>
      <c r="S285" s="45"/>
      <c r="T285" t="b">
        <f>(S284+S285+S286)=P2</f>
        <v>0</v>
      </c>
      <c r="X285" s="1">
        <f t="shared" si="27"/>
        <v>0</v>
      </c>
      <c r="Y285" s="48">
        <v>0</v>
      </c>
      <c r="AA285" s="1">
        <v>9</v>
      </c>
      <c r="AB285" s="1" t="s">
        <v>14</v>
      </c>
      <c r="AC285" s="1" t="s">
        <v>20</v>
      </c>
      <c r="AD285" s="1">
        <v>17</v>
      </c>
      <c r="AE285" s="1">
        <v>13</v>
      </c>
      <c r="AF285" s="1">
        <v>0.8</v>
      </c>
      <c r="AG285" s="1">
        <v>0.88</v>
      </c>
      <c r="AH285" s="1">
        <v>0</v>
      </c>
      <c r="AI285" s="1">
        <v>0</v>
      </c>
      <c r="AJ285" s="1">
        <f t="shared" si="23"/>
        <v>0</v>
      </c>
      <c r="AK285" s="1">
        <f>D35</f>
        <v>0</v>
      </c>
      <c r="AL285" s="1">
        <f>D41</f>
        <v>0</v>
      </c>
      <c r="AM285" s="1">
        <f t="shared" si="24"/>
        <v>0</v>
      </c>
      <c r="AN285" s="1">
        <f t="shared" si="25"/>
        <v>0</v>
      </c>
      <c r="AO285" s="1">
        <f t="shared" si="26"/>
        <v>0</v>
      </c>
      <c r="AP285" t="b" cm="1">
        <f t="array" ref="AP285">INDEX($AU$8:$BB$25,6*(R285-1)+MATCH(AB285,$AS$8:$AS$13,0),MATCH(O285,$AU$7:$BB$7,0))</f>
        <v>1</v>
      </c>
    </row>
    <row r="286" spans="15:42" ht="14.25" x14ac:dyDescent="0.45">
      <c r="O286" s="43" t="s">
        <v>31</v>
      </c>
      <c r="P286" s="43">
        <v>1</v>
      </c>
      <c r="Q286" s="43">
        <v>7</v>
      </c>
      <c r="R286" s="43">
        <v>3</v>
      </c>
      <c r="S286" s="45"/>
      <c r="T286" t="b">
        <f>(S284+S285+S286)=P2</f>
        <v>0</v>
      </c>
      <c r="X286" s="1">
        <f t="shared" si="27"/>
        <v>0</v>
      </c>
      <c r="Y286" s="48">
        <v>0</v>
      </c>
      <c r="AA286" s="1">
        <v>9</v>
      </c>
      <c r="AB286" s="1" t="s">
        <v>14</v>
      </c>
      <c r="AC286" s="1" t="s">
        <v>20</v>
      </c>
      <c r="AD286" s="1">
        <v>17</v>
      </c>
      <c r="AE286" s="1">
        <v>13</v>
      </c>
      <c r="AF286" s="1">
        <v>0.8</v>
      </c>
      <c r="AG286" s="1">
        <v>0.88</v>
      </c>
      <c r="AH286" s="1">
        <v>0</v>
      </c>
      <c r="AI286" s="1">
        <v>0</v>
      </c>
      <c r="AJ286" s="1">
        <f t="shared" si="23"/>
        <v>0</v>
      </c>
      <c r="AK286" s="1">
        <f>E35</f>
        <v>0</v>
      </c>
      <c r="AL286" s="1">
        <f>E41</f>
        <v>0</v>
      </c>
      <c r="AM286" s="1">
        <f t="shared" si="24"/>
        <v>0</v>
      </c>
      <c r="AN286" s="1">
        <f t="shared" si="25"/>
        <v>0</v>
      </c>
      <c r="AO286" s="1">
        <f t="shared" si="26"/>
        <v>0</v>
      </c>
      <c r="AP286" t="b" cm="1">
        <f t="array" ref="AP286">INDEX($AU$8:$BB$25,6*(R286-1)+MATCH(AB286,$AS$8:$AS$13,0),MATCH(O286,$AU$7:$BB$7,0))</f>
        <v>1</v>
      </c>
    </row>
    <row r="287" spans="15:42" ht="14.25" x14ac:dyDescent="0.45">
      <c r="O287" s="43" t="s">
        <v>31</v>
      </c>
      <c r="P287" s="43">
        <v>1</v>
      </c>
      <c r="Q287" s="43">
        <v>8</v>
      </c>
      <c r="R287" s="43">
        <v>1</v>
      </c>
      <c r="S287" s="45"/>
      <c r="T287" t="b">
        <f>(S287+S288+S289)=P2</f>
        <v>0</v>
      </c>
      <c r="X287" s="1">
        <f t="shared" si="27"/>
        <v>0</v>
      </c>
      <c r="Y287" s="48">
        <v>0</v>
      </c>
      <c r="AA287" s="1">
        <v>1</v>
      </c>
      <c r="AB287" s="1" t="s">
        <v>10</v>
      </c>
      <c r="AC287" s="1" t="s">
        <v>17</v>
      </c>
      <c r="AD287" s="1">
        <v>18</v>
      </c>
      <c r="AE287" s="1">
        <v>16</v>
      </c>
      <c r="AF287" s="1">
        <v>0.78</v>
      </c>
      <c r="AG287" s="1">
        <v>0.84</v>
      </c>
      <c r="AH287" s="1">
        <v>0</v>
      </c>
      <c r="AI287" s="1">
        <v>0</v>
      </c>
      <c r="AJ287" s="1">
        <f t="shared" si="23"/>
        <v>0</v>
      </c>
      <c r="AK287" s="1">
        <f>C32</f>
        <v>0</v>
      </c>
      <c r="AL287" s="1">
        <f>C38</f>
        <v>0</v>
      </c>
      <c r="AM287" s="1">
        <f t="shared" si="24"/>
        <v>0</v>
      </c>
      <c r="AN287" s="1">
        <f t="shared" si="25"/>
        <v>0</v>
      </c>
      <c r="AO287" s="1">
        <f t="shared" si="26"/>
        <v>0</v>
      </c>
      <c r="AP287" t="b" cm="1">
        <f t="array" ref="AP287">INDEX($AU$8:$BB$25,6*(R287-1)+MATCH(AB287,$AS$8:$AS$13,0),MATCH(O287,$AU$7:$BB$7,0))</f>
        <v>1</v>
      </c>
    </row>
    <row r="288" spans="15:42" ht="14.25" x14ac:dyDescent="0.45">
      <c r="O288" s="43" t="s">
        <v>31</v>
      </c>
      <c r="P288" s="43">
        <v>1</v>
      </c>
      <c r="Q288" s="43">
        <v>8</v>
      </c>
      <c r="R288" s="43">
        <v>2</v>
      </c>
      <c r="S288" s="45"/>
      <c r="T288" t="b">
        <f>(S287+S288+S289)=P2</f>
        <v>0</v>
      </c>
      <c r="X288" s="1">
        <f t="shared" si="27"/>
        <v>0</v>
      </c>
      <c r="Y288" s="48">
        <v>0</v>
      </c>
      <c r="AA288" s="1">
        <v>1</v>
      </c>
      <c r="AB288" s="1" t="s">
        <v>10</v>
      </c>
      <c r="AC288" s="1" t="s">
        <v>17</v>
      </c>
      <c r="AD288" s="1">
        <v>18</v>
      </c>
      <c r="AE288" s="1">
        <v>16</v>
      </c>
      <c r="AF288" s="1">
        <v>0.78</v>
      </c>
      <c r="AG288" s="1">
        <v>0.84</v>
      </c>
      <c r="AH288" s="1">
        <v>0</v>
      </c>
      <c r="AI288" s="1">
        <v>0</v>
      </c>
      <c r="AJ288" s="1">
        <f t="shared" si="23"/>
        <v>0</v>
      </c>
      <c r="AK288" s="1">
        <f>D32</f>
        <v>0</v>
      </c>
      <c r="AL288" s="1">
        <f>D38</f>
        <v>0</v>
      </c>
      <c r="AM288" s="1">
        <f t="shared" si="24"/>
        <v>0</v>
      </c>
      <c r="AN288" s="1">
        <f t="shared" si="25"/>
        <v>0</v>
      </c>
      <c r="AO288" s="1">
        <f t="shared" si="26"/>
        <v>0</v>
      </c>
      <c r="AP288" t="b" cm="1">
        <f t="array" ref="AP288">INDEX($AU$8:$BB$25,6*(R288-1)+MATCH(AB288,$AS$8:$AS$13,0),MATCH(O288,$AU$7:$BB$7,0))</f>
        <v>1</v>
      </c>
    </row>
    <row r="289" spans="15:42" ht="14.25" x14ac:dyDescent="0.45">
      <c r="O289" s="43" t="s">
        <v>31</v>
      </c>
      <c r="P289" s="43">
        <v>1</v>
      </c>
      <c r="Q289" s="43">
        <v>8</v>
      </c>
      <c r="R289" s="43">
        <v>3</v>
      </c>
      <c r="S289" s="45"/>
      <c r="T289" t="b">
        <f>(S287+S288+S289)=P2</f>
        <v>0</v>
      </c>
      <c r="X289" s="1">
        <f t="shared" si="27"/>
        <v>0</v>
      </c>
      <c r="Y289" s="48">
        <v>0</v>
      </c>
      <c r="AA289" s="1">
        <v>1</v>
      </c>
      <c r="AB289" s="1" t="s">
        <v>10</v>
      </c>
      <c r="AC289" s="1" t="s">
        <v>17</v>
      </c>
      <c r="AD289" s="1">
        <v>18</v>
      </c>
      <c r="AE289" s="1">
        <v>16</v>
      </c>
      <c r="AF289" s="1">
        <v>0.78</v>
      </c>
      <c r="AG289" s="1">
        <v>0.84</v>
      </c>
      <c r="AH289" s="1">
        <v>0</v>
      </c>
      <c r="AI289" s="1">
        <v>0</v>
      </c>
      <c r="AJ289" s="1">
        <f t="shared" si="23"/>
        <v>0</v>
      </c>
      <c r="AK289" s="1">
        <f>E32</f>
        <v>0</v>
      </c>
      <c r="AL289" s="1">
        <f>E38</f>
        <v>0</v>
      </c>
      <c r="AM289" s="1">
        <f t="shared" si="24"/>
        <v>0</v>
      </c>
      <c r="AN289" s="1">
        <f t="shared" si="25"/>
        <v>0</v>
      </c>
      <c r="AO289" s="1">
        <f t="shared" si="26"/>
        <v>0</v>
      </c>
      <c r="AP289" t="b" cm="1">
        <f t="array" ref="AP289">INDEX($AU$8:$BB$25,6*(R289-1)+MATCH(AB289,$AS$8:$AS$13,0),MATCH(O289,$AU$7:$BB$7,0))</f>
        <v>1</v>
      </c>
    </row>
    <row r="290" spans="15:42" ht="14.25" x14ac:dyDescent="0.45">
      <c r="O290" s="43" t="s">
        <v>31</v>
      </c>
      <c r="P290" s="43">
        <v>1</v>
      </c>
      <c r="Q290" s="43">
        <v>9</v>
      </c>
      <c r="R290" s="43">
        <v>1</v>
      </c>
      <c r="S290" s="45"/>
      <c r="T290" t="b">
        <f>(S290+S291+S292)=P2</f>
        <v>0</v>
      </c>
      <c r="X290" s="1">
        <f t="shared" si="27"/>
        <v>0</v>
      </c>
      <c r="Y290" s="48">
        <v>0</v>
      </c>
      <c r="AA290" s="1">
        <v>2</v>
      </c>
      <c r="AB290" s="1" t="s">
        <v>10</v>
      </c>
      <c r="AC290" s="1" t="s">
        <v>17</v>
      </c>
      <c r="AD290" s="1">
        <v>16</v>
      </c>
      <c r="AE290" s="1">
        <v>13</v>
      </c>
      <c r="AF290" s="1">
        <v>0.78</v>
      </c>
      <c r="AG290" s="1">
        <v>0.84</v>
      </c>
      <c r="AH290" s="1">
        <v>0</v>
      </c>
      <c r="AI290" s="1">
        <v>0</v>
      </c>
      <c r="AJ290" s="1">
        <f t="shared" si="23"/>
        <v>0</v>
      </c>
      <c r="AK290" s="1">
        <f>C32</f>
        <v>0</v>
      </c>
      <c r="AL290" s="1">
        <f>C38</f>
        <v>0</v>
      </c>
      <c r="AM290" s="1">
        <f t="shared" si="24"/>
        <v>0</v>
      </c>
      <c r="AN290" s="1">
        <f t="shared" si="25"/>
        <v>0</v>
      </c>
      <c r="AO290" s="1">
        <f t="shared" si="26"/>
        <v>0</v>
      </c>
      <c r="AP290" t="b" cm="1">
        <f t="array" ref="AP290">INDEX($AU$8:$BB$25,6*(R290-1)+MATCH(AB290,$AS$8:$AS$13,0),MATCH(O290,$AU$7:$BB$7,0))</f>
        <v>1</v>
      </c>
    </row>
    <row r="291" spans="15:42" ht="14.25" x14ac:dyDescent="0.45">
      <c r="O291" s="43" t="s">
        <v>31</v>
      </c>
      <c r="P291" s="43">
        <v>1</v>
      </c>
      <c r="Q291" s="43">
        <v>9</v>
      </c>
      <c r="R291" s="43">
        <v>2</v>
      </c>
      <c r="S291" s="45"/>
      <c r="T291" t="b">
        <f>(S290+S291+S292)=P2</f>
        <v>0</v>
      </c>
      <c r="X291" s="1">
        <f t="shared" si="27"/>
        <v>0</v>
      </c>
      <c r="Y291" s="48">
        <v>0</v>
      </c>
      <c r="AA291" s="1">
        <v>2</v>
      </c>
      <c r="AB291" s="1" t="s">
        <v>10</v>
      </c>
      <c r="AC291" s="1" t="s">
        <v>17</v>
      </c>
      <c r="AD291" s="1">
        <v>16</v>
      </c>
      <c r="AE291" s="1">
        <v>13</v>
      </c>
      <c r="AF291" s="1">
        <v>0.78</v>
      </c>
      <c r="AG291" s="1">
        <v>0.84</v>
      </c>
      <c r="AH291" s="1">
        <v>0</v>
      </c>
      <c r="AI291" s="1">
        <v>0</v>
      </c>
      <c r="AJ291" s="1">
        <f t="shared" si="23"/>
        <v>0</v>
      </c>
      <c r="AK291" s="1">
        <f>D32</f>
        <v>0</v>
      </c>
      <c r="AL291" s="1">
        <f>D38</f>
        <v>0</v>
      </c>
      <c r="AM291" s="1">
        <f t="shared" si="24"/>
        <v>0</v>
      </c>
      <c r="AN291" s="1">
        <f t="shared" si="25"/>
        <v>0</v>
      </c>
      <c r="AO291" s="1">
        <f t="shared" si="26"/>
        <v>0</v>
      </c>
      <c r="AP291" t="b" cm="1">
        <f t="array" ref="AP291">INDEX($AU$8:$BB$25,6*(R291-1)+MATCH(AB291,$AS$8:$AS$13,0),MATCH(O291,$AU$7:$BB$7,0))</f>
        <v>1</v>
      </c>
    </row>
    <row r="292" spans="15:42" ht="14.25" x14ac:dyDescent="0.45">
      <c r="O292" s="43" t="s">
        <v>31</v>
      </c>
      <c r="P292" s="43">
        <v>1</v>
      </c>
      <c r="Q292" s="43">
        <v>9</v>
      </c>
      <c r="R292" s="43">
        <v>3</v>
      </c>
      <c r="S292" s="45"/>
      <c r="T292" t="b">
        <f>(S290+S291+S292)=P2</f>
        <v>0</v>
      </c>
      <c r="X292" s="1">
        <f t="shared" si="27"/>
        <v>0</v>
      </c>
      <c r="Y292" s="48">
        <v>0</v>
      </c>
      <c r="AA292" s="1">
        <v>2</v>
      </c>
      <c r="AB292" s="1" t="s">
        <v>10</v>
      </c>
      <c r="AC292" s="1" t="s">
        <v>17</v>
      </c>
      <c r="AD292" s="1">
        <v>16</v>
      </c>
      <c r="AE292" s="1">
        <v>13</v>
      </c>
      <c r="AF292" s="1">
        <v>0.78</v>
      </c>
      <c r="AG292" s="1">
        <v>0.84</v>
      </c>
      <c r="AH292" s="1">
        <v>0</v>
      </c>
      <c r="AI292" s="1">
        <v>0</v>
      </c>
      <c r="AJ292" s="1">
        <f t="shared" si="23"/>
        <v>0</v>
      </c>
      <c r="AK292" s="1">
        <f>E32</f>
        <v>0</v>
      </c>
      <c r="AL292" s="1">
        <f>E38</f>
        <v>0</v>
      </c>
      <c r="AM292" s="1">
        <f t="shared" si="24"/>
        <v>0</v>
      </c>
      <c r="AN292" s="1">
        <f t="shared" si="25"/>
        <v>0</v>
      </c>
      <c r="AO292" s="1">
        <f t="shared" si="26"/>
        <v>0</v>
      </c>
      <c r="AP292" t="b" cm="1">
        <f t="array" ref="AP292">INDEX($AU$8:$BB$25,6*(R292-1)+MATCH(AB292,$AS$8:$AS$13,0),MATCH(O292,$AU$7:$BB$7,0))</f>
        <v>1</v>
      </c>
    </row>
    <row r="293" spans="15:42" ht="14.25" x14ac:dyDescent="0.45">
      <c r="O293" s="43" t="s">
        <v>31</v>
      </c>
      <c r="P293" s="43">
        <v>1</v>
      </c>
      <c r="Q293" s="43">
        <v>10</v>
      </c>
      <c r="R293" s="43">
        <v>1</v>
      </c>
      <c r="S293" s="45"/>
      <c r="T293" t="b">
        <f>(S293+S294+S295)=P2</f>
        <v>0</v>
      </c>
      <c r="X293" s="1">
        <f t="shared" si="27"/>
        <v>0</v>
      </c>
      <c r="Y293" s="48">
        <v>0</v>
      </c>
      <c r="AA293" s="1">
        <v>6</v>
      </c>
      <c r="AB293" s="1" t="s">
        <v>14</v>
      </c>
      <c r="AC293" s="1" t="s">
        <v>20</v>
      </c>
      <c r="AD293" s="1">
        <v>14</v>
      </c>
      <c r="AE293" s="1">
        <v>11</v>
      </c>
      <c r="AF293" s="1">
        <v>0.8</v>
      </c>
      <c r="AG293" s="1">
        <v>0.88</v>
      </c>
      <c r="AH293" s="1">
        <v>0</v>
      </c>
      <c r="AI293" s="1">
        <v>0</v>
      </c>
      <c r="AJ293" s="1">
        <f t="shared" si="23"/>
        <v>0</v>
      </c>
      <c r="AK293" s="1">
        <f>C35</f>
        <v>0</v>
      </c>
      <c r="AL293" s="1">
        <f>C41</f>
        <v>0</v>
      </c>
      <c r="AM293" s="1">
        <f t="shared" si="24"/>
        <v>0</v>
      </c>
      <c r="AN293" s="1">
        <f t="shared" si="25"/>
        <v>0</v>
      </c>
      <c r="AO293" s="1">
        <f t="shared" si="26"/>
        <v>0</v>
      </c>
      <c r="AP293" t="b" cm="1">
        <f t="array" ref="AP293">INDEX($AU$8:$BB$25,6*(R293-1)+MATCH(AB293,$AS$8:$AS$13,0),MATCH(O293,$AU$7:$BB$7,0))</f>
        <v>1</v>
      </c>
    </row>
    <row r="294" spans="15:42" ht="14.25" x14ac:dyDescent="0.45">
      <c r="O294" s="43" t="s">
        <v>31</v>
      </c>
      <c r="P294" s="43">
        <v>1</v>
      </c>
      <c r="Q294" s="43">
        <v>10</v>
      </c>
      <c r="R294" s="43">
        <v>2</v>
      </c>
      <c r="S294" s="45"/>
      <c r="T294" t="b">
        <f>(S293+S294+S295)=P2</f>
        <v>0</v>
      </c>
      <c r="X294" s="1">
        <f t="shared" si="27"/>
        <v>0</v>
      </c>
      <c r="Y294" s="48">
        <v>0</v>
      </c>
      <c r="AA294" s="1">
        <v>6</v>
      </c>
      <c r="AB294" s="1" t="s">
        <v>14</v>
      </c>
      <c r="AC294" s="1" t="s">
        <v>20</v>
      </c>
      <c r="AD294" s="1">
        <v>14</v>
      </c>
      <c r="AE294" s="1">
        <v>11</v>
      </c>
      <c r="AF294" s="1">
        <v>0.8</v>
      </c>
      <c r="AG294" s="1">
        <v>0.88</v>
      </c>
      <c r="AH294" s="1">
        <v>0</v>
      </c>
      <c r="AI294" s="1">
        <v>0</v>
      </c>
      <c r="AJ294" s="1">
        <f t="shared" si="23"/>
        <v>0</v>
      </c>
      <c r="AK294" s="1">
        <f>D35</f>
        <v>0</v>
      </c>
      <c r="AL294" s="1">
        <f>D41</f>
        <v>0</v>
      </c>
      <c r="AM294" s="1">
        <f t="shared" si="24"/>
        <v>0</v>
      </c>
      <c r="AN294" s="1">
        <f t="shared" si="25"/>
        <v>0</v>
      </c>
      <c r="AO294" s="1">
        <f t="shared" si="26"/>
        <v>0</v>
      </c>
      <c r="AP294" t="b" cm="1">
        <f t="array" ref="AP294">INDEX($AU$8:$BB$25,6*(R294-1)+MATCH(AB294,$AS$8:$AS$13,0),MATCH(O294,$AU$7:$BB$7,0))</f>
        <v>1</v>
      </c>
    </row>
    <row r="295" spans="15:42" ht="14.25" x14ac:dyDescent="0.45">
      <c r="O295" s="43" t="s">
        <v>31</v>
      </c>
      <c r="P295" s="43">
        <v>1</v>
      </c>
      <c r="Q295" s="43">
        <v>10</v>
      </c>
      <c r="R295" s="43">
        <v>3</v>
      </c>
      <c r="S295" s="45"/>
      <c r="T295" t="b">
        <f>(S293+S294+S295)=P2</f>
        <v>0</v>
      </c>
      <c r="X295" s="1">
        <f t="shared" si="27"/>
        <v>0</v>
      </c>
      <c r="Y295" s="48">
        <v>0</v>
      </c>
      <c r="AA295" s="1">
        <v>6</v>
      </c>
      <c r="AB295" s="1" t="s">
        <v>14</v>
      </c>
      <c r="AC295" s="1" t="s">
        <v>20</v>
      </c>
      <c r="AD295" s="1">
        <v>14</v>
      </c>
      <c r="AE295" s="1">
        <v>11</v>
      </c>
      <c r="AF295" s="1">
        <v>0.8</v>
      </c>
      <c r="AG295" s="1">
        <v>0.88</v>
      </c>
      <c r="AH295" s="1">
        <v>0</v>
      </c>
      <c r="AI295" s="1">
        <v>0</v>
      </c>
      <c r="AJ295" s="1">
        <f t="shared" si="23"/>
        <v>0</v>
      </c>
      <c r="AK295" s="1">
        <f>E35</f>
        <v>0</v>
      </c>
      <c r="AL295" s="1">
        <f>E41</f>
        <v>0</v>
      </c>
      <c r="AM295" s="1">
        <f t="shared" si="24"/>
        <v>0</v>
      </c>
      <c r="AN295" s="1">
        <f t="shared" si="25"/>
        <v>0</v>
      </c>
      <c r="AO295" s="1">
        <f t="shared" si="26"/>
        <v>0</v>
      </c>
      <c r="AP295" t="b" cm="1">
        <f t="array" ref="AP295">INDEX($AU$8:$BB$25,6*(R295-1)+MATCH(AB295,$AS$8:$AS$13,0),MATCH(O295,$AU$7:$BB$7,0))</f>
        <v>1</v>
      </c>
    </row>
    <row r="296" spans="15:42" ht="14.25" x14ac:dyDescent="0.45">
      <c r="O296" s="43" t="s">
        <v>31</v>
      </c>
      <c r="P296" s="43">
        <v>1</v>
      </c>
      <c r="Q296" s="43">
        <v>11</v>
      </c>
      <c r="R296" s="43">
        <v>1</v>
      </c>
      <c r="S296" s="45"/>
      <c r="T296" t="b">
        <f>(S296+S297+S298)=P2</f>
        <v>0</v>
      </c>
      <c r="X296" s="1">
        <f t="shared" si="27"/>
        <v>0</v>
      </c>
      <c r="Y296" s="48">
        <v>0</v>
      </c>
      <c r="AA296" s="1">
        <v>3</v>
      </c>
      <c r="AB296" s="1" t="s">
        <v>16</v>
      </c>
      <c r="AC296" s="1" t="s">
        <v>22</v>
      </c>
      <c r="AD296" s="1">
        <v>18</v>
      </c>
      <c r="AE296" s="1">
        <v>16</v>
      </c>
      <c r="AF296" s="1">
        <v>0.8</v>
      </c>
      <c r="AG296" s="1">
        <v>0.9</v>
      </c>
      <c r="AH296" s="1">
        <v>0</v>
      </c>
      <c r="AI296" s="1">
        <v>0</v>
      </c>
      <c r="AJ296" s="1">
        <f t="shared" si="23"/>
        <v>0</v>
      </c>
      <c r="AK296" s="1">
        <f>C37</f>
        <v>0</v>
      </c>
      <c r="AL296" s="1">
        <f>C43</f>
        <v>0</v>
      </c>
      <c r="AM296" s="1">
        <f t="shared" si="24"/>
        <v>0</v>
      </c>
      <c r="AN296" s="1">
        <f t="shared" si="25"/>
        <v>0</v>
      </c>
      <c r="AO296" s="1">
        <f t="shared" si="26"/>
        <v>0</v>
      </c>
      <c r="AP296" t="b" cm="1">
        <f t="array" ref="AP296">INDEX($AU$8:$BB$25,6*(R296-1)+MATCH(AB296,$AS$8:$AS$13,0),MATCH(O296,$AU$7:$BB$7,0))</f>
        <v>1</v>
      </c>
    </row>
    <row r="297" spans="15:42" ht="14.25" x14ac:dyDescent="0.45">
      <c r="O297" s="43" t="s">
        <v>31</v>
      </c>
      <c r="P297" s="43">
        <v>1</v>
      </c>
      <c r="Q297" s="43">
        <v>11</v>
      </c>
      <c r="R297" s="43">
        <v>2</v>
      </c>
      <c r="S297" s="45"/>
      <c r="T297" t="b">
        <f>(S296+S297+S298)=P2</f>
        <v>0</v>
      </c>
      <c r="X297" s="1">
        <f t="shared" si="27"/>
        <v>0</v>
      </c>
      <c r="Y297" s="48">
        <v>0</v>
      </c>
      <c r="AA297" s="1">
        <v>3</v>
      </c>
      <c r="AB297" s="1" t="s">
        <v>16</v>
      </c>
      <c r="AC297" s="1" t="s">
        <v>22</v>
      </c>
      <c r="AD297" s="1">
        <v>18</v>
      </c>
      <c r="AE297" s="1">
        <v>16</v>
      </c>
      <c r="AF297" s="1">
        <v>0.8</v>
      </c>
      <c r="AG297" s="1">
        <v>0.9</v>
      </c>
      <c r="AH297" s="1">
        <v>0</v>
      </c>
      <c r="AI297" s="1">
        <v>0</v>
      </c>
      <c r="AJ297" s="1">
        <f t="shared" si="23"/>
        <v>0</v>
      </c>
      <c r="AK297" s="1">
        <f>D37</f>
        <v>0</v>
      </c>
      <c r="AL297" s="1">
        <f>D43</f>
        <v>0</v>
      </c>
      <c r="AM297" s="1">
        <f t="shared" si="24"/>
        <v>0</v>
      </c>
      <c r="AN297" s="1">
        <f t="shared" si="25"/>
        <v>0</v>
      </c>
      <c r="AO297" s="1">
        <f t="shared" si="26"/>
        <v>0</v>
      </c>
      <c r="AP297" t="b" cm="1">
        <f t="array" ref="AP297">INDEX($AU$8:$BB$25,6*(R297-1)+MATCH(AB297,$AS$8:$AS$13,0),MATCH(O297,$AU$7:$BB$7,0))</f>
        <v>1</v>
      </c>
    </row>
    <row r="298" spans="15:42" ht="14.25" x14ac:dyDescent="0.45">
      <c r="O298" s="43" t="s">
        <v>31</v>
      </c>
      <c r="P298" s="43">
        <v>1</v>
      </c>
      <c r="Q298" s="43">
        <v>11</v>
      </c>
      <c r="R298" s="43">
        <v>3</v>
      </c>
      <c r="S298" s="45"/>
      <c r="T298" t="b">
        <f>(S296+S297+S298)=P2</f>
        <v>0</v>
      </c>
      <c r="X298" s="1">
        <f t="shared" si="27"/>
        <v>0</v>
      </c>
      <c r="Y298" s="48">
        <v>0</v>
      </c>
      <c r="AA298" s="1">
        <v>3</v>
      </c>
      <c r="AB298" s="1" t="s">
        <v>16</v>
      </c>
      <c r="AC298" s="1" t="s">
        <v>22</v>
      </c>
      <c r="AD298" s="1">
        <v>18</v>
      </c>
      <c r="AE298" s="1">
        <v>16</v>
      </c>
      <c r="AF298" s="1">
        <v>0.8</v>
      </c>
      <c r="AG298" s="1">
        <v>0.9</v>
      </c>
      <c r="AH298" s="1">
        <v>0</v>
      </c>
      <c r="AI298" s="1">
        <v>0</v>
      </c>
      <c r="AJ298" s="1">
        <f t="shared" si="23"/>
        <v>0</v>
      </c>
      <c r="AK298" s="1">
        <f>E37</f>
        <v>0</v>
      </c>
      <c r="AL298" s="1">
        <f>E43</f>
        <v>0</v>
      </c>
      <c r="AM298" s="1">
        <f t="shared" si="24"/>
        <v>0</v>
      </c>
      <c r="AN298" s="1">
        <f t="shared" si="25"/>
        <v>0</v>
      </c>
      <c r="AO298" s="1">
        <f t="shared" si="26"/>
        <v>0</v>
      </c>
      <c r="AP298" t="b" cm="1">
        <f t="array" ref="AP298">INDEX($AU$8:$BB$25,6*(R298-1)+MATCH(AB298,$AS$8:$AS$13,0),MATCH(O298,$AU$7:$BB$7,0))</f>
        <v>1</v>
      </c>
    </row>
    <row r="299" spans="15:42" ht="14.25" x14ac:dyDescent="0.45">
      <c r="O299" s="43" t="s">
        <v>31</v>
      </c>
      <c r="P299" s="43">
        <v>2</v>
      </c>
      <c r="Q299" s="43">
        <v>1</v>
      </c>
      <c r="R299" s="43">
        <v>1</v>
      </c>
      <c r="S299" s="45"/>
      <c r="T299" t="b">
        <f>(S299+S300+S301)=P3</f>
        <v>0</v>
      </c>
      <c r="X299" s="1">
        <v>0</v>
      </c>
      <c r="Y299" s="48">
        <v>0</v>
      </c>
      <c r="AA299" s="1">
        <v>9</v>
      </c>
      <c r="AB299" s="1" t="s">
        <v>16</v>
      </c>
      <c r="AC299" s="1" t="s">
        <v>22</v>
      </c>
      <c r="AD299" s="1">
        <v>19</v>
      </c>
      <c r="AE299" s="1">
        <v>16</v>
      </c>
      <c r="AF299" s="1">
        <v>0.8</v>
      </c>
      <c r="AG299" s="1">
        <v>0.9</v>
      </c>
      <c r="AH299" s="1">
        <v>0</v>
      </c>
      <c r="AI299" s="1">
        <v>0</v>
      </c>
      <c r="AJ299" s="1">
        <f t="shared" si="23"/>
        <v>0</v>
      </c>
      <c r="AK299" s="1">
        <f>C37</f>
        <v>0</v>
      </c>
      <c r="AL299" s="1">
        <f>C43</f>
        <v>0</v>
      </c>
      <c r="AM299" s="1">
        <f t="shared" si="24"/>
        <v>0</v>
      </c>
      <c r="AN299" s="1">
        <f t="shared" si="25"/>
        <v>0</v>
      </c>
      <c r="AO299" s="1">
        <f t="shared" si="26"/>
        <v>0</v>
      </c>
      <c r="AP299" t="b" cm="1">
        <f t="array" ref="AP299">INDEX($AU$8:$BB$25,6*(R299-1)+MATCH(AB299,$AS$8:$AS$13,0),MATCH(O299,$AU$7:$BB$7,0))</f>
        <v>1</v>
      </c>
    </row>
    <row r="300" spans="15:42" ht="14.25" x14ac:dyDescent="0.45">
      <c r="O300" s="43" t="s">
        <v>31</v>
      </c>
      <c r="P300" s="43">
        <v>2</v>
      </c>
      <c r="Q300" s="43">
        <v>1</v>
      </c>
      <c r="R300" s="43">
        <v>2</v>
      </c>
      <c r="S300" s="45"/>
      <c r="T300" t="b">
        <f>(S299+S300+S301)=P3</f>
        <v>0</v>
      </c>
      <c r="X300" s="1">
        <v>0</v>
      </c>
      <c r="Y300" s="48">
        <v>0</v>
      </c>
      <c r="AA300" s="1">
        <v>9</v>
      </c>
      <c r="AB300" s="1" t="s">
        <v>16</v>
      </c>
      <c r="AC300" s="1" t="s">
        <v>22</v>
      </c>
      <c r="AD300" s="1">
        <v>19</v>
      </c>
      <c r="AE300" s="1">
        <v>16</v>
      </c>
      <c r="AF300" s="1">
        <v>0.8</v>
      </c>
      <c r="AG300" s="1">
        <v>0.9</v>
      </c>
      <c r="AH300" s="1">
        <v>0</v>
      </c>
      <c r="AI300" s="1">
        <v>0</v>
      </c>
      <c r="AJ300" s="1">
        <f t="shared" si="23"/>
        <v>0</v>
      </c>
      <c r="AK300" s="1">
        <f>D37</f>
        <v>0</v>
      </c>
      <c r="AL300" s="1">
        <f>D43</f>
        <v>0</v>
      </c>
      <c r="AM300" s="1">
        <f t="shared" si="24"/>
        <v>0</v>
      </c>
      <c r="AN300" s="1">
        <f t="shared" si="25"/>
        <v>0</v>
      </c>
      <c r="AO300" s="1">
        <f t="shared" si="26"/>
        <v>0</v>
      </c>
      <c r="AP300" t="b" cm="1">
        <f t="array" ref="AP300">INDEX($AU$8:$BB$25,6*(R300-1)+MATCH(AB300,$AS$8:$AS$13,0),MATCH(O300,$AU$7:$BB$7,0))</f>
        <v>1</v>
      </c>
    </row>
    <row r="301" spans="15:42" ht="14.25" x14ac:dyDescent="0.45">
      <c r="O301" s="43" t="s">
        <v>31</v>
      </c>
      <c r="P301" s="43">
        <v>2</v>
      </c>
      <c r="Q301" s="43">
        <v>1</v>
      </c>
      <c r="R301" s="43">
        <v>3</v>
      </c>
      <c r="S301" s="45"/>
      <c r="T301" t="b">
        <f>(S299+S300+S301)=P3</f>
        <v>0</v>
      </c>
      <c r="X301" s="1">
        <v>0</v>
      </c>
      <c r="Y301" s="48">
        <v>0</v>
      </c>
      <c r="AA301" s="1">
        <v>9</v>
      </c>
      <c r="AB301" s="1" t="s">
        <v>16</v>
      </c>
      <c r="AC301" s="1" t="s">
        <v>22</v>
      </c>
      <c r="AD301" s="1">
        <v>19</v>
      </c>
      <c r="AE301" s="1">
        <v>16</v>
      </c>
      <c r="AF301" s="1">
        <v>0.8</v>
      </c>
      <c r="AG301" s="1">
        <v>0.9</v>
      </c>
      <c r="AH301" s="1">
        <v>0</v>
      </c>
      <c r="AI301" s="1">
        <v>0</v>
      </c>
      <c r="AJ301" s="1">
        <f t="shared" si="23"/>
        <v>0</v>
      </c>
      <c r="AK301" s="1">
        <f>E37</f>
        <v>0</v>
      </c>
      <c r="AL301" s="1">
        <f>E43</f>
        <v>0</v>
      </c>
      <c r="AM301" s="1">
        <f t="shared" si="24"/>
        <v>0</v>
      </c>
      <c r="AN301" s="1">
        <f t="shared" si="25"/>
        <v>0</v>
      </c>
      <c r="AO301" s="1">
        <f t="shared" si="26"/>
        <v>0</v>
      </c>
      <c r="AP301" t="b" cm="1">
        <f t="array" ref="AP301">INDEX($AU$8:$BB$25,6*(R301-1)+MATCH(AB301,$AS$8:$AS$13,0),MATCH(O301,$AU$7:$BB$7,0))</f>
        <v>1</v>
      </c>
    </row>
    <row r="302" spans="15:42" ht="14.25" x14ac:dyDescent="0.45">
      <c r="O302" s="43" t="s">
        <v>31</v>
      </c>
      <c r="P302" s="43">
        <v>2</v>
      </c>
      <c r="Q302" s="43">
        <v>2</v>
      </c>
      <c r="R302" s="43">
        <v>1</v>
      </c>
      <c r="S302" s="45"/>
      <c r="T302" t="b">
        <f>(S302+S303+S304)=P3</f>
        <v>0</v>
      </c>
      <c r="X302" s="1">
        <f t="shared" ref="X302:X343" si="28">MAX(S299-S302,0)</f>
        <v>0</v>
      </c>
      <c r="Y302" s="48">
        <v>0</v>
      </c>
      <c r="AA302" s="1">
        <v>1</v>
      </c>
      <c r="AB302" s="1" t="s">
        <v>12</v>
      </c>
      <c r="AC302" s="1" t="s">
        <v>18</v>
      </c>
      <c r="AD302" s="1">
        <v>20</v>
      </c>
      <c r="AE302" s="1">
        <v>18</v>
      </c>
      <c r="AF302" s="1">
        <v>0.76</v>
      </c>
      <c r="AG302" s="1">
        <v>0.81</v>
      </c>
      <c r="AH302" s="1">
        <v>0</v>
      </c>
      <c r="AI302" s="1">
        <v>0</v>
      </c>
      <c r="AJ302" s="1">
        <f t="shared" si="23"/>
        <v>0</v>
      </c>
      <c r="AK302" s="1">
        <f>C33</f>
        <v>0</v>
      </c>
      <c r="AL302" s="1">
        <f>C39</f>
        <v>0</v>
      </c>
      <c r="AM302" s="1">
        <f t="shared" si="24"/>
        <v>0</v>
      </c>
      <c r="AN302" s="1">
        <f t="shared" si="25"/>
        <v>0</v>
      </c>
      <c r="AO302" s="1">
        <f t="shared" si="26"/>
        <v>0</v>
      </c>
      <c r="AP302" t="b" cm="1">
        <f t="array" ref="AP302">INDEX($AU$8:$BB$25,6*(R302-1)+MATCH(AB302,$AS$8:$AS$13,0),MATCH(O302,$AU$7:$BB$7,0))</f>
        <v>1</v>
      </c>
    </row>
    <row r="303" spans="15:42" ht="14.25" x14ac:dyDescent="0.45">
      <c r="O303" s="43" t="s">
        <v>31</v>
      </c>
      <c r="P303" s="43">
        <v>2</v>
      </c>
      <c r="Q303" s="43">
        <v>2</v>
      </c>
      <c r="R303" s="43">
        <v>2</v>
      </c>
      <c r="S303" s="45"/>
      <c r="T303" t="b">
        <f>(S302+S303+S304)=P3</f>
        <v>0</v>
      </c>
      <c r="X303" s="1">
        <f t="shared" si="28"/>
        <v>0</v>
      </c>
      <c r="Y303" s="48">
        <v>0</v>
      </c>
      <c r="AA303" s="1">
        <v>1</v>
      </c>
      <c r="AB303" s="1" t="s">
        <v>12</v>
      </c>
      <c r="AC303" s="1" t="s">
        <v>18</v>
      </c>
      <c r="AD303" s="1">
        <v>20</v>
      </c>
      <c r="AE303" s="1">
        <v>18</v>
      </c>
      <c r="AF303" s="1">
        <v>0.76</v>
      </c>
      <c r="AG303" s="1">
        <v>0.81</v>
      </c>
      <c r="AH303" s="1">
        <v>0</v>
      </c>
      <c r="AI303" s="1">
        <v>0</v>
      </c>
      <c r="AJ303" s="1">
        <f t="shared" si="23"/>
        <v>0</v>
      </c>
      <c r="AK303" s="1">
        <f>D33</f>
        <v>0</v>
      </c>
      <c r="AL303" s="1">
        <f>D39</f>
        <v>0</v>
      </c>
      <c r="AM303" s="1">
        <f t="shared" si="24"/>
        <v>0</v>
      </c>
      <c r="AN303" s="1">
        <f t="shared" si="25"/>
        <v>0</v>
      </c>
      <c r="AO303" s="1">
        <f t="shared" si="26"/>
        <v>0</v>
      </c>
      <c r="AP303" t="b" cm="1">
        <f t="array" ref="AP303">INDEX($AU$8:$BB$25,6*(R303-1)+MATCH(AB303,$AS$8:$AS$13,0),MATCH(O303,$AU$7:$BB$7,0))</f>
        <v>1</v>
      </c>
    </row>
    <row r="304" spans="15:42" ht="14.25" x14ac:dyDescent="0.45">
      <c r="O304" s="43" t="s">
        <v>31</v>
      </c>
      <c r="P304" s="43">
        <v>2</v>
      </c>
      <c r="Q304" s="43">
        <v>2</v>
      </c>
      <c r="R304" s="43">
        <v>3</v>
      </c>
      <c r="S304" s="45"/>
      <c r="T304" t="b">
        <f>(S302+S303+S304)=P3</f>
        <v>0</v>
      </c>
      <c r="X304" s="1">
        <f t="shared" si="28"/>
        <v>0</v>
      </c>
      <c r="Y304" s="48">
        <v>0</v>
      </c>
      <c r="AA304" s="1">
        <v>1</v>
      </c>
      <c r="AB304" s="1" t="s">
        <v>12</v>
      </c>
      <c r="AC304" s="1" t="s">
        <v>18</v>
      </c>
      <c r="AD304" s="1">
        <v>20</v>
      </c>
      <c r="AE304" s="1">
        <v>18</v>
      </c>
      <c r="AF304" s="1">
        <v>0.76</v>
      </c>
      <c r="AG304" s="1">
        <v>0.81</v>
      </c>
      <c r="AH304" s="1">
        <v>0</v>
      </c>
      <c r="AI304" s="1">
        <v>0</v>
      </c>
      <c r="AJ304" s="1">
        <f t="shared" si="23"/>
        <v>0</v>
      </c>
      <c r="AK304" s="1">
        <f>E33</f>
        <v>0</v>
      </c>
      <c r="AL304" s="1">
        <f>E39</f>
        <v>0</v>
      </c>
      <c r="AM304" s="1">
        <f t="shared" si="24"/>
        <v>0</v>
      </c>
      <c r="AN304" s="1">
        <f t="shared" si="25"/>
        <v>0</v>
      </c>
      <c r="AO304" s="1">
        <f t="shared" si="26"/>
        <v>0</v>
      </c>
      <c r="AP304" t="b" cm="1">
        <f t="array" ref="AP304">INDEX($AU$8:$BB$25,6*(R304-1)+MATCH(AB304,$AS$8:$AS$13,0),MATCH(O304,$AU$7:$BB$7,0))</f>
        <v>1</v>
      </c>
    </row>
    <row r="305" spans="15:42" ht="14.25" x14ac:dyDescent="0.45">
      <c r="O305" s="43" t="s">
        <v>31</v>
      </c>
      <c r="P305" s="43">
        <v>2</v>
      </c>
      <c r="Q305" s="43">
        <v>3</v>
      </c>
      <c r="R305" s="43">
        <v>1</v>
      </c>
      <c r="S305" s="45"/>
      <c r="T305" t="b">
        <f>(S305+S306+S307)=P3</f>
        <v>0</v>
      </c>
      <c r="X305" s="1">
        <f t="shared" si="28"/>
        <v>0</v>
      </c>
      <c r="Y305" s="48">
        <v>0</v>
      </c>
      <c r="AA305" s="1">
        <v>11</v>
      </c>
      <c r="AB305" s="1" t="s">
        <v>15</v>
      </c>
      <c r="AC305" s="1" t="s">
        <v>21</v>
      </c>
      <c r="AD305" s="1">
        <v>10</v>
      </c>
      <c r="AE305" s="1">
        <v>7</v>
      </c>
      <c r="AF305" s="1">
        <v>0.76</v>
      </c>
      <c r="AG305" s="1">
        <v>0.84</v>
      </c>
      <c r="AH305" s="1">
        <v>0</v>
      </c>
      <c r="AI305" s="1">
        <v>0</v>
      </c>
      <c r="AJ305" s="1">
        <f t="shared" si="23"/>
        <v>0</v>
      </c>
      <c r="AK305" s="1">
        <f>C36</f>
        <v>0</v>
      </c>
      <c r="AL305" s="1">
        <f>C42</f>
        <v>0</v>
      </c>
      <c r="AM305" s="1">
        <f t="shared" si="24"/>
        <v>0</v>
      </c>
      <c r="AN305" s="1">
        <f t="shared" si="25"/>
        <v>0</v>
      </c>
      <c r="AO305" s="1">
        <f t="shared" si="26"/>
        <v>0</v>
      </c>
      <c r="AP305" t="b" cm="1">
        <f t="array" ref="AP305">INDEX($AU$8:$BB$25,6*(R305-1)+MATCH(AB305,$AS$8:$AS$13,0),MATCH(O305,$AU$7:$BB$7,0))</f>
        <v>1</v>
      </c>
    </row>
    <row r="306" spans="15:42" ht="14.25" x14ac:dyDescent="0.45">
      <c r="O306" s="43" t="s">
        <v>31</v>
      </c>
      <c r="P306" s="43">
        <v>2</v>
      </c>
      <c r="Q306" s="43">
        <v>3</v>
      </c>
      <c r="R306" s="43">
        <v>2</v>
      </c>
      <c r="S306" s="45"/>
      <c r="T306" t="b">
        <f>(S305+S306+S307)=P3</f>
        <v>0</v>
      </c>
      <c r="X306" s="1">
        <f t="shared" si="28"/>
        <v>0</v>
      </c>
      <c r="Y306" s="48">
        <v>0</v>
      </c>
      <c r="AA306" s="1">
        <v>11</v>
      </c>
      <c r="AB306" s="1" t="s">
        <v>15</v>
      </c>
      <c r="AC306" s="1" t="s">
        <v>21</v>
      </c>
      <c r="AD306" s="1">
        <v>10</v>
      </c>
      <c r="AE306" s="1">
        <v>7</v>
      </c>
      <c r="AF306" s="1">
        <v>0.76</v>
      </c>
      <c r="AG306" s="1">
        <v>0.84</v>
      </c>
      <c r="AH306" s="1">
        <v>0</v>
      </c>
      <c r="AI306" s="1">
        <v>0</v>
      </c>
      <c r="AJ306" s="1">
        <f t="shared" si="23"/>
        <v>0</v>
      </c>
      <c r="AK306" s="1">
        <f>D36</f>
        <v>0</v>
      </c>
      <c r="AL306" s="1">
        <f>D42</f>
        <v>0</v>
      </c>
      <c r="AM306" s="1">
        <f t="shared" si="24"/>
        <v>0</v>
      </c>
      <c r="AN306" s="1">
        <f t="shared" si="25"/>
        <v>0</v>
      </c>
      <c r="AO306" s="1">
        <f t="shared" si="26"/>
        <v>0</v>
      </c>
      <c r="AP306" t="b" cm="1">
        <f t="array" ref="AP306">INDEX($AU$8:$BB$25,6*(R306-1)+MATCH(AB306,$AS$8:$AS$13,0),MATCH(O306,$AU$7:$BB$7,0))</f>
        <v>1</v>
      </c>
    </row>
    <row r="307" spans="15:42" ht="14.25" x14ac:dyDescent="0.45">
      <c r="O307" s="43" t="s">
        <v>31</v>
      </c>
      <c r="P307" s="43">
        <v>2</v>
      </c>
      <c r="Q307" s="43">
        <v>3</v>
      </c>
      <c r="R307" s="43">
        <v>3</v>
      </c>
      <c r="S307" s="45"/>
      <c r="T307" t="b">
        <f>(S305+S306+S307)=P3</f>
        <v>0</v>
      </c>
      <c r="X307" s="1">
        <f t="shared" si="28"/>
        <v>0</v>
      </c>
      <c r="Y307" s="48">
        <v>0</v>
      </c>
      <c r="AA307" s="1">
        <v>11</v>
      </c>
      <c r="AB307" s="1" t="s">
        <v>15</v>
      </c>
      <c r="AC307" s="1" t="s">
        <v>21</v>
      </c>
      <c r="AD307" s="1">
        <v>10</v>
      </c>
      <c r="AE307" s="1">
        <v>7</v>
      </c>
      <c r="AF307" s="1">
        <v>0.76</v>
      </c>
      <c r="AG307" s="1">
        <v>0.84</v>
      </c>
      <c r="AH307" s="1">
        <v>0</v>
      </c>
      <c r="AI307" s="1">
        <v>0</v>
      </c>
      <c r="AJ307" s="1">
        <f t="shared" si="23"/>
        <v>0</v>
      </c>
      <c r="AK307" s="1">
        <f>E36</f>
        <v>0</v>
      </c>
      <c r="AL307" s="1">
        <f>E42</f>
        <v>0</v>
      </c>
      <c r="AM307" s="1">
        <f t="shared" si="24"/>
        <v>0</v>
      </c>
      <c r="AN307" s="1">
        <f t="shared" si="25"/>
        <v>0</v>
      </c>
      <c r="AO307" s="1">
        <f t="shared" si="26"/>
        <v>0</v>
      </c>
      <c r="AP307" t="b" cm="1">
        <f t="array" ref="AP307">INDEX($AU$8:$BB$25,6*(R307-1)+MATCH(AB307,$AS$8:$AS$13,0),MATCH(O307,$AU$7:$BB$7,0))</f>
        <v>1</v>
      </c>
    </row>
    <row r="308" spans="15:42" ht="14.25" x14ac:dyDescent="0.45">
      <c r="O308" s="43" t="s">
        <v>31</v>
      </c>
      <c r="P308" s="43">
        <v>2</v>
      </c>
      <c r="Q308" s="43">
        <v>4</v>
      </c>
      <c r="R308" s="43">
        <v>1</v>
      </c>
      <c r="S308" s="45"/>
      <c r="T308" t="b">
        <f>(S308+S309+S310)=P3</f>
        <v>0</v>
      </c>
      <c r="X308" s="1">
        <f t="shared" si="28"/>
        <v>0</v>
      </c>
      <c r="Y308" s="48">
        <v>0</v>
      </c>
      <c r="AA308" s="1">
        <v>2</v>
      </c>
      <c r="AB308" s="1" t="s">
        <v>12</v>
      </c>
      <c r="AC308" s="1" t="s">
        <v>18</v>
      </c>
      <c r="AD308" s="1">
        <v>25</v>
      </c>
      <c r="AE308" s="1">
        <v>19</v>
      </c>
      <c r="AF308" s="1">
        <v>0.76</v>
      </c>
      <c r="AG308" s="1">
        <v>0.81</v>
      </c>
      <c r="AH308" s="1">
        <v>0</v>
      </c>
      <c r="AI308" s="1">
        <v>0</v>
      </c>
      <c r="AJ308" s="1">
        <f t="shared" si="23"/>
        <v>0</v>
      </c>
      <c r="AK308" s="1">
        <f>C33</f>
        <v>0</v>
      </c>
      <c r="AL308" s="1">
        <f>C39</f>
        <v>0</v>
      </c>
      <c r="AM308" s="1">
        <f t="shared" si="24"/>
        <v>0</v>
      </c>
      <c r="AN308" s="1">
        <f t="shared" si="25"/>
        <v>0</v>
      </c>
      <c r="AO308" s="1">
        <f t="shared" si="26"/>
        <v>0</v>
      </c>
      <c r="AP308" t="b" cm="1">
        <f t="array" ref="AP308">INDEX($AU$8:$BB$25,6*(R308-1)+MATCH(AB308,$AS$8:$AS$13,0),MATCH(O308,$AU$7:$BB$7,0))</f>
        <v>1</v>
      </c>
    </row>
    <row r="309" spans="15:42" ht="14.25" x14ac:dyDescent="0.45">
      <c r="O309" s="43" t="s">
        <v>31</v>
      </c>
      <c r="P309" s="43">
        <v>2</v>
      </c>
      <c r="Q309" s="43">
        <v>4</v>
      </c>
      <c r="R309" s="43">
        <v>2</v>
      </c>
      <c r="S309" s="45"/>
      <c r="T309" t="b">
        <f>(S308+S309+S310)=P3</f>
        <v>0</v>
      </c>
      <c r="X309" s="1">
        <f t="shared" si="28"/>
        <v>0</v>
      </c>
      <c r="Y309" s="48">
        <v>0</v>
      </c>
      <c r="AA309" s="1">
        <v>2</v>
      </c>
      <c r="AB309" s="1" t="s">
        <v>12</v>
      </c>
      <c r="AC309" s="1" t="s">
        <v>18</v>
      </c>
      <c r="AD309" s="1">
        <v>25</v>
      </c>
      <c r="AE309" s="1">
        <v>19</v>
      </c>
      <c r="AF309" s="1">
        <v>0.76</v>
      </c>
      <c r="AG309" s="1">
        <v>0.81</v>
      </c>
      <c r="AH309" s="1">
        <v>0</v>
      </c>
      <c r="AI309" s="1">
        <v>0</v>
      </c>
      <c r="AJ309" s="1">
        <f t="shared" si="23"/>
        <v>0</v>
      </c>
      <c r="AK309" s="1">
        <f>D33</f>
        <v>0</v>
      </c>
      <c r="AL309" s="1">
        <f>D39</f>
        <v>0</v>
      </c>
      <c r="AM309" s="1">
        <f t="shared" si="24"/>
        <v>0</v>
      </c>
      <c r="AN309" s="1">
        <f t="shared" si="25"/>
        <v>0</v>
      </c>
      <c r="AO309" s="1">
        <f t="shared" si="26"/>
        <v>0</v>
      </c>
      <c r="AP309" t="b" cm="1">
        <f t="array" ref="AP309">INDEX($AU$8:$BB$25,6*(R309-1)+MATCH(AB309,$AS$8:$AS$13,0),MATCH(O309,$AU$7:$BB$7,0))</f>
        <v>1</v>
      </c>
    </row>
    <row r="310" spans="15:42" ht="14.25" x14ac:dyDescent="0.45">
      <c r="O310" s="43" t="s">
        <v>31</v>
      </c>
      <c r="P310" s="43">
        <v>2</v>
      </c>
      <c r="Q310" s="43">
        <v>4</v>
      </c>
      <c r="R310" s="43">
        <v>3</v>
      </c>
      <c r="S310" s="45"/>
      <c r="T310" t="b">
        <f>(S308+S309+S310)=P3</f>
        <v>0</v>
      </c>
      <c r="X310" s="1">
        <f t="shared" si="28"/>
        <v>0</v>
      </c>
      <c r="Y310" s="48">
        <v>0</v>
      </c>
      <c r="AA310" s="1">
        <v>2</v>
      </c>
      <c r="AB310" s="1" t="s">
        <v>12</v>
      </c>
      <c r="AC310" s="1" t="s">
        <v>18</v>
      </c>
      <c r="AD310" s="1">
        <v>25</v>
      </c>
      <c r="AE310" s="1">
        <v>19</v>
      </c>
      <c r="AF310" s="1">
        <v>0.76</v>
      </c>
      <c r="AG310" s="1">
        <v>0.81</v>
      </c>
      <c r="AH310" s="1">
        <v>0</v>
      </c>
      <c r="AI310" s="1">
        <v>0</v>
      </c>
      <c r="AJ310" s="1">
        <f t="shared" si="23"/>
        <v>0</v>
      </c>
      <c r="AK310" s="1">
        <f>E33</f>
        <v>0</v>
      </c>
      <c r="AL310" s="1">
        <f>E39</f>
        <v>0</v>
      </c>
      <c r="AM310" s="1">
        <f t="shared" si="24"/>
        <v>0</v>
      </c>
      <c r="AN310" s="1">
        <f t="shared" si="25"/>
        <v>0</v>
      </c>
      <c r="AO310" s="1">
        <f t="shared" si="26"/>
        <v>0</v>
      </c>
      <c r="AP310" t="b" cm="1">
        <f t="array" ref="AP310">INDEX($AU$8:$BB$25,6*(R310-1)+MATCH(AB310,$AS$8:$AS$13,0),MATCH(O310,$AU$7:$BB$7,0))</f>
        <v>1</v>
      </c>
    </row>
    <row r="311" spans="15:42" ht="14.25" x14ac:dyDescent="0.45">
      <c r="O311" s="43" t="s">
        <v>31</v>
      </c>
      <c r="P311" s="43">
        <v>2</v>
      </c>
      <c r="Q311" s="43">
        <v>5</v>
      </c>
      <c r="R311" s="43">
        <v>1</v>
      </c>
      <c r="S311" s="45"/>
      <c r="T311" t="b">
        <f>(S311+S312+S313)=P3</f>
        <v>0</v>
      </c>
      <c r="X311" s="1">
        <f t="shared" si="28"/>
        <v>0</v>
      </c>
      <c r="Y311" s="48">
        <v>0</v>
      </c>
      <c r="AA311" s="1">
        <v>3</v>
      </c>
      <c r="AB311" s="1" t="s">
        <v>12</v>
      </c>
      <c r="AC311" s="1" t="s">
        <v>18</v>
      </c>
      <c r="AD311" s="1">
        <v>15</v>
      </c>
      <c r="AE311" s="1">
        <v>11</v>
      </c>
      <c r="AF311" s="1">
        <v>0.76</v>
      </c>
      <c r="AG311" s="1">
        <v>0.81</v>
      </c>
      <c r="AH311" s="1">
        <v>0</v>
      </c>
      <c r="AI311" s="1">
        <v>0</v>
      </c>
      <c r="AJ311" s="1">
        <f t="shared" si="23"/>
        <v>0</v>
      </c>
      <c r="AK311" s="1">
        <f>C33</f>
        <v>0</v>
      </c>
      <c r="AL311" s="1">
        <f>C39</f>
        <v>0</v>
      </c>
      <c r="AM311" s="1">
        <f t="shared" si="24"/>
        <v>0</v>
      </c>
      <c r="AN311" s="1">
        <f t="shared" si="25"/>
        <v>0</v>
      </c>
      <c r="AO311" s="1">
        <f t="shared" si="26"/>
        <v>0</v>
      </c>
      <c r="AP311" t="b" cm="1">
        <f t="array" ref="AP311">INDEX($AU$8:$BB$25,6*(R311-1)+MATCH(AB311,$AS$8:$AS$13,0),MATCH(O311,$AU$7:$BB$7,0))</f>
        <v>1</v>
      </c>
    </row>
    <row r="312" spans="15:42" ht="14.25" x14ac:dyDescent="0.45">
      <c r="O312" s="43" t="s">
        <v>31</v>
      </c>
      <c r="P312" s="43">
        <v>2</v>
      </c>
      <c r="Q312" s="43">
        <v>5</v>
      </c>
      <c r="R312" s="43">
        <v>2</v>
      </c>
      <c r="S312" s="45"/>
      <c r="T312" t="b">
        <f>(S311+S312+S313)=P3</f>
        <v>0</v>
      </c>
      <c r="X312" s="1">
        <f t="shared" si="28"/>
        <v>0</v>
      </c>
      <c r="Y312" s="48">
        <v>0</v>
      </c>
      <c r="AA312" s="1">
        <v>3</v>
      </c>
      <c r="AB312" s="1" t="s">
        <v>12</v>
      </c>
      <c r="AC312" s="1" t="s">
        <v>18</v>
      </c>
      <c r="AD312" s="1">
        <v>15</v>
      </c>
      <c r="AE312" s="1">
        <v>11</v>
      </c>
      <c r="AF312" s="1">
        <v>0.76</v>
      </c>
      <c r="AG312" s="1">
        <v>0.81</v>
      </c>
      <c r="AH312" s="1">
        <v>0</v>
      </c>
      <c r="AI312" s="1">
        <v>0</v>
      </c>
      <c r="AJ312" s="1">
        <f t="shared" si="23"/>
        <v>0</v>
      </c>
      <c r="AK312" s="1">
        <f>D33</f>
        <v>0</v>
      </c>
      <c r="AL312" s="1">
        <f>D39</f>
        <v>0</v>
      </c>
      <c r="AM312" s="1">
        <f t="shared" si="24"/>
        <v>0</v>
      </c>
      <c r="AN312" s="1">
        <f t="shared" si="25"/>
        <v>0</v>
      </c>
      <c r="AO312" s="1">
        <f t="shared" si="26"/>
        <v>0</v>
      </c>
      <c r="AP312" t="b" cm="1">
        <f t="array" ref="AP312">INDEX($AU$8:$BB$25,6*(R312-1)+MATCH(AB312,$AS$8:$AS$13,0),MATCH(O312,$AU$7:$BB$7,0))</f>
        <v>1</v>
      </c>
    </row>
    <row r="313" spans="15:42" ht="14.25" x14ac:dyDescent="0.45">
      <c r="O313" s="43" t="s">
        <v>31</v>
      </c>
      <c r="P313" s="43">
        <v>2</v>
      </c>
      <c r="Q313" s="43">
        <v>5</v>
      </c>
      <c r="R313" s="43">
        <v>3</v>
      </c>
      <c r="S313" s="45"/>
      <c r="T313" t="b">
        <f>(S311+S312+S313)=P3</f>
        <v>0</v>
      </c>
      <c r="X313" s="1">
        <f t="shared" si="28"/>
        <v>0</v>
      </c>
      <c r="Y313" s="48">
        <v>0</v>
      </c>
      <c r="AA313" s="1">
        <v>3</v>
      </c>
      <c r="AB313" s="1" t="s">
        <v>12</v>
      </c>
      <c r="AC313" s="1" t="s">
        <v>18</v>
      </c>
      <c r="AD313" s="1">
        <v>15</v>
      </c>
      <c r="AE313" s="1">
        <v>11</v>
      </c>
      <c r="AF313" s="1">
        <v>0.76</v>
      </c>
      <c r="AG313" s="1">
        <v>0.81</v>
      </c>
      <c r="AH313" s="1">
        <v>0</v>
      </c>
      <c r="AI313" s="1">
        <v>0</v>
      </c>
      <c r="AJ313" s="1">
        <f t="shared" si="23"/>
        <v>0</v>
      </c>
      <c r="AK313" s="1">
        <f>E33</f>
        <v>0</v>
      </c>
      <c r="AL313" s="1">
        <f>E39</f>
        <v>0</v>
      </c>
      <c r="AM313" s="1">
        <f t="shared" si="24"/>
        <v>0</v>
      </c>
      <c r="AN313" s="1">
        <f t="shared" si="25"/>
        <v>0</v>
      </c>
      <c r="AO313" s="1">
        <f t="shared" si="26"/>
        <v>0</v>
      </c>
      <c r="AP313" t="b" cm="1">
        <f t="array" ref="AP313">INDEX($AU$8:$BB$25,6*(R313-1)+MATCH(AB313,$AS$8:$AS$13,0),MATCH(O313,$AU$7:$BB$7,0))</f>
        <v>1</v>
      </c>
    </row>
    <row r="314" spans="15:42" ht="14.25" x14ac:dyDescent="0.45">
      <c r="O314" s="43" t="s">
        <v>31</v>
      </c>
      <c r="P314" s="43">
        <v>2</v>
      </c>
      <c r="Q314" s="43">
        <v>6</v>
      </c>
      <c r="R314" s="43">
        <v>1</v>
      </c>
      <c r="S314" s="45"/>
      <c r="T314" t="b">
        <f>(S314+S315+S316)=P3</f>
        <v>0</v>
      </c>
      <c r="X314" s="1">
        <f t="shared" si="28"/>
        <v>0</v>
      </c>
      <c r="Y314" s="48">
        <v>0</v>
      </c>
      <c r="AA314" s="1">
        <v>5</v>
      </c>
      <c r="AB314" s="1" t="s">
        <v>16</v>
      </c>
      <c r="AC314" s="1" t="s">
        <v>22</v>
      </c>
      <c r="AD314" s="1">
        <v>16</v>
      </c>
      <c r="AE314" s="1">
        <v>14</v>
      </c>
      <c r="AF314" s="1">
        <v>0.8</v>
      </c>
      <c r="AG314" s="1">
        <v>0.9</v>
      </c>
      <c r="AH314" s="1">
        <v>0</v>
      </c>
      <c r="AI314" s="1">
        <v>0</v>
      </c>
      <c r="AJ314" s="1">
        <f t="shared" si="23"/>
        <v>0</v>
      </c>
      <c r="AK314" s="1">
        <f>C37</f>
        <v>0</v>
      </c>
      <c r="AL314" s="1">
        <f>C43</f>
        <v>0</v>
      </c>
      <c r="AM314" s="1">
        <f t="shared" si="24"/>
        <v>0</v>
      </c>
      <c r="AN314" s="1">
        <f t="shared" si="25"/>
        <v>0</v>
      </c>
      <c r="AO314" s="1">
        <f t="shared" si="26"/>
        <v>0</v>
      </c>
      <c r="AP314" t="b" cm="1">
        <f t="array" ref="AP314">INDEX($AU$8:$BB$25,6*(R314-1)+MATCH(AB314,$AS$8:$AS$13,0),MATCH(O314,$AU$7:$BB$7,0))</f>
        <v>1</v>
      </c>
    </row>
    <row r="315" spans="15:42" ht="14.25" x14ac:dyDescent="0.45">
      <c r="O315" s="43" t="s">
        <v>31</v>
      </c>
      <c r="P315" s="43">
        <v>2</v>
      </c>
      <c r="Q315" s="43">
        <v>6</v>
      </c>
      <c r="R315" s="43">
        <v>2</v>
      </c>
      <c r="S315" s="45"/>
      <c r="T315" t="b">
        <f>(S314+S315+S316)=P3</f>
        <v>0</v>
      </c>
      <c r="X315" s="1">
        <f t="shared" si="28"/>
        <v>0</v>
      </c>
      <c r="Y315" s="48">
        <v>0</v>
      </c>
      <c r="AA315" s="1">
        <v>5</v>
      </c>
      <c r="AB315" s="1" t="s">
        <v>16</v>
      </c>
      <c r="AC315" s="1" t="s">
        <v>22</v>
      </c>
      <c r="AD315" s="1">
        <v>16</v>
      </c>
      <c r="AE315" s="1">
        <v>14</v>
      </c>
      <c r="AF315" s="1">
        <v>0.8</v>
      </c>
      <c r="AG315" s="1">
        <v>0.9</v>
      </c>
      <c r="AH315" s="1">
        <v>0</v>
      </c>
      <c r="AI315" s="1">
        <v>0</v>
      </c>
      <c r="AJ315" s="1">
        <f t="shared" si="23"/>
        <v>0</v>
      </c>
      <c r="AK315" s="1">
        <f>D37</f>
        <v>0</v>
      </c>
      <c r="AL315" s="1">
        <f>D43</f>
        <v>0</v>
      </c>
      <c r="AM315" s="1">
        <f t="shared" si="24"/>
        <v>0</v>
      </c>
      <c r="AN315" s="1">
        <f t="shared" si="25"/>
        <v>0</v>
      </c>
      <c r="AO315" s="1">
        <f t="shared" si="26"/>
        <v>0</v>
      </c>
      <c r="AP315" t="b" cm="1">
        <f t="array" ref="AP315">INDEX($AU$8:$BB$25,6*(R315-1)+MATCH(AB315,$AS$8:$AS$13,0),MATCH(O315,$AU$7:$BB$7,0))</f>
        <v>1</v>
      </c>
    </row>
    <row r="316" spans="15:42" ht="14.25" x14ac:dyDescent="0.45">
      <c r="O316" s="43" t="s">
        <v>31</v>
      </c>
      <c r="P316" s="43">
        <v>2</v>
      </c>
      <c r="Q316" s="43">
        <v>6</v>
      </c>
      <c r="R316" s="43">
        <v>3</v>
      </c>
      <c r="S316" s="45"/>
      <c r="T316" t="b">
        <f>(S314+S315+S316)=P3</f>
        <v>0</v>
      </c>
      <c r="X316" s="1">
        <f t="shared" si="28"/>
        <v>0</v>
      </c>
      <c r="Y316" s="48">
        <v>0</v>
      </c>
      <c r="AA316" s="1">
        <v>5</v>
      </c>
      <c r="AB316" s="1" t="s">
        <v>16</v>
      </c>
      <c r="AC316" s="1" t="s">
        <v>22</v>
      </c>
      <c r="AD316" s="1">
        <v>16</v>
      </c>
      <c r="AE316" s="1">
        <v>14</v>
      </c>
      <c r="AF316" s="1">
        <v>0.8</v>
      </c>
      <c r="AG316" s="1">
        <v>0.9</v>
      </c>
      <c r="AH316" s="1">
        <v>0</v>
      </c>
      <c r="AI316" s="1">
        <v>0</v>
      </c>
      <c r="AJ316" s="1">
        <f t="shared" si="23"/>
        <v>0</v>
      </c>
      <c r="AK316" s="1">
        <f>E37</f>
        <v>0</v>
      </c>
      <c r="AL316" s="1">
        <f>E43</f>
        <v>0</v>
      </c>
      <c r="AM316" s="1">
        <f t="shared" si="24"/>
        <v>0</v>
      </c>
      <c r="AN316" s="1">
        <f t="shared" si="25"/>
        <v>0</v>
      </c>
      <c r="AO316" s="1">
        <f t="shared" si="26"/>
        <v>0</v>
      </c>
      <c r="AP316" t="b" cm="1">
        <f t="array" ref="AP316">INDEX($AU$8:$BB$25,6*(R316-1)+MATCH(AB316,$AS$8:$AS$13,0),MATCH(O316,$AU$7:$BB$7,0))</f>
        <v>1</v>
      </c>
    </row>
    <row r="317" spans="15:42" ht="14.25" x14ac:dyDescent="0.45">
      <c r="O317" s="43" t="s">
        <v>31</v>
      </c>
      <c r="P317" s="43">
        <v>2</v>
      </c>
      <c r="Q317" s="43">
        <v>7</v>
      </c>
      <c r="R317" s="43">
        <v>1</v>
      </c>
      <c r="S317" s="45"/>
      <c r="T317" t="b">
        <f>(S317+S318+S319)=P3</f>
        <v>0</v>
      </c>
      <c r="X317" s="1">
        <f t="shared" si="28"/>
        <v>0</v>
      </c>
      <c r="Y317" s="48">
        <v>0</v>
      </c>
      <c r="AA317" s="1">
        <v>4</v>
      </c>
      <c r="AB317" s="1" t="s">
        <v>16</v>
      </c>
      <c r="AC317" s="1" t="s">
        <v>22</v>
      </c>
      <c r="AD317" s="1">
        <v>17</v>
      </c>
      <c r="AE317" s="1">
        <v>15</v>
      </c>
      <c r="AF317" s="1">
        <v>0.8</v>
      </c>
      <c r="AG317" s="1">
        <v>0.9</v>
      </c>
      <c r="AH317" s="1">
        <v>0</v>
      </c>
      <c r="AI317" s="1">
        <v>0</v>
      </c>
      <c r="AJ317" s="1">
        <f t="shared" si="23"/>
        <v>0</v>
      </c>
      <c r="AK317" s="1">
        <f>C37</f>
        <v>0</v>
      </c>
      <c r="AL317" s="1">
        <f>C43</f>
        <v>0</v>
      </c>
      <c r="AM317" s="1">
        <f t="shared" si="24"/>
        <v>0</v>
      </c>
      <c r="AN317" s="1">
        <f t="shared" si="25"/>
        <v>0</v>
      </c>
      <c r="AO317" s="1">
        <f t="shared" si="26"/>
        <v>0</v>
      </c>
      <c r="AP317" t="b" cm="1">
        <f t="array" ref="AP317">INDEX($AU$8:$BB$25,6*(R317-1)+MATCH(AB317,$AS$8:$AS$13,0),MATCH(O317,$AU$7:$BB$7,0))</f>
        <v>1</v>
      </c>
    </row>
    <row r="318" spans="15:42" ht="14.25" x14ac:dyDescent="0.45">
      <c r="O318" s="43" t="s">
        <v>31</v>
      </c>
      <c r="P318" s="43">
        <v>2</v>
      </c>
      <c r="Q318" s="43">
        <v>7</v>
      </c>
      <c r="R318" s="43">
        <v>2</v>
      </c>
      <c r="S318" s="45"/>
      <c r="T318" t="b">
        <f>(S317+S318+S319)=P3</f>
        <v>0</v>
      </c>
      <c r="X318" s="1">
        <f t="shared" si="28"/>
        <v>0</v>
      </c>
      <c r="Y318" s="48">
        <v>0</v>
      </c>
      <c r="AA318" s="1">
        <v>4</v>
      </c>
      <c r="AB318" s="1" t="s">
        <v>16</v>
      </c>
      <c r="AC318" s="1" t="s">
        <v>22</v>
      </c>
      <c r="AD318" s="1">
        <v>17</v>
      </c>
      <c r="AE318" s="1">
        <v>15</v>
      </c>
      <c r="AF318" s="1">
        <v>0.8</v>
      </c>
      <c r="AG318" s="1">
        <v>0.9</v>
      </c>
      <c r="AH318" s="1">
        <v>0</v>
      </c>
      <c r="AI318" s="1">
        <v>0</v>
      </c>
      <c r="AJ318" s="1">
        <f t="shared" si="23"/>
        <v>0</v>
      </c>
      <c r="AK318" s="1">
        <f>D37</f>
        <v>0</v>
      </c>
      <c r="AL318" s="1">
        <f>D43</f>
        <v>0</v>
      </c>
      <c r="AM318" s="1">
        <f t="shared" si="24"/>
        <v>0</v>
      </c>
      <c r="AN318" s="1">
        <f t="shared" si="25"/>
        <v>0</v>
      </c>
      <c r="AO318" s="1">
        <f t="shared" si="26"/>
        <v>0</v>
      </c>
      <c r="AP318" t="b" cm="1">
        <f t="array" ref="AP318">INDEX($AU$8:$BB$25,6*(R318-1)+MATCH(AB318,$AS$8:$AS$13,0),MATCH(O318,$AU$7:$BB$7,0))</f>
        <v>1</v>
      </c>
    </row>
    <row r="319" spans="15:42" ht="14.25" x14ac:dyDescent="0.45">
      <c r="O319" s="43" t="s">
        <v>31</v>
      </c>
      <c r="P319" s="43">
        <v>2</v>
      </c>
      <c r="Q319" s="43">
        <v>7</v>
      </c>
      <c r="R319" s="43">
        <v>3</v>
      </c>
      <c r="S319" s="45"/>
      <c r="T319" t="b">
        <f>(S317+S318+S319)=P3</f>
        <v>0</v>
      </c>
      <c r="X319" s="1">
        <f t="shared" si="28"/>
        <v>0</v>
      </c>
      <c r="Y319" s="48">
        <v>0</v>
      </c>
      <c r="AA319" s="1">
        <v>4</v>
      </c>
      <c r="AB319" s="1" t="s">
        <v>16</v>
      </c>
      <c r="AC319" s="1" t="s">
        <v>22</v>
      </c>
      <c r="AD319" s="1">
        <v>17</v>
      </c>
      <c r="AE319" s="1">
        <v>15</v>
      </c>
      <c r="AF319" s="1">
        <v>0.8</v>
      </c>
      <c r="AG319" s="1">
        <v>0.9</v>
      </c>
      <c r="AH319" s="1">
        <v>0</v>
      </c>
      <c r="AI319" s="1">
        <v>0</v>
      </c>
      <c r="AJ319" s="1">
        <f t="shared" si="23"/>
        <v>0</v>
      </c>
      <c r="AK319" s="1">
        <f>E37</f>
        <v>0</v>
      </c>
      <c r="AL319" s="1">
        <f>E43</f>
        <v>0</v>
      </c>
      <c r="AM319" s="1">
        <f t="shared" si="24"/>
        <v>0</v>
      </c>
      <c r="AN319" s="1">
        <f t="shared" si="25"/>
        <v>0</v>
      </c>
      <c r="AO319" s="1">
        <f t="shared" si="26"/>
        <v>0</v>
      </c>
      <c r="AP319" t="b" cm="1">
        <f t="array" ref="AP319">INDEX($AU$8:$BB$25,6*(R319-1)+MATCH(AB319,$AS$8:$AS$13,0),MATCH(O319,$AU$7:$BB$7,0))</f>
        <v>1</v>
      </c>
    </row>
    <row r="320" spans="15:42" ht="14.25" x14ac:dyDescent="0.45">
      <c r="O320" s="43" t="s">
        <v>31</v>
      </c>
      <c r="P320" s="43">
        <v>2</v>
      </c>
      <c r="Q320" s="43">
        <v>8</v>
      </c>
      <c r="R320" s="43">
        <v>1</v>
      </c>
      <c r="S320" s="45"/>
      <c r="T320" t="b">
        <f>(S320+S321+S322)=P3</f>
        <v>0</v>
      </c>
      <c r="X320" s="1">
        <f t="shared" si="28"/>
        <v>0</v>
      </c>
      <c r="Y320" s="48">
        <v>0</v>
      </c>
      <c r="AA320" s="1">
        <v>4</v>
      </c>
      <c r="AB320" s="1" t="s">
        <v>12</v>
      </c>
      <c r="AC320" s="1" t="s">
        <v>18</v>
      </c>
      <c r="AD320" s="1">
        <v>22</v>
      </c>
      <c r="AE320" s="1">
        <v>16</v>
      </c>
      <c r="AF320" s="1">
        <v>0.76</v>
      </c>
      <c r="AG320" s="1">
        <v>0.81</v>
      </c>
      <c r="AH320" s="1">
        <v>0</v>
      </c>
      <c r="AI320" s="1">
        <v>0</v>
      </c>
      <c r="AJ320" s="1">
        <f t="shared" si="23"/>
        <v>0</v>
      </c>
      <c r="AK320" s="1">
        <f>C33</f>
        <v>0</v>
      </c>
      <c r="AL320" s="1">
        <f>C39</f>
        <v>0</v>
      </c>
      <c r="AM320" s="1">
        <f t="shared" si="24"/>
        <v>0</v>
      </c>
      <c r="AN320" s="1">
        <f t="shared" si="25"/>
        <v>0</v>
      </c>
      <c r="AO320" s="1">
        <f t="shared" si="26"/>
        <v>0</v>
      </c>
      <c r="AP320" t="b" cm="1">
        <f t="array" ref="AP320">INDEX($AU$8:$BB$25,6*(R320-1)+MATCH(AB320,$AS$8:$AS$13,0),MATCH(O320,$AU$7:$BB$7,0))</f>
        <v>1</v>
      </c>
    </row>
    <row r="321" spans="15:42" ht="14.25" x14ac:dyDescent="0.45">
      <c r="O321" s="43" t="s">
        <v>31</v>
      </c>
      <c r="P321" s="43">
        <v>2</v>
      </c>
      <c r="Q321" s="43">
        <v>8</v>
      </c>
      <c r="R321" s="43">
        <v>2</v>
      </c>
      <c r="S321" s="45"/>
      <c r="T321" t="b">
        <f>(S320+S321+S322)=P3</f>
        <v>0</v>
      </c>
      <c r="X321" s="1">
        <f t="shared" si="28"/>
        <v>0</v>
      </c>
      <c r="Y321" s="48">
        <v>0</v>
      </c>
      <c r="AA321" s="1">
        <v>4</v>
      </c>
      <c r="AB321" s="1" t="s">
        <v>12</v>
      </c>
      <c r="AC321" s="1" t="s">
        <v>18</v>
      </c>
      <c r="AD321" s="1">
        <v>22</v>
      </c>
      <c r="AE321" s="1">
        <v>16</v>
      </c>
      <c r="AF321" s="1">
        <v>0.76</v>
      </c>
      <c r="AG321" s="1">
        <v>0.81</v>
      </c>
      <c r="AH321" s="1">
        <v>0</v>
      </c>
      <c r="AI321" s="1">
        <v>0</v>
      </c>
      <c r="AJ321" s="1">
        <f t="shared" si="23"/>
        <v>0</v>
      </c>
      <c r="AK321" s="1">
        <f>D33</f>
        <v>0</v>
      </c>
      <c r="AL321" s="1">
        <f>D39</f>
        <v>0</v>
      </c>
      <c r="AM321" s="1">
        <f t="shared" si="24"/>
        <v>0</v>
      </c>
      <c r="AN321" s="1">
        <f t="shared" si="25"/>
        <v>0</v>
      </c>
      <c r="AO321" s="1">
        <f t="shared" si="26"/>
        <v>0</v>
      </c>
      <c r="AP321" t="b" cm="1">
        <f t="array" ref="AP321">INDEX($AU$8:$BB$25,6*(R321-1)+MATCH(AB321,$AS$8:$AS$13,0),MATCH(O321,$AU$7:$BB$7,0))</f>
        <v>1</v>
      </c>
    </row>
    <row r="322" spans="15:42" ht="14.25" x14ac:dyDescent="0.45">
      <c r="O322" s="43" t="s">
        <v>31</v>
      </c>
      <c r="P322" s="43">
        <v>2</v>
      </c>
      <c r="Q322" s="43">
        <v>8</v>
      </c>
      <c r="R322" s="43">
        <v>3</v>
      </c>
      <c r="S322" s="45"/>
      <c r="T322" t="b">
        <f>(S320+S321+S322)=P3</f>
        <v>0</v>
      </c>
      <c r="X322" s="1">
        <f t="shared" si="28"/>
        <v>0</v>
      </c>
      <c r="Y322" s="48">
        <v>0</v>
      </c>
      <c r="AA322" s="1">
        <v>4</v>
      </c>
      <c r="AB322" s="1" t="s">
        <v>12</v>
      </c>
      <c r="AC322" s="1" t="s">
        <v>18</v>
      </c>
      <c r="AD322" s="1">
        <v>22</v>
      </c>
      <c r="AE322" s="1">
        <v>16</v>
      </c>
      <c r="AF322" s="1">
        <v>0.76</v>
      </c>
      <c r="AG322" s="1">
        <v>0.81</v>
      </c>
      <c r="AH322" s="1">
        <v>0</v>
      </c>
      <c r="AI322" s="1">
        <v>0</v>
      </c>
      <c r="AJ322" s="1">
        <f t="shared" si="23"/>
        <v>0</v>
      </c>
      <c r="AK322" s="1">
        <f>E33</f>
        <v>0</v>
      </c>
      <c r="AL322" s="1">
        <f>E39</f>
        <v>0</v>
      </c>
      <c r="AM322" s="1">
        <f t="shared" si="24"/>
        <v>0</v>
      </c>
      <c r="AN322" s="1">
        <f t="shared" si="25"/>
        <v>0</v>
      </c>
      <c r="AO322" s="1">
        <f t="shared" si="26"/>
        <v>0</v>
      </c>
      <c r="AP322" t="b" cm="1">
        <f t="array" ref="AP322">INDEX($AU$8:$BB$25,6*(R322-1)+MATCH(AB322,$AS$8:$AS$13,0),MATCH(O322,$AU$7:$BB$7,0))</f>
        <v>1</v>
      </c>
    </row>
    <row r="323" spans="15:42" ht="14.25" x14ac:dyDescent="0.45">
      <c r="O323" s="43" t="s">
        <v>31</v>
      </c>
      <c r="P323" s="43">
        <v>2</v>
      </c>
      <c r="Q323" s="43">
        <v>9</v>
      </c>
      <c r="R323" s="43">
        <v>1</v>
      </c>
      <c r="S323" s="45"/>
      <c r="T323" t="b">
        <f>(S323+S324+S325)=P3</f>
        <v>0</v>
      </c>
      <c r="X323" s="1">
        <f t="shared" si="28"/>
        <v>0</v>
      </c>
      <c r="Y323" s="48">
        <v>0</v>
      </c>
      <c r="AA323" s="1">
        <v>4</v>
      </c>
      <c r="AB323" s="1" t="s">
        <v>15</v>
      </c>
      <c r="AC323" s="1" t="s">
        <v>21</v>
      </c>
      <c r="AD323" s="1">
        <v>7</v>
      </c>
      <c r="AE323" s="1">
        <v>6</v>
      </c>
      <c r="AF323" s="1">
        <v>0.76</v>
      </c>
      <c r="AG323" s="1">
        <v>0.84</v>
      </c>
      <c r="AH323" s="1">
        <v>0</v>
      </c>
      <c r="AI323" s="1">
        <v>0</v>
      </c>
      <c r="AJ323" s="1">
        <f t="shared" si="23"/>
        <v>0</v>
      </c>
      <c r="AK323" s="1">
        <f>C36</f>
        <v>0</v>
      </c>
      <c r="AL323" s="1">
        <f>C42</f>
        <v>0</v>
      </c>
      <c r="AM323" s="1">
        <f t="shared" si="24"/>
        <v>0</v>
      </c>
      <c r="AN323" s="1">
        <f t="shared" si="25"/>
        <v>0</v>
      </c>
      <c r="AO323" s="1">
        <f t="shared" si="26"/>
        <v>0</v>
      </c>
      <c r="AP323" t="b" cm="1">
        <f t="array" ref="AP323">INDEX($AU$8:$BB$25,6*(R323-1)+MATCH(AB323,$AS$8:$AS$13,0),MATCH(O323,$AU$7:$BB$7,0))</f>
        <v>1</v>
      </c>
    </row>
    <row r="324" spans="15:42" ht="14.25" x14ac:dyDescent="0.45">
      <c r="O324" s="43" t="s">
        <v>31</v>
      </c>
      <c r="P324" s="43">
        <v>2</v>
      </c>
      <c r="Q324" s="43">
        <v>9</v>
      </c>
      <c r="R324" s="43">
        <v>2</v>
      </c>
      <c r="S324" s="45"/>
      <c r="T324" t="b">
        <f>(S323+S324+S325)=P3</f>
        <v>0</v>
      </c>
      <c r="X324" s="1">
        <f t="shared" si="28"/>
        <v>0</v>
      </c>
      <c r="Y324" s="48">
        <v>0</v>
      </c>
      <c r="AA324" s="1">
        <v>4</v>
      </c>
      <c r="AB324" s="1" t="s">
        <v>15</v>
      </c>
      <c r="AC324" s="1" t="s">
        <v>21</v>
      </c>
      <c r="AD324" s="1">
        <v>7</v>
      </c>
      <c r="AE324" s="1">
        <v>6</v>
      </c>
      <c r="AF324" s="1">
        <v>0.76</v>
      </c>
      <c r="AG324" s="1">
        <v>0.84</v>
      </c>
      <c r="AH324" s="1">
        <v>0</v>
      </c>
      <c r="AI324" s="1">
        <v>0</v>
      </c>
      <c r="AJ324" s="1">
        <f t="shared" si="23"/>
        <v>0</v>
      </c>
      <c r="AK324" s="1">
        <f>D36</f>
        <v>0</v>
      </c>
      <c r="AL324" s="1">
        <f>D42</f>
        <v>0</v>
      </c>
      <c r="AM324" s="1">
        <f t="shared" si="24"/>
        <v>0</v>
      </c>
      <c r="AN324" s="1">
        <f t="shared" si="25"/>
        <v>0</v>
      </c>
      <c r="AO324" s="1">
        <f t="shared" si="26"/>
        <v>0</v>
      </c>
      <c r="AP324" t="b" cm="1">
        <f t="array" ref="AP324">INDEX($AU$8:$BB$25,6*(R324-1)+MATCH(AB324,$AS$8:$AS$13,0),MATCH(O324,$AU$7:$BB$7,0))</f>
        <v>1</v>
      </c>
    </row>
    <row r="325" spans="15:42" ht="14.25" x14ac:dyDescent="0.45">
      <c r="O325" s="43" t="s">
        <v>31</v>
      </c>
      <c r="P325" s="43">
        <v>2</v>
      </c>
      <c r="Q325" s="43">
        <v>9</v>
      </c>
      <c r="R325" s="43">
        <v>3</v>
      </c>
      <c r="S325" s="45"/>
      <c r="T325" t="b">
        <f>(S323+S324+S325)=P3</f>
        <v>0</v>
      </c>
      <c r="X325" s="1">
        <f t="shared" si="28"/>
        <v>0</v>
      </c>
      <c r="Y325" s="48">
        <v>0</v>
      </c>
      <c r="AA325" s="1">
        <v>4</v>
      </c>
      <c r="AB325" s="1" t="s">
        <v>15</v>
      </c>
      <c r="AC325" s="1" t="s">
        <v>21</v>
      </c>
      <c r="AD325" s="1">
        <v>7</v>
      </c>
      <c r="AE325" s="1">
        <v>6</v>
      </c>
      <c r="AF325" s="1">
        <v>0.76</v>
      </c>
      <c r="AG325" s="1">
        <v>0.84</v>
      </c>
      <c r="AH325" s="1">
        <v>0</v>
      </c>
      <c r="AI325" s="1">
        <v>0</v>
      </c>
      <c r="AJ325" s="1">
        <f t="shared" si="23"/>
        <v>0</v>
      </c>
      <c r="AK325" s="1">
        <f>E36</f>
        <v>0</v>
      </c>
      <c r="AL325" s="1">
        <f>E42</f>
        <v>0</v>
      </c>
      <c r="AM325" s="1">
        <f t="shared" si="24"/>
        <v>0</v>
      </c>
      <c r="AN325" s="1">
        <f t="shared" si="25"/>
        <v>0</v>
      </c>
      <c r="AO325" s="1">
        <f t="shared" si="26"/>
        <v>0</v>
      </c>
      <c r="AP325" t="b" cm="1">
        <f t="array" ref="AP325">INDEX($AU$8:$BB$25,6*(R325-1)+MATCH(AB325,$AS$8:$AS$13,0),MATCH(O325,$AU$7:$BB$7,0))</f>
        <v>1</v>
      </c>
    </row>
    <row r="326" spans="15:42" ht="14.25" x14ac:dyDescent="0.45">
      <c r="O326" s="43" t="s">
        <v>31</v>
      </c>
      <c r="P326" s="43">
        <v>2</v>
      </c>
      <c r="Q326" s="43">
        <v>10</v>
      </c>
      <c r="R326" s="43">
        <v>1</v>
      </c>
      <c r="S326" s="45"/>
      <c r="T326" t="b">
        <f>(S326+S327+S328)=P3</f>
        <v>0</v>
      </c>
      <c r="X326" s="1">
        <f t="shared" si="28"/>
        <v>0</v>
      </c>
      <c r="Y326" s="48">
        <v>0</v>
      </c>
      <c r="AA326" s="1">
        <v>6</v>
      </c>
      <c r="AB326" s="1" t="s">
        <v>15</v>
      </c>
      <c r="AC326" s="1" t="s">
        <v>21</v>
      </c>
      <c r="AD326" s="1">
        <v>9</v>
      </c>
      <c r="AE326" s="1">
        <v>7</v>
      </c>
      <c r="AF326" s="1">
        <v>0.76</v>
      </c>
      <c r="AG326" s="1">
        <v>0.84</v>
      </c>
      <c r="AH326" s="1">
        <v>0</v>
      </c>
      <c r="AI326" s="1">
        <v>0</v>
      </c>
      <c r="AJ326" s="1">
        <f t="shared" si="23"/>
        <v>0</v>
      </c>
      <c r="AK326" s="1">
        <f>C36</f>
        <v>0</v>
      </c>
      <c r="AL326" s="1">
        <f>C42</f>
        <v>0</v>
      </c>
      <c r="AM326" s="1">
        <f t="shared" si="24"/>
        <v>0</v>
      </c>
      <c r="AN326" s="1">
        <f t="shared" si="25"/>
        <v>0</v>
      </c>
      <c r="AO326" s="1">
        <f t="shared" si="26"/>
        <v>0</v>
      </c>
      <c r="AP326" t="b" cm="1">
        <f t="array" ref="AP326">INDEX($AU$8:$BB$25,6*(R326-1)+MATCH(AB326,$AS$8:$AS$13,0),MATCH(O326,$AU$7:$BB$7,0))</f>
        <v>1</v>
      </c>
    </row>
    <row r="327" spans="15:42" ht="14.25" x14ac:dyDescent="0.45">
      <c r="O327" s="43" t="s">
        <v>31</v>
      </c>
      <c r="P327" s="43">
        <v>2</v>
      </c>
      <c r="Q327" s="43">
        <v>10</v>
      </c>
      <c r="R327" s="43">
        <v>2</v>
      </c>
      <c r="S327" s="45"/>
      <c r="T327" t="b">
        <f>(S326+S327+S328)=P3</f>
        <v>0</v>
      </c>
      <c r="X327" s="1">
        <f t="shared" si="28"/>
        <v>0</v>
      </c>
      <c r="Y327" s="48">
        <v>0</v>
      </c>
      <c r="AA327" s="1">
        <v>6</v>
      </c>
      <c r="AB327" s="1" t="s">
        <v>15</v>
      </c>
      <c r="AC327" s="1" t="s">
        <v>21</v>
      </c>
      <c r="AD327" s="1">
        <v>9</v>
      </c>
      <c r="AE327" s="1">
        <v>7</v>
      </c>
      <c r="AF327" s="1">
        <v>0.76</v>
      </c>
      <c r="AG327" s="1">
        <v>0.84</v>
      </c>
      <c r="AH327" s="1">
        <v>0</v>
      </c>
      <c r="AI327" s="1">
        <v>0</v>
      </c>
      <c r="AJ327" s="1">
        <f t="shared" si="23"/>
        <v>0</v>
      </c>
      <c r="AK327" s="1">
        <f>D36</f>
        <v>0</v>
      </c>
      <c r="AL327" s="1">
        <f>D42</f>
        <v>0</v>
      </c>
      <c r="AM327" s="1">
        <f t="shared" si="24"/>
        <v>0</v>
      </c>
      <c r="AN327" s="1">
        <f t="shared" si="25"/>
        <v>0</v>
      </c>
      <c r="AO327" s="1">
        <f t="shared" si="26"/>
        <v>0</v>
      </c>
      <c r="AP327" t="b" cm="1">
        <f t="array" ref="AP327">INDEX($AU$8:$BB$25,6*(R327-1)+MATCH(AB327,$AS$8:$AS$13,0),MATCH(O327,$AU$7:$BB$7,0))</f>
        <v>1</v>
      </c>
    </row>
    <row r="328" spans="15:42" ht="14.25" x14ac:dyDescent="0.45">
      <c r="O328" s="43" t="s">
        <v>31</v>
      </c>
      <c r="P328" s="43">
        <v>2</v>
      </c>
      <c r="Q328" s="43">
        <v>10</v>
      </c>
      <c r="R328" s="43">
        <v>3</v>
      </c>
      <c r="S328" s="45"/>
      <c r="T328" t="b">
        <f>(S326+S327+S328)=P3</f>
        <v>0</v>
      </c>
      <c r="X328" s="1">
        <f t="shared" si="28"/>
        <v>0</v>
      </c>
      <c r="Y328" s="48">
        <v>0</v>
      </c>
      <c r="AA328" s="1">
        <v>6</v>
      </c>
      <c r="AB328" s="1" t="s">
        <v>15</v>
      </c>
      <c r="AC328" s="1" t="s">
        <v>21</v>
      </c>
      <c r="AD328" s="1">
        <v>9</v>
      </c>
      <c r="AE328" s="1">
        <v>7</v>
      </c>
      <c r="AF328" s="1">
        <v>0.76</v>
      </c>
      <c r="AG328" s="1">
        <v>0.84</v>
      </c>
      <c r="AH328" s="1">
        <v>0</v>
      </c>
      <c r="AI328" s="1">
        <v>0</v>
      </c>
      <c r="AJ328" s="1">
        <f t="shared" si="23"/>
        <v>0</v>
      </c>
      <c r="AK328" s="1">
        <f>E36</f>
        <v>0</v>
      </c>
      <c r="AL328" s="1">
        <f>E42</f>
        <v>0</v>
      </c>
      <c r="AM328" s="1">
        <f t="shared" si="24"/>
        <v>0</v>
      </c>
      <c r="AN328" s="1">
        <f t="shared" si="25"/>
        <v>0</v>
      </c>
      <c r="AO328" s="1">
        <f t="shared" si="26"/>
        <v>0</v>
      </c>
      <c r="AP328" t="b" cm="1">
        <f t="array" ref="AP328">INDEX($AU$8:$BB$25,6*(R328-1)+MATCH(AB328,$AS$8:$AS$13,0),MATCH(O328,$AU$7:$BB$7,0))</f>
        <v>1</v>
      </c>
    </row>
    <row r="329" spans="15:42" ht="14.25" x14ac:dyDescent="0.45">
      <c r="O329" s="43" t="s">
        <v>31</v>
      </c>
      <c r="P329" s="43">
        <v>2</v>
      </c>
      <c r="Q329" s="43">
        <v>11</v>
      </c>
      <c r="R329" s="43">
        <v>1</v>
      </c>
      <c r="S329" s="45"/>
      <c r="T329" t="b">
        <f>(S329+S330+S331)=P3</f>
        <v>0</v>
      </c>
      <c r="X329" s="1">
        <f t="shared" si="28"/>
        <v>0</v>
      </c>
      <c r="Y329" s="48">
        <v>0</v>
      </c>
      <c r="AA329" s="1">
        <v>2</v>
      </c>
      <c r="AB329" s="1" t="s">
        <v>15</v>
      </c>
      <c r="AC329" s="1" t="s">
        <v>21</v>
      </c>
      <c r="AD329" s="1">
        <v>20</v>
      </c>
      <c r="AE329" s="1">
        <v>19</v>
      </c>
      <c r="AF329" s="1">
        <v>0.76</v>
      </c>
      <c r="AG329" s="1">
        <v>0.84</v>
      </c>
      <c r="AH329" s="1">
        <v>0</v>
      </c>
      <c r="AI329" s="1">
        <v>0</v>
      </c>
      <c r="AJ329" s="1">
        <f t="shared" ref="AJ329:AJ392" si="29">SUMIFS(AH$8:AH$1039,$O$8:$O$1039,O329,$AB$8:$AB$1039,AB329,$R$8:$R$1039,R329,$AA$8:$AA$1039,"&lt;="&amp;AA329)</f>
        <v>0</v>
      </c>
      <c r="AK329" s="1">
        <f>C36</f>
        <v>0</v>
      </c>
      <c r="AL329" s="1">
        <f>C42</f>
        <v>0</v>
      </c>
      <c r="AM329" s="1">
        <f t="shared" ref="AM329:AM392" si="30">MAX(0,AJ329-AK329)</f>
        <v>0</v>
      </c>
      <c r="AN329" s="1">
        <f t="shared" ref="AN329:AN392" si="31">IF(AM329=0,AH329,IF(AM329&gt;=AH329,0,AH329-AM329))</f>
        <v>0</v>
      </c>
      <c r="AO329" s="1">
        <f t="shared" ref="AO329:AO392" si="32">IF(AM329&gt;=AH329,AI329,AI329*AM329/AH329)</f>
        <v>0</v>
      </c>
      <c r="AP329" t="b" cm="1">
        <f t="array" ref="AP329">INDEX($AU$8:$BB$25,6*(R329-1)+MATCH(AB329,$AS$8:$AS$13,0),MATCH(O329,$AU$7:$BB$7,0))</f>
        <v>1</v>
      </c>
    </row>
    <row r="330" spans="15:42" ht="14.25" x14ac:dyDescent="0.45">
      <c r="O330" s="43" t="s">
        <v>31</v>
      </c>
      <c r="P330" s="43">
        <v>2</v>
      </c>
      <c r="Q330" s="43">
        <v>11</v>
      </c>
      <c r="R330" s="43">
        <v>2</v>
      </c>
      <c r="S330" s="45"/>
      <c r="T330" t="b">
        <f>(S329+S330+S331)=P3</f>
        <v>0</v>
      </c>
      <c r="X330" s="1">
        <f t="shared" si="28"/>
        <v>0</v>
      </c>
      <c r="Y330" s="48">
        <v>0</v>
      </c>
      <c r="AA330" s="1">
        <v>2</v>
      </c>
      <c r="AB330" s="1" t="s">
        <v>15</v>
      </c>
      <c r="AC330" s="1" t="s">
        <v>21</v>
      </c>
      <c r="AD330" s="1">
        <v>20</v>
      </c>
      <c r="AE330" s="1">
        <v>19</v>
      </c>
      <c r="AF330" s="1">
        <v>0.76</v>
      </c>
      <c r="AG330" s="1">
        <v>0.84</v>
      </c>
      <c r="AH330" s="1">
        <v>0</v>
      </c>
      <c r="AI330" s="1">
        <v>0</v>
      </c>
      <c r="AJ330" s="1">
        <f t="shared" si="29"/>
        <v>0</v>
      </c>
      <c r="AK330" s="1">
        <f>D36</f>
        <v>0</v>
      </c>
      <c r="AL330" s="1">
        <f>D42</f>
        <v>0</v>
      </c>
      <c r="AM330" s="1">
        <f t="shared" si="30"/>
        <v>0</v>
      </c>
      <c r="AN330" s="1">
        <f t="shared" si="31"/>
        <v>0</v>
      </c>
      <c r="AO330" s="1">
        <f t="shared" si="32"/>
        <v>0</v>
      </c>
      <c r="AP330" t="b" cm="1">
        <f t="array" ref="AP330">INDEX($AU$8:$BB$25,6*(R330-1)+MATCH(AB330,$AS$8:$AS$13,0),MATCH(O330,$AU$7:$BB$7,0))</f>
        <v>1</v>
      </c>
    </row>
    <row r="331" spans="15:42" ht="14.25" x14ac:dyDescent="0.45">
      <c r="O331" s="43" t="s">
        <v>31</v>
      </c>
      <c r="P331" s="43">
        <v>2</v>
      </c>
      <c r="Q331" s="43">
        <v>11</v>
      </c>
      <c r="R331" s="43">
        <v>3</v>
      </c>
      <c r="S331" s="45"/>
      <c r="T331" t="b">
        <f>(S329+S330+S331)=P3</f>
        <v>0</v>
      </c>
      <c r="X331" s="1">
        <f t="shared" si="28"/>
        <v>0</v>
      </c>
      <c r="Y331" s="48">
        <v>0</v>
      </c>
      <c r="AA331" s="1">
        <v>2</v>
      </c>
      <c r="AB331" s="1" t="s">
        <v>15</v>
      </c>
      <c r="AC331" s="1" t="s">
        <v>21</v>
      </c>
      <c r="AD331" s="1">
        <v>20</v>
      </c>
      <c r="AE331" s="1">
        <v>19</v>
      </c>
      <c r="AF331" s="1">
        <v>0.76</v>
      </c>
      <c r="AG331" s="1">
        <v>0.84</v>
      </c>
      <c r="AH331" s="1">
        <v>0</v>
      </c>
      <c r="AI331" s="1">
        <v>0</v>
      </c>
      <c r="AJ331" s="1">
        <f t="shared" si="29"/>
        <v>0</v>
      </c>
      <c r="AK331" s="1">
        <f>E36</f>
        <v>0</v>
      </c>
      <c r="AL331" s="1">
        <f>E42</f>
        <v>0</v>
      </c>
      <c r="AM331" s="1">
        <f t="shared" si="30"/>
        <v>0</v>
      </c>
      <c r="AN331" s="1">
        <f t="shared" si="31"/>
        <v>0</v>
      </c>
      <c r="AO331" s="1">
        <f t="shared" si="32"/>
        <v>0</v>
      </c>
      <c r="AP331" t="b" cm="1">
        <f t="array" ref="AP331">INDEX($AU$8:$BB$25,6*(R331-1)+MATCH(AB331,$AS$8:$AS$13,0),MATCH(O331,$AU$7:$BB$7,0))</f>
        <v>1</v>
      </c>
    </row>
    <row r="332" spans="15:42" ht="14.25" x14ac:dyDescent="0.45">
      <c r="O332" s="43" t="s">
        <v>31</v>
      </c>
      <c r="P332" s="43">
        <v>2</v>
      </c>
      <c r="Q332" s="43">
        <v>12</v>
      </c>
      <c r="R332" s="43">
        <v>1</v>
      </c>
      <c r="S332" s="45"/>
      <c r="T332" t="b">
        <f>(S332+S333+S334)=P3</f>
        <v>0</v>
      </c>
      <c r="X332" s="1">
        <f t="shared" si="28"/>
        <v>0</v>
      </c>
      <c r="Y332" s="48">
        <v>0</v>
      </c>
      <c r="AA332" s="1">
        <v>7</v>
      </c>
      <c r="AB332" s="1" t="s">
        <v>16</v>
      </c>
      <c r="AC332" s="1" t="s">
        <v>22</v>
      </c>
      <c r="AD332" s="1">
        <v>21</v>
      </c>
      <c r="AE332" s="1">
        <v>18</v>
      </c>
      <c r="AF332" s="1">
        <v>0.8</v>
      </c>
      <c r="AG332" s="1">
        <v>0.9</v>
      </c>
      <c r="AH332" s="1">
        <v>0</v>
      </c>
      <c r="AI332" s="1">
        <v>0</v>
      </c>
      <c r="AJ332" s="1">
        <f t="shared" si="29"/>
        <v>0</v>
      </c>
      <c r="AK332" s="1">
        <f>C37</f>
        <v>0</v>
      </c>
      <c r="AL332" s="1">
        <f>C43</f>
        <v>0</v>
      </c>
      <c r="AM332" s="1">
        <f t="shared" si="30"/>
        <v>0</v>
      </c>
      <c r="AN332" s="1">
        <f t="shared" si="31"/>
        <v>0</v>
      </c>
      <c r="AO332" s="1">
        <f t="shared" si="32"/>
        <v>0</v>
      </c>
      <c r="AP332" t="b" cm="1">
        <f t="array" ref="AP332">INDEX($AU$8:$BB$25,6*(R332-1)+MATCH(AB332,$AS$8:$AS$13,0),MATCH(O332,$AU$7:$BB$7,0))</f>
        <v>1</v>
      </c>
    </row>
    <row r="333" spans="15:42" ht="14.25" x14ac:dyDescent="0.45">
      <c r="O333" s="43" t="s">
        <v>31</v>
      </c>
      <c r="P333" s="43">
        <v>2</v>
      </c>
      <c r="Q333" s="43">
        <v>12</v>
      </c>
      <c r="R333" s="43">
        <v>2</v>
      </c>
      <c r="S333" s="45"/>
      <c r="T333" t="b">
        <f>(S332+S333+S334)=P3</f>
        <v>0</v>
      </c>
      <c r="X333" s="1">
        <f t="shared" si="28"/>
        <v>0</v>
      </c>
      <c r="Y333" s="48">
        <v>0</v>
      </c>
      <c r="AA333" s="1">
        <v>7</v>
      </c>
      <c r="AB333" s="1" t="s">
        <v>16</v>
      </c>
      <c r="AC333" s="1" t="s">
        <v>22</v>
      </c>
      <c r="AD333" s="1">
        <v>21</v>
      </c>
      <c r="AE333" s="1">
        <v>18</v>
      </c>
      <c r="AF333" s="1">
        <v>0.8</v>
      </c>
      <c r="AG333" s="1">
        <v>0.9</v>
      </c>
      <c r="AH333" s="1">
        <v>0</v>
      </c>
      <c r="AI333" s="1">
        <v>0</v>
      </c>
      <c r="AJ333" s="1">
        <f t="shared" si="29"/>
        <v>0</v>
      </c>
      <c r="AK333" s="1">
        <f>D37</f>
        <v>0</v>
      </c>
      <c r="AL333" s="1">
        <f>D43</f>
        <v>0</v>
      </c>
      <c r="AM333" s="1">
        <f t="shared" si="30"/>
        <v>0</v>
      </c>
      <c r="AN333" s="1">
        <f t="shared" si="31"/>
        <v>0</v>
      </c>
      <c r="AO333" s="1">
        <f t="shared" si="32"/>
        <v>0</v>
      </c>
      <c r="AP333" t="b" cm="1">
        <f t="array" ref="AP333">INDEX($AU$8:$BB$25,6*(R333-1)+MATCH(AB333,$AS$8:$AS$13,0),MATCH(O333,$AU$7:$BB$7,0))</f>
        <v>1</v>
      </c>
    </row>
    <row r="334" spans="15:42" ht="14.25" x14ac:dyDescent="0.45">
      <c r="O334" s="43" t="s">
        <v>31</v>
      </c>
      <c r="P334" s="43">
        <v>2</v>
      </c>
      <c r="Q334" s="43">
        <v>12</v>
      </c>
      <c r="R334" s="43">
        <v>3</v>
      </c>
      <c r="S334" s="45"/>
      <c r="T334" t="b">
        <f>(S332+S333+S334)=P3</f>
        <v>0</v>
      </c>
      <c r="X334" s="1">
        <f t="shared" si="28"/>
        <v>0</v>
      </c>
      <c r="Y334" s="48">
        <v>0</v>
      </c>
      <c r="AA334" s="1">
        <v>7</v>
      </c>
      <c r="AB334" s="1" t="s">
        <v>16</v>
      </c>
      <c r="AC334" s="1" t="s">
        <v>22</v>
      </c>
      <c r="AD334" s="1">
        <v>21</v>
      </c>
      <c r="AE334" s="1">
        <v>18</v>
      </c>
      <c r="AF334" s="1">
        <v>0.8</v>
      </c>
      <c r="AG334" s="1">
        <v>0.9</v>
      </c>
      <c r="AH334" s="1">
        <v>0</v>
      </c>
      <c r="AI334" s="1">
        <v>0</v>
      </c>
      <c r="AJ334" s="1">
        <f t="shared" si="29"/>
        <v>0</v>
      </c>
      <c r="AK334" s="1">
        <f>E37</f>
        <v>0</v>
      </c>
      <c r="AL334" s="1">
        <f>E43</f>
        <v>0</v>
      </c>
      <c r="AM334" s="1">
        <f t="shared" si="30"/>
        <v>0</v>
      </c>
      <c r="AN334" s="1">
        <f t="shared" si="31"/>
        <v>0</v>
      </c>
      <c r="AO334" s="1">
        <f t="shared" si="32"/>
        <v>0</v>
      </c>
      <c r="AP334" t="b" cm="1">
        <f t="array" ref="AP334">INDEX($AU$8:$BB$25,6*(R334-1)+MATCH(AB334,$AS$8:$AS$13,0),MATCH(O334,$AU$7:$BB$7,0))</f>
        <v>1</v>
      </c>
    </row>
    <row r="335" spans="15:42" ht="14.25" x14ac:dyDescent="0.45">
      <c r="O335" s="43" t="s">
        <v>31</v>
      </c>
      <c r="P335" s="43">
        <v>2</v>
      </c>
      <c r="Q335" s="43">
        <v>13</v>
      </c>
      <c r="R335" s="43">
        <v>1</v>
      </c>
      <c r="S335" s="45"/>
      <c r="T335" t="b">
        <f>(S335+S336+S337)=P3</f>
        <v>0</v>
      </c>
      <c r="X335" s="1">
        <f t="shared" si="28"/>
        <v>0</v>
      </c>
      <c r="Y335" s="48">
        <v>0</v>
      </c>
      <c r="AA335" s="1">
        <v>8</v>
      </c>
      <c r="AB335" s="1" t="s">
        <v>15</v>
      </c>
      <c r="AC335" s="1" t="s">
        <v>21</v>
      </c>
      <c r="AD335" s="1">
        <v>12</v>
      </c>
      <c r="AE335" s="1">
        <v>9</v>
      </c>
      <c r="AF335" s="1">
        <v>0.76</v>
      </c>
      <c r="AG335" s="1">
        <v>0.84</v>
      </c>
      <c r="AH335" s="1">
        <v>0</v>
      </c>
      <c r="AI335" s="1">
        <v>0</v>
      </c>
      <c r="AJ335" s="1">
        <f t="shared" si="29"/>
        <v>0</v>
      </c>
      <c r="AK335" s="1">
        <f>C36</f>
        <v>0</v>
      </c>
      <c r="AL335" s="1">
        <f>C42</f>
        <v>0</v>
      </c>
      <c r="AM335" s="1">
        <f t="shared" si="30"/>
        <v>0</v>
      </c>
      <c r="AN335" s="1">
        <f t="shared" si="31"/>
        <v>0</v>
      </c>
      <c r="AO335" s="1">
        <f t="shared" si="32"/>
        <v>0</v>
      </c>
      <c r="AP335" t="b" cm="1">
        <f t="array" ref="AP335">INDEX($AU$8:$BB$25,6*(R335-1)+MATCH(AB335,$AS$8:$AS$13,0),MATCH(O335,$AU$7:$BB$7,0))</f>
        <v>1</v>
      </c>
    </row>
    <row r="336" spans="15:42" ht="14.25" x14ac:dyDescent="0.45">
      <c r="O336" s="43" t="s">
        <v>31</v>
      </c>
      <c r="P336" s="43">
        <v>2</v>
      </c>
      <c r="Q336" s="43">
        <v>13</v>
      </c>
      <c r="R336" s="43">
        <v>2</v>
      </c>
      <c r="S336" s="45"/>
      <c r="T336" t="b">
        <f>(S335+S336+S337)=P3</f>
        <v>0</v>
      </c>
      <c r="X336" s="1">
        <f t="shared" si="28"/>
        <v>0</v>
      </c>
      <c r="Y336" s="48">
        <v>0</v>
      </c>
      <c r="AA336" s="1">
        <v>8</v>
      </c>
      <c r="AB336" s="1" t="s">
        <v>15</v>
      </c>
      <c r="AC336" s="1" t="s">
        <v>21</v>
      </c>
      <c r="AD336" s="1">
        <v>12</v>
      </c>
      <c r="AE336" s="1">
        <v>9</v>
      </c>
      <c r="AF336" s="1">
        <v>0.76</v>
      </c>
      <c r="AG336" s="1">
        <v>0.84</v>
      </c>
      <c r="AH336" s="1">
        <v>0</v>
      </c>
      <c r="AI336" s="1">
        <v>0</v>
      </c>
      <c r="AJ336" s="1">
        <f t="shared" si="29"/>
        <v>0</v>
      </c>
      <c r="AK336" s="1">
        <f>D36</f>
        <v>0</v>
      </c>
      <c r="AL336" s="1">
        <f>D42</f>
        <v>0</v>
      </c>
      <c r="AM336" s="1">
        <f t="shared" si="30"/>
        <v>0</v>
      </c>
      <c r="AN336" s="1">
        <f t="shared" si="31"/>
        <v>0</v>
      </c>
      <c r="AO336" s="1">
        <f t="shared" si="32"/>
        <v>0</v>
      </c>
      <c r="AP336" t="b" cm="1">
        <f t="array" ref="AP336">INDEX($AU$8:$BB$25,6*(R336-1)+MATCH(AB336,$AS$8:$AS$13,0),MATCH(O336,$AU$7:$BB$7,0))</f>
        <v>1</v>
      </c>
    </row>
    <row r="337" spans="15:42" ht="14.25" x14ac:dyDescent="0.45">
      <c r="O337" s="43" t="s">
        <v>31</v>
      </c>
      <c r="P337" s="43">
        <v>2</v>
      </c>
      <c r="Q337" s="43">
        <v>13</v>
      </c>
      <c r="R337" s="43">
        <v>3</v>
      </c>
      <c r="S337" s="45"/>
      <c r="T337" t="b">
        <f>(S335+S336+S337)=P3</f>
        <v>0</v>
      </c>
      <c r="X337" s="1">
        <f t="shared" si="28"/>
        <v>0</v>
      </c>
      <c r="Y337" s="48">
        <v>0</v>
      </c>
      <c r="AA337" s="1">
        <v>8</v>
      </c>
      <c r="AB337" s="1" t="s">
        <v>15</v>
      </c>
      <c r="AC337" s="1" t="s">
        <v>21</v>
      </c>
      <c r="AD337" s="1">
        <v>12</v>
      </c>
      <c r="AE337" s="1">
        <v>9</v>
      </c>
      <c r="AF337" s="1">
        <v>0.76</v>
      </c>
      <c r="AG337" s="1">
        <v>0.84</v>
      </c>
      <c r="AH337" s="1">
        <v>0</v>
      </c>
      <c r="AI337" s="1">
        <v>0</v>
      </c>
      <c r="AJ337" s="1">
        <f t="shared" si="29"/>
        <v>0</v>
      </c>
      <c r="AK337" s="1">
        <f>E36</f>
        <v>0</v>
      </c>
      <c r="AL337" s="1">
        <f>E42</f>
        <v>0</v>
      </c>
      <c r="AM337" s="1">
        <f t="shared" si="30"/>
        <v>0</v>
      </c>
      <c r="AN337" s="1">
        <f t="shared" si="31"/>
        <v>0</v>
      </c>
      <c r="AO337" s="1">
        <f t="shared" si="32"/>
        <v>0</v>
      </c>
      <c r="AP337" t="b" cm="1">
        <f t="array" ref="AP337">INDEX($AU$8:$BB$25,6*(R337-1)+MATCH(AB337,$AS$8:$AS$13,0),MATCH(O337,$AU$7:$BB$7,0))</f>
        <v>1</v>
      </c>
    </row>
    <row r="338" spans="15:42" ht="14.25" x14ac:dyDescent="0.45">
      <c r="O338" s="43" t="s">
        <v>31</v>
      </c>
      <c r="P338" s="43">
        <v>2</v>
      </c>
      <c r="Q338" s="43">
        <v>14</v>
      </c>
      <c r="R338" s="43">
        <v>1</v>
      </c>
      <c r="S338" s="45"/>
      <c r="T338" t="b">
        <f>(S338+S339+S340)=P3</f>
        <v>0</v>
      </c>
      <c r="X338" s="1">
        <f t="shared" si="28"/>
        <v>0</v>
      </c>
      <c r="Y338" s="48">
        <v>0</v>
      </c>
      <c r="AA338" s="1">
        <v>5</v>
      </c>
      <c r="AB338" s="1" t="s">
        <v>15</v>
      </c>
      <c r="AC338" s="1" t="s">
        <v>21</v>
      </c>
      <c r="AD338" s="1">
        <v>15</v>
      </c>
      <c r="AE338" s="1">
        <v>12</v>
      </c>
      <c r="AF338" s="1">
        <v>0.76</v>
      </c>
      <c r="AG338" s="1">
        <v>0.84</v>
      </c>
      <c r="AH338" s="1">
        <v>0</v>
      </c>
      <c r="AI338" s="1">
        <v>0</v>
      </c>
      <c r="AJ338" s="1">
        <f t="shared" si="29"/>
        <v>0</v>
      </c>
      <c r="AK338" s="1">
        <f>C36</f>
        <v>0</v>
      </c>
      <c r="AL338" s="1">
        <f>C42</f>
        <v>0</v>
      </c>
      <c r="AM338" s="1">
        <f t="shared" si="30"/>
        <v>0</v>
      </c>
      <c r="AN338" s="1">
        <f t="shared" si="31"/>
        <v>0</v>
      </c>
      <c r="AO338" s="1">
        <f t="shared" si="32"/>
        <v>0</v>
      </c>
      <c r="AP338" t="b" cm="1">
        <f t="array" ref="AP338">INDEX($AU$8:$BB$25,6*(R338-1)+MATCH(AB338,$AS$8:$AS$13,0),MATCH(O338,$AU$7:$BB$7,0))</f>
        <v>1</v>
      </c>
    </row>
    <row r="339" spans="15:42" ht="14.25" x14ac:dyDescent="0.45">
      <c r="O339" s="43" t="s">
        <v>31</v>
      </c>
      <c r="P339" s="43">
        <v>2</v>
      </c>
      <c r="Q339" s="43">
        <v>14</v>
      </c>
      <c r="R339" s="43">
        <v>2</v>
      </c>
      <c r="S339" s="45"/>
      <c r="T339" t="b">
        <f>(S338+S339+S340)=P3</f>
        <v>0</v>
      </c>
      <c r="X339" s="1">
        <f t="shared" si="28"/>
        <v>0</v>
      </c>
      <c r="Y339" s="48">
        <v>0</v>
      </c>
      <c r="AA339" s="1">
        <v>5</v>
      </c>
      <c r="AB339" s="1" t="s">
        <v>15</v>
      </c>
      <c r="AC339" s="1" t="s">
        <v>21</v>
      </c>
      <c r="AD339" s="1">
        <v>15</v>
      </c>
      <c r="AE339" s="1">
        <v>12</v>
      </c>
      <c r="AF339" s="1">
        <v>0.76</v>
      </c>
      <c r="AG339" s="1">
        <v>0.84</v>
      </c>
      <c r="AH339" s="1">
        <v>0</v>
      </c>
      <c r="AI339" s="1">
        <v>0</v>
      </c>
      <c r="AJ339" s="1">
        <f t="shared" si="29"/>
        <v>0</v>
      </c>
      <c r="AK339" s="1">
        <f>D36</f>
        <v>0</v>
      </c>
      <c r="AL339" s="1">
        <f>D42</f>
        <v>0</v>
      </c>
      <c r="AM339" s="1">
        <f t="shared" si="30"/>
        <v>0</v>
      </c>
      <c r="AN339" s="1">
        <f t="shared" si="31"/>
        <v>0</v>
      </c>
      <c r="AO339" s="1">
        <f t="shared" si="32"/>
        <v>0</v>
      </c>
      <c r="AP339" t="b" cm="1">
        <f t="array" ref="AP339">INDEX($AU$8:$BB$25,6*(R339-1)+MATCH(AB339,$AS$8:$AS$13,0),MATCH(O339,$AU$7:$BB$7,0))</f>
        <v>1</v>
      </c>
    </row>
    <row r="340" spans="15:42" ht="14.25" x14ac:dyDescent="0.45">
      <c r="O340" s="43" t="s">
        <v>31</v>
      </c>
      <c r="P340" s="43">
        <v>2</v>
      </c>
      <c r="Q340" s="43">
        <v>14</v>
      </c>
      <c r="R340" s="43">
        <v>3</v>
      </c>
      <c r="S340" s="45"/>
      <c r="T340" t="b">
        <f>(S338+S339+S340)=P3</f>
        <v>0</v>
      </c>
      <c r="X340" s="1">
        <f t="shared" si="28"/>
        <v>0</v>
      </c>
      <c r="Y340" s="48">
        <v>0</v>
      </c>
      <c r="AA340" s="1">
        <v>5</v>
      </c>
      <c r="AB340" s="1" t="s">
        <v>15</v>
      </c>
      <c r="AC340" s="1" t="s">
        <v>21</v>
      </c>
      <c r="AD340" s="1">
        <v>15</v>
      </c>
      <c r="AE340" s="1">
        <v>12</v>
      </c>
      <c r="AF340" s="1">
        <v>0.76</v>
      </c>
      <c r="AG340" s="1">
        <v>0.84</v>
      </c>
      <c r="AH340" s="1">
        <v>0</v>
      </c>
      <c r="AI340" s="1">
        <v>0</v>
      </c>
      <c r="AJ340" s="1">
        <f t="shared" si="29"/>
        <v>0</v>
      </c>
      <c r="AK340" s="1">
        <f>E36</f>
        <v>0</v>
      </c>
      <c r="AL340" s="1">
        <f>E42</f>
        <v>0</v>
      </c>
      <c r="AM340" s="1">
        <f t="shared" si="30"/>
        <v>0</v>
      </c>
      <c r="AN340" s="1">
        <f t="shared" si="31"/>
        <v>0</v>
      </c>
      <c r="AO340" s="1">
        <f t="shared" si="32"/>
        <v>0</v>
      </c>
      <c r="AP340" t="b" cm="1">
        <f t="array" ref="AP340">INDEX($AU$8:$BB$25,6*(R340-1)+MATCH(AB340,$AS$8:$AS$13,0),MATCH(O340,$AU$7:$BB$7,0))</f>
        <v>1</v>
      </c>
    </row>
    <row r="341" spans="15:42" ht="14.25" x14ac:dyDescent="0.45">
      <c r="O341" s="43" t="s">
        <v>31</v>
      </c>
      <c r="P341" s="43">
        <v>2</v>
      </c>
      <c r="Q341" s="43">
        <v>15</v>
      </c>
      <c r="R341" s="43">
        <v>1</v>
      </c>
      <c r="S341" s="45"/>
      <c r="T341" t="b">
        <f>(S341+S342+S343)=P3</f>
        <v>0</v>
      </c>
      <c r="X341" s="1">
        <f t="shared" si="28"/>
        <v>0</v>
      </c>
      <c r="Y341" s="48">
        <v>0</v>
      </c>
      <c r="AA341" s="1">
        <v>7</v>
      </c>
      <c r="AB341" s="1" t="s">
        <v>15</v>
      </c>
      <c r="AC341" s="1" t="s">
        <v>21</v>
      </c>
      <c r="AD341" s="1">
        <v>13</v>
      </c>
      <c r="AE341" s="1">
        <v>10</v>
      </c>
      <c r="AF341" s="1">
        <v>0.76</v>
      </c>
      <c r="AG341" s="1">
        <v>0.84</v>
      </c>
      <c r="AH341" s="1">
        <v>0</v>
      </c>
      <c r="AI341" s="1">
        <v>0</v>
      </c>
      <c r="AJ341" s="1">
        <f t="shared" si="29"/>
        <v>0</v>
      </c>
      <c r="AK341" s="1">
        <f>C36</f>
        <v>0</v>
      </c>
      <c r="AL341" s="1">
        <f>C42</f>
        <v>0</v>
      </c>
      <c r="AM341" s="1">
        <f t="shared" si="30"/>
        <v>0</v>
      </c>
      <c r="AN341" s="1">
        <f t="shared" si="31"/>
        <v>0</v>
      </c>
      <c r="AO341" s="1">
        <f t="shared" si="32"/>
        <v>0</v>
      </c>
      <c r="AP341" t="b" cm="1">
        <f t="array" ref="AP341">INDEX($AU$8:$BB$25,6*(R341-1)+MATCH(AB341,$AS$8:$AS$13,0),MATCH(O341,$AU$7:$BB$7,0))</f>
        <v>1</v>
      </c>
    </row>
    <row r="342" spans="15:42" ht="14.25" x14ac:dyDescent="0.45">
      <c r="O342" s="43" t="s">
        <v>31</v>
      </c>
      <c r="P342" s="43">
        <v>2</v>
      </c>
      <c r="Q342" s="43">
        <v>15</v>
      </c>
      <c r="R342" s="43">
        <v>2</v>
      </c>
      <c r="S342" s="45"/>
      <c r="T342" t="b">
        <f>(S341+S342+S343)=P3</f>
        <v>0</v>
      </c>
      <c r="X342" s="1">
        <f t="shared" si="28"/>
        <v>0</v>
      </c>
      <c r="Y342" s="48">
        <v>0</v>
      </c>
      <c r="AA342" s="1">
        <v>7</v>
      </c>
      <c r="AB342" s="1" t="s">
        <v>15</v>
      </c>
      <c r="AC342" s="1" t="s">
        <v>21</v>
      </c>
      <c r="AD342" s="1">
        <v>13</v>
      </c>
      <c r="AE342" s="1">
        <v>10</v>
      </c>
      <c r="AF342" s="1">
        <v>0.76</v>
      </c>
      <c r="AG342" s="1">
        <v>0.84</v>
      </c>
      <c r="AH342" s="1">
        <v>0</v>
      </c>
      <c r="AI342" s="1">
        <v>0</v>
      </c>
      <c r="AJ342" s="1">
        <f t="shared" si="29"/>
        <v>0</v>
      </c>
      <c r="AK342" s="1">
        <f>D36</f>
        <v>0</v>
      </c>
      <c r="AL342" s="1">
        <f>D42</f>
        <v>0</v>
      </c>
      <c r="AM342" s="1">
        <f t="shared" si="30"/>
        <v>0</v>
      </c>
      <c r="AN342" s="1">
        <f t="shared" si="31"/>
        <v>0</v>
      </c>
      <c r="AO342" s="1">
        <f t="shared" si="32"/>
        <v>0</v>
      </c>
      <c r="AP342" t="b" cm="1">
        <f t="array" ref="AP342">INDEX($AU$8:$BB$25,6*(R342-1)+MATCH(AB342,$AS$8:$AS$13,0),MATCH(O342,$AU$7:$BB$7,0))</f>
        <v>1</v>
      </c>
    </row>
    <row r="343" spans="15:42" ht="14.25" x14ac:dyDescent="0.45">
      <c r="O343" s="43" t="s">
        <v>31</v>
      </c>
      <c r="P343" s="43">
        <v>2</v>
      </c>
      <c r="Q343" s="43">
        <v>15</v>
      </c>
      <c r="R343" s="43">
        <v>3</v>
      </c>
      <c r="S343" s="45"/>
      <c r="T343" t="b">
        <f>(S341+S342+S343)=P3</f>
        <v>0</v>
      </c>
      <c r="X343" s="1">
        <f t="shared" si="28"/>
        <v>0</v>
      </c>
      <c r="Y343" s="48">
        <v>0</v>
      </c>
      <c r="AA343" s="1">
        <v>7</v>
      </c>
      <c r="AB343" s="1" t="s">
        <v>15</v>
      </c>
      <c r="AC343" s="1" t="s">
        <v>21</v>
      </c>
      <c r="AD343" s="1">
        <v>13</v>
      </c>
      <c r="AE343" s="1">
        <v>10</v>
      </c>
      <c r="AF343" s="1">
        <v>0.76</v>
      </c>
      <c r="AG343" s="1">
        <v>0.84</v>
      </c>
      <c r="AH343" s="1">
        <v>0</v>
      </c>
      <c r="AI343" s="1">
        <v>0</v>
      </c>
      <c r="AJ343" s="1">
        <f t="shared" si="29"/>
        <v>0</v>
      </c>
      <c r="AK343" s="1">
        <f>E36</f>
        <v>0</v>
      </c>
      <c r="AL343" s="1">
        <f>E42</f>
        <v>0</v>
      </c>
      <c r="AM343" s="1">
        <f t="shared" si="30"/>
        <v>0</v>
      </c>
      <c r="AN343" s="1">
        <f t="shared" si="31"/>
        <v>0</v>
      </c>
      <c r="AO343" s="1">
        <f t="shared" si="32"/>
        <v>0</v>
      </c>
      <c r="AP343" t="b" cm="1">
        <f t="array" ref="AP343">INDEX($AU$8:$BB$25,6*(R343-1)+MATCH(AB343,$AS$8:$AS$13,0),MATCH(O343,$AU$7:$BB$7,0))</f>
        <v>1</v>
      </c>
    </row>
    <row r="344" spans="15:42" ht="14.25" x14ac:dyDescent="0.45">
      <c r="O344" s="43" t="s">
        <v>31</v>
      </c>
      <c r="P344" s="43">
        <v>3</v>
      </c>
      <c r="Q344" s="43">
        <v>1</v>
      </c>
      <c r="R344" s="43">
        <v>1</v>
      </c>
      <c r="S344" s="45"/>
      <c r="T344" t="b">
        <f>(S344+S345+S346)=P4</f>
        <v>0</v>
      </c>
      <c r="X344" s="1">
        <v>0</v>
      </c>
      <c r="Y344" s="48">
        <v>0</v>
      </c>
      <c r="AA344" s="1">
        <v>1</v>
      </c>
      <c r="AB344" s="1" t="s">
        <v>13</v>
      </c>
      <c r="AC344" s="1" t="s">
        <v>19</v>
      </c>
      <c r="AD344" s="1">
        <v>21</v>
      </c>
      <c r="AE344" s="1">
        <v>20</v>
      </c>
      <c r="AF344" s="1">
        <v>0.8</v>
      </c>
      <c r="AG344" s="1">
        <v>0.86</v>
      </c>
      <c r="AH344" s="1">
        <v>0</v>
      </c>
      <c r="AI344" s="1">
        <v>0</v>
      </c>
      <c r="AJ344" s="1">
        <f t="shared" si="29"/>
        <v>0</v>
      </c>
      <c r="AK344" s="1">
        <f>C34</f>
        <v>0</v>
      </c>
      <c r="AL344" s="1">
        <f>C40</f>
        <v>0</v>
      </c>
      <c r="AM344" s="1">
        <f t="shared" si="30"/>
        <v>0</v>
      </c>
      <c r="AN344" s="1">
        <f t="shared" si="31"/>
        <v>0</v>
      </c>
      <c r="AO344" s="1">
        <f t="shared" si="32"/>
        <v>0</v>
      </c>
      <c r="AP344" t="b" cm="1">
        <f t="array" ref="AP344">INDEX($AU$8:$BB$25,6*(R344-1)+MATCH(AB344,$AS$8:$AS$13,0),MATCH(O344,$AU$7:$BB$7,0))</f>
        <v>1</v>
      </c>
    </row>
    <row r="345" spans="15:42" ht="14.25" x14ac:dyDescent="0.45">
      <c r="O345" s="43" t="s">
        <v>31</v>
      </c>
      <c r="P345" s="43">
        <v>3</v>
      </c>
      <c r="Q345" s="43">
        <v>1</v>
      </c>
      <c r="R345" s="43">
        <v>2</v>
      </c>
      <c r="S345" s="45"/>
      <c r="T345" t="b">
        <f>(S344+S345+S346)=P4</f>
        <v>0</v>
      </c>
      <c r="X345" s="1">
        <v>0</v>
      </c>
      <c r="Y345" s="48">
        <v>0</v>
      </c>
      <c r="AA345" s="1">
        <v>1</v>
      </c>
      <c r="AB345" s="1" t="s">
        <v>13</v>
      </c>
      <c r="AC345" s="1" t="s">
        <v>19</v>
      </c>
      <c r="AD345" s="1">
        <v>21</v>
      </c>
      <c r="AE345" s="1">
        <v>20</v>
      </c>
      <c r="AF345" s="1">
        <v>0.8</v>
      </c>
      <c r="AG345" s="1">
        <v>0.86</v>
      </c>
      <c r="AH345" s="1">
        <v>0</v>
      </c>
      <c r="AI345" s="1">
        <v>0</v>
      </c>
      <c r="AJ345" s="1">
        <f t="shared" si="29"/>
        <v>0</v>
      </c>
      <c r="AK345" s="1">
        <f>D34</f>
        <v>0</v>
      </c>
      <c r="AL345" s="1">
        <f>D40</f>
        <v>0</v>
      </c>
      <c r="AM345" s="1">
        <f t="shared" si="30"/>
        <v>0</v>
      </c>
      <c r="AN345" s="1">
        <f t="shared" si="31"/>
        <v>0</v>
      </c>
      <c r="AO345" s="1">
        <f t="shared" si="32"/>
        <v>0</v>
      </c>
      <c r="AP345" t="b" cm="1">
        <f t="array" ref="AP345">INDEX($AU$8:$BB$25,6*(R345-1)+MATCH(AB345,$AS$8:$AS$13,0),MATCH(O345,$AU$7:$BB$7,0))</f>
        <v>1</v>
      </c>
    </row>
    <row r="346" spans="15:42" ht="14.25" x14ac:dyDescent="0.45">
      <c r="O346" s="43" t="s">
        <v>31</v>
      </c>
      <c r="P346" s="43">
        <v>3</v>
      </c>
      <c r="Q346" s="43">
        <v>1</v>
      </c>
      <c r="R346" s="43">
        <v>3</v>
      </c>
      <c r="S346" s="45"/>
      <c r="T346" t="b">
        <f>(S344+S345+S346)=P4</f>
        <v>0</v>
      </c>
      <c r="X346" s="1">
        <v>0</v>
      </c>
      <c r="Y346" s="48">
        <v>0</v>
      </c>
      <c r="AA346" s="1">
        <v>1</v>
      </c>
      <c r="AB346" s="1" t="s">
        <v>13</v>
      </c>
      <c r="AC346" s="1" t="s">
        <v>19</v>
      </c>
      <c r="AD346" s="1">
        <v>21</v>
      </c>
      <c r="AE346" s="1">
        <v>20</v>
      </c>
      <c r="AF346" s="1">
        <v>0.8</v>
      </c>
      <c r="AG346" s="1">
        <v>0.86</v>
      </c>
      <c r="AH346" s="1">
        <v>0</v>
      </c>
      <c r="AI346" s="1">
        <v>0</v>
      </c>
      <c r="AJ346" s="1">
        <f t="shared" si="29"/>
        <v>0</v>
      </c>
      <c r="AK346" s="1">
        <f>E34</f>
        <v>0</v>
      </c>
      <c r="AL346" s="1">
        <f>E40</f>
        <v>0</v>
      </c>
      <c r="AM346" s="1">
        <f t="shared" si="30"/>
        <v>0</v>
      </c>
      <c r="AN346" s="1">
        <f t="shared" si="31"/>
        <v>0</v>
      </c>
      <c r="AO346" s="1">
        <f t="shared" si="32"/>
        <v>0</v>
      </c>
      <c r="AP346" t="b" cm="1">
        <f t="array" ref="AP346">INDEX($AU$8:$BB$25,6*(R346-1)+MATCH(AB346,$AS$8:$AS$13,0),MATCH(O346,$AU$7:$BB$7,0))</f>
        <v>1</v>
      </c>
    </row>
    <row r="347" spans="15:42" ht="14.25" x14ac:dyDescent="0.45">
      <c r="O347" s="43" t="s">
        <v>31</v>
      </c>
      <c r="P347" s="43">
        <v>3</v>
      </c>
      <c r="Q347" s="43">
        <v>2</v>
      </c>
      <c r="R347" s="43">
        <v>1</v>
      </c>
      <c r="S347" s="45"/>
      <c r="T347" t="b">
        <f>(S347+S348+S349)=P4</f>
        <v>0</v>
      </c>
      <c r="X347" s="1">
        <f t="shared" ref="X347:X394" si="33">MAX(S344-S347,0)</f>
        <v>0</v>
      </c>
      <c r="Y347" s="48">
        <v>0</v>
      </c>
      <c r="AA347" s="1">
        <v>8</v>
      </c>
      <c r="AB347" s="1" t="s">
        <v>14</v>
      </c>
      <c r="AC347" s="1" t="s">
        <v>20</v>
      </c>
      <c r="AD347" s="1">
        <v>9</v>
      </c>
      <c r="AE347" s="1">
        <v>7</v>
      </c>
      <c r="AF347" s="1">
        <v>0.8</v>
      </c>
      <c r="AG347" s="1">
        <v>0.88</v>
      </c>
      <c r="AH347" s="1">
        <v>0</v>
      </c>
      <c r="AI347" s="1">
        <v>0</v>
      </c>
      <c r="AJ347" s="1">
        <f t="shared" si="29"/>
        <v>0</v>
      </c>
      <c r="AK347" s="1">
        <f>C35</f>
        <v>0</v>
      </c>
      <c r="AL347" s="1">
        <f>C41</f>
        <v>0</v>
      </c>
      <c r="AM347" s="1">
        <f t="shared" si="30"/>
        <v>0</v>
      </c>
      <c r="AN347" s="1">
        <f t="shared" si="31"/>
        <v>0</v>
      </c>
      <c r="AO347" s="1">
        <f t="shared" si="32"/>
        <v>0</v>
      </c>
      <c r="AP347" t="b" cm="1">
        <f t="array" ref="AP347">INDEX($AU$8:$BB$25,6*(R347-1)+MATCH(AB347,$AS$8:$AS$13,0),MATCH(O347,$AU$7:$BB$7,0))</f>
        <v>1</v>
      </c>
    </row>
    <row r="348" spans="15:42" ht="14.25" x14ac:dyDescent="0.45">
      <c r="O348" s="43" t="s">
        <v>31</v>
      </c>
      <c r="P348" s="43">
        <v>3</v>
      </c>
      <c r="Q348" s="43">
        <v>2</v>
      </c>
      <c r="R348" s="43">
        <v>2</v>
      </c>
      <c r="S348" s="45"/>
      <c r="T348" t="b">
        <f>(S347+S348+S349)=P4</f>
        <v>0</v>
      </c>
      <c r="X348" s="1">
        <f t="shared" si="33"/>
        <v>0</v>
      </c>
      <c r="Y348" s="48">
        <v>0</v>
      </c>
      <c r="AA348" s="1">
        <v>8</v>
      </c>
      <c r="AB348" s="1" t="s">
        <v>14</v>
      </c>
      <c r="AC348" s="1" t="s">
        <v>20</v>
      </c>
      <c r="AD348" s="1">
        <v>9</v>
      </c>
      <c r="AE348" s="1">
        <v>7</v>
      </c>
      <c r="AF348" s="1">
        <v>0.8</v>
      </c>
      <c r="AG348" s="1">
        <v>0.88</v>
      </c>
      <c r="AH348" s="1">
        <v>0</v>
      </c>
      <c r="AI348" s="1">
        <v>0</v>
      </c>
      <c r="AJ348" s="1">
        <f t="shared" si="29"/>
        <v>0</v>
      </c>
      <c r="AK348" s="1">
        <f>D35</f>
        <v>0</v>
      </c>
      <c r="AL348" s="1">
        <f>D41</f>
        <v>0</v>
      </c>
      <c r="AM348" s="1">
        <f t="shared" si="30"/>
        <v>0</v>
      </c>
      <c r="AN348" s="1">
        <f t="shared" si="31"/>
        <v>0</v>
      </c>
      <c r="AO348" s="1">
        <f t="shared" si="32"/>
        <v>0</v>
      </c>
      <c r="AP348" t="b" cm="1">
        <f t="array" ref="AP348">INDEX($AU$8:$BB$25,6*(R348-1)+MATCH(AB348,$AS$8:$AS$13,0),MATCH(O348,$AU$7:$BB$7,0))</f>
        <v>1</v>
      </c>
    </row>
    <row r="349" spans="15:42" ht="14.25" x14ac:dyDescent="0.45">
      <c r="O349" s="43" t="s">
        <v>31</v>
      </c>
      <c r="P349" s="43">
        <v>3</v>
      </c>
      <c r="Q349" s="43">
        <v>2</v>
      </c>
      <c r="R349" s="43">
        <v>3</v>
      </c>
      <c r="S349" s="45"/>
      <c r="T349" t="b">
        <f>(S347+S348+S349)=P4</f>
        <v>0</v>
      </c>
      <c r="X349" s="1">
        <f t="shared" si="33"/>
        <v>0</v>
      </c>
      <c r="Y349" s="48">
        <v>0</v>
      </c>
      <c r="AA349" s="1">
        <v>8</v>
      </c>
      <c r="AB349" s="1" t="s">
        <v>14</v>
      </c>
      <c r="AC349" s="1" t="s">
        <v>20</v>
      </c>
      <c r="AD349" s="1">
        <v>9</v>
      </c>
      <c r="AE349" s="1">
        <v>7</v>
      </c>
      <c r="AF349" s="1">
        <v>0.8</v>
      </c>
      <c r="AG349" s="1">
        <v>0.88</v>
      </c>
      <c r="AH349" s="1">
        <v>0</v>
      </c>
      <c r="AI349" s="1">
        <v>0</v>
      </c>
      <c r="AJ349" s="1">
        <f t="shared" si="29"/>
        <v>0</v>
      </c>
      <c r="AK349" s="1">
        <f>E35</f>
        <v>0</v>
      </c>
      <c r="AL349" s="1">
        <f>E41</f>
        <v>0</v>
      </c>
      <c r="AM349" s="1">
        <f t="shared" si="30"/>
        <v>0</v>
      </c>
      <c r="AN349" s="1">
        <f t="shared" si="31"/>
        <v>0</v>
      </c>
      <c r="AO349" s="1">
        <f t="shared" si="32"/>
        <v>0</v>
      </c>
      <c r="AP349" t="b" cm="1">
        <f t="array" ref="AP349">INDEX($AU$8:$BB$25,6*(R349-1)+MATCH(AB349,$AS$8:$AS$13,0),MATCH(O349,$AU$7:$BB$7,0))</f>
        <v>1</v>
      </c>
    </row>
    <row r="350" spans="15:42" ht="14.25" x14ac:dyDescent="0.45">
      <c r="O350" s="43" t="s">
        <v>31</v>
      </c>
      <c r="P350" s="43">
        <v>3</v>
      </c>
      <c r="Q350" s="43">
        <v>3</v>
      </c>
      <c r="R350" s="43">
        <v>1</v>
      </c>
      <c r="S350" s="45"/>
      <c r="T350" t="b">
        <f>(S350+S351+S352)=P4</f>
        <v>0</v>
      </c>
      <c r="X350" s="1">
        <f t="shared" si="33"/>
        <v>0</v>
      </c>
      <c r="Y350" s="48">
        <v>0</v>
      </c>
      <c r="AA350" s="1">
        <v>1</v>
      </c>
      <c r="AB350" s="1" t="s">
        <v>15</v>
      </c>
      <c r="AC350" s="1" t="s">
        <v>21</v>
      </c>
      <c r="AD350" s="1">
        <v>24</v>
      </c>
      <c r="AE350" s="1">
        <v>23</v>
      </c>
      <c r="AF350" s="1">
        <v>0.76</v>
      </c>
      <c r="AG350" s="1">
        <v>0.84</v>
      </c>
      <c r="AH350" s="1">
        <v>0</v>
      </c>
      <c r="AI350" s="1">
        <v>0</v>
      </c>
      <c r="AJ350" s="1">
        <f t="shared" si="29"/>
        <v>0</v>
      </c>
      <c r="AK350" s="1">
        <f>C36</f>
        <v>0</v>
      </c>
      <c r="AL350" s="1">
        <f>C42</f>
        <v>0</v>
      </c>
      <c r="AM350" s="1">
        <f t="shared" si="30"/>
        <v>0</v>
      </c>
      <c r="AN350" s="1">
        <f t="shared" si="31"/>
        <v>0</v>
      </c>
      <c r="AO350" s="1">
        <f t="shared" si="32"/>
        <v>0</v>
      </c>
      <c r="AP350" t="b" cm="1">
        <f t="array" ref="AP350">INDEX($AU$8:$BB$25,6*(R350-1)+MATCH(AB350,$AS$8:$AS$13,0),MATCH(O350,$AU$7:$BB$7,0))</f>
        <v>1</v>
      </c>
    </row>
    <row r="351" spans="15:42" ht="14.25" x14ac:dyDescent="0.45">
      <c r="O351" s="43" t="s">
        <v>31</v>
      </c>
      <c r="P351" s="43">
        <v>3</v>
      </c>
      <c r="Q351" s="43">
        <v>3</v>
      </c>
      <c r="R351" s="43">
        <v>2</v>
      </c>
      <c r="S351" s="45"/>
      <c r="T351" t="b">
        <f>(S350+S351+S352)=P4</f>
        <v>0</v>
      </c>
      <c r="X351" s="1">
        <f t="shared" si="33"/>
        <v>0</v>
      </c>
      <c r="Y351" s="48">
        <v>0</v>
      </c>
      <c r="AA351" s="1">
        <v>1</v>
      </c>
      <c r="AB351" s="1" t="s">
        <v>15</v>
      </c>
      <c r="AC351" s="1" t="s">
        <v>21</v>
      </c>
      <c r="AD351" s="1">
        <v>24</v>
      </c>
      <c r="AE351" s="1">
        <v>23</v>
      </c>
      <c r="AF351" s="1">
        <v>0.76</v>
      </c>
      <c r="AG351" s="1">
        <v>0.84</v>
      </c>
      <c r="AH351" s="1">
        <v>0</v>
      </c>
      <c r="AI351" s="1">
        <v>0</v>
      </c>
      <c r="AJ351" s="1">
        <f t="shared" si="29"/>
        <v>0</v>
      </c>
      <c r="AK351" s="1">
        <f>D36</f>
        <v>0</v>
      </c>
      <c r="AL351" s="1">
        <f>D42</f>
        <v>0</v>
      </c>
      <c r="AM351" s="1">
        <f t="shared" si="30"/>
        <v>0</v>
      </c>
      <c r="AN351" s="1">
        <f t="shared" si="31"/>
        <v>0</v>
      </c>
      <c r="AO351" s="1">
        <f t="shared" si="32"/>
        <v>0</v>
      </c>
      <c r="AP351" t="b" cm="1">
        <f t="array" ref="AP351">INDEX($AU$8:$BB$25,6*(R351-1)+MATCH(AB351,$AS$8:$AS$13,0),MATCH(O351,$AU$7:$BB$7,0))</f>
        <v>1</v>
      </c>
    </row>
    <row r="352" spans="15:42" ht="14.25" x14ac:dyDescent="0.45">
      <c r="O352" s="43" t="s">
        <v>31</v>
      </c>
      <c r="P352" s="43">
        <v>3</v>
      </c>
      <c r="Q352" s="43">
        <v>3</v>
      </c>
      <c r="R352" s="43">
        <v>3</v>
      </c>
      <c r="S352" s="45"/>
      <c r="T352" t="b">
        <f>(S350+S351+S352)=P4</f>
        <v>0</v>
      </c>
      <c r="X352" s="1">
        <f t="shared" si="33"/>
        <v>0</v>
      </c>
      <c r="Y352" s="48">
        <v>0</v>
      </c>
      <c r="AA352" s="1">
        <v>1</v>
      </c>
      <c r="AB352" s="1" t="s">
        <v>15</v>
      </c>
      <c r="AC352" s="1" t="s">
        <v>21</v>
      </c>
      <c r="AD352" s="1">
        <v>24</v>
      </c>
      <c r="AE352" s="1">
        <v>23</v>
      </c>
      <c r="AF352" s="1">
        <v>0.76</v>
      </c>
      <c r="AG352" s="1">
        <v>0.84</v>
      </c>
      <c r="AH352" s="1">
        <v>0</v>
      </c>
      <c r="AI352" s="1">
        <v>0</v>
      </c>
      <c r="AJ352" s="1">
        <f t="shared" si="29"/>
        <v>0</v>
      </c>
      <c r="AK352" s="1">
        <f>E36</f>
        <v>0</v>
      </c>
      <c r="AL352" s="1">
        <f>E42</f>
        <v>0</v>
      </c>
      <c r="AM352" s="1">
        <f t="shared" si="30"/>
        <v>0</v>
      </c>
      <c r="AN352" s="1">
        <f t="shared" si="31"/>
        <v>0</v>
      </c>
      <c r="AO352" s="1">
        <f t="shared" si="32"/>
        <v>0</v>
      </c>
      <c r="AP352" t="b" cm="1">
        <f t="array" ref="AP352">INDEX($AU$8:$BB$25,6*(R352-1)+MATCH(AB352,$AS$8:$AS$13,0),MATCH(O352,$AU$7:$BB$7,0))</f>
        <v>1</v>
      </c>
    </row>
    <row r="353" spans="15:42" ht="14.25" x14ac:dyDescent="0.45">
      <c r="O353" s="43" t="s">
        <v>31</v>
      </c>
      <c r="P353" s="43">
        <v>3</v>
      </c>
      <c r="Q353" s="43">
        <v>4</v>
      </c>
      <c r="R353" s="43">
        <v>1</v>
      </c>
      <c r="S353" s="45"/>
      <c r="T353" t="b">
        <f>(S353+S354+S355)=P4</f>
        <v>0</v>
      </c>
      <c r="X353" s="1">
        <f t="shared" si="33"/>
        <v>0</v>
      </c>
      <c r="Y353" s="48">
        <v>0</v>
      </c>
      <c r="AA353" s="1">
        <v>9</v>
      </c>
      <c r="AB353" s="1" t="s">
        <v>15</v>
      </c>
      <c r="AC353" s="1" t="s">
        <v>21</v>
      </c>
      <c r="AD353" s="1">
        <v>15</v>
      </c>
      <c r="AE353" s="1">
        <v>11</v>
      </c>
      <c r="AF353" s="1">
        <v>0.76</v>
      </c>
      <c r="AG353" s="1">
        <v>0.84</v>
      </c>
      <c r="AH353" s="1">
        <v>0</v>
      </c>
      <c r="AI353" s="1">
        <v>0</v>
      </c>
      <c r="AJ353" s="1">
        <f t="shared" si="29"/>
        <v>0</v>
      </c>
      <c r="AK353" s="1">
        <f>C36</f>
        <v>0</v>
      </c>
      <c r="AL353" s="1">
        <f>C42</f>
        <v>0</v>
      </c>
      <c r="AM353" s="1">
        <f t="shared" si="30"/>
        <v>0</v>
      </c>
      <c r="AN353" s="1">
        <f t="shared" si="31"/>
        <v>0</v>
      </c>
      <c r="AO353" s="1">
        <f t="shared" si="32"/>
        <v>0</v>
      </c>
      <c r="AP353" t="b" cm="1">
        <f t="array" ref="AP353">INDEX($AU$8:$BB$25,6*(R353-1)+MATCH(AB353,$AS$8:$AS$13,0),MATCH(O353,$AU$7:$BB$7,0))</f>
        <v>1</v>
      </c>
    </row>
    <row r="354" spans="15:42" ht="14.25" x14ac:dyDescent="0.45">
      <c r="O354" s="43" t="s">
        <v>31</v>
      </c>
      <c r="P354" s="43">
        <v>3</v>
      </c>
      <c r="Q354" s="43">
        <v>4</v>
      </c>
      <c r="R354" s="43">
        <v>2</v>
      </c>
      <c r="S354" s="45"/>
      <c r="T354" t="b">
        <f>(S353+S354+S355)=P4</f>
        <v>0</v>
      </c>
      <c r="X354" s="1">
        <f t="shared" si="33"/>
        <v>0</v>
      </c>
      <c r="Y354" s="48">
        <v>0</v>
      </c>
      <c r="AA354" s="1">
        <v>9</v>
      </c>
      <c r="AB354" s="1" t="s">
        <v>15</v>
      </c>
      <c r="AC354" s="1" t="s">
        <v>21</v>
      </c>
      <c r="AD354" s="1">
        <v>15</v>
      </c>
      <c r="AE354" s="1">
        <v>11</v>
      </c>
      <c r="AF354" s="1">
        <v>0.76</v>
      </c>
      <c r="AG354" s="1">
        <v>0.84</v>
      </c>
      <c r="AH354" s="1">
        <v>0</v>
      </c>
      <c r="AI354" s="1">
        <v>0</v>
      </c>
      <c r="AJ354" s="1">
        <f t="shared" si="29"/>
        <v>0</v>
      </c>
      <c r="AK354" s="1">
        <f>D36</f>
        <v>0</v>
      </c>
      <c r="AL354" s="1">
        <f>D42</f>
        <v>0</v>
      </c>
      <c r="AM354" s="1">
        <f t="shared" si="30"/>
        <v>0</v>
      </c>
      <c r="AN354" s="1">
        <f t="shared" si="31"/>
        <v>0</v>
      </c>
      <c r="AO354" s="1">
        <f t="shared" si="32"/>
        <v>0</v>
      </c>
      <c r="AP354" t="b" cm="1">
        <f t="array" ref="AP354">INDEX($AU$8:$BB$25,6*(R354-1)+MATCH(AB354,$AS$8:$AS$13,0),MATCH(O354,$AU$7:$BB$7,0))</f>
        <v>1</v>
      </c>
    </row>
    <row r="355" spans="15:42" ht="14.25" x14ac:dyDescent="0.45">
      <c r="O355" s="43" t="s">
        <v>31</v>
      </c>
      <c r="P355" s="43">
        <v>3</v>
      </c>
      <c r="Q355" s="43">
        <v>4</v>
      </c>
      <c r="R355" s="43">
        <v>3</v>
      </c>
      <c r="S355" s="45"/>
      <c r="T355" t="b">
        <f>(S353+S354+S355)=P4</f>
        <v>0</v>
      </c>
      <c r="X355" s="1">
        <f t="shared" si="33"/>
        <v>0</v>
      </c>
      <c r="Y355" s="48">
        <v>0</v>
      </c>
      <c r="AA355" s="1">
        <v>9</v>
      </c>
      <c r="AB355" s="1" t="s">
        <v>15</v>
      </c>
      <c r="AC355" s="1" t="s">
        <v>21</v>
      </c>
      <c r="AD355" s="1">
        <v>15</v>
      </c>
      <c r="AE355" s="1">
        <v>11</v>
      </c>
      <c r="AF355" s="1">
        <v>0.76</v>
      </c>
      <c r="AG355" s="1">
        <v>0.84</v>
      </c>
      <c r="AH355" s="1">
        <v>0</v>
      </c>
      <c r="AI355" s="1">
        <v>0</v>
      </c>
      <c r="AJ355" s="1">
        <f t="shared" si="29"/>
        <v>0</v>
      </c>
      <c r="AK355" s="1">
        <f>E36</f>
        <v>0</v>
      </c>
      <c r="AL355" s="1">
        <f>E42</f>
        <v>0</v>
      </c>
      <c r="AM355" s="1">
        <f t="shared" si="30"/>
        <v>0</v>
      </c>
      <c r="AN355" s="1">
        <f t="shared" si="31"/>
        <v>0</v>
      </c>
      <c r="AO355" s="1">
        <f t="shared" si="32"/>
        <v>0</v>
      </c>
      <c r="AP355" t="b" cm="1">
        <f t="array" ref="AP355">INDEX($AU$8:$BB$25,6*(R355-1)+MATCH(AB355,$AS$8:$AS$13,0),MATCH(O355,$AU$7:$BB$7,0))</f>
        <v>1</v>
      </c>
    </row>
    <row r="356" spans="15:42" ht="14.25" x14ac:dyDescent="0.45">
      <c r="O356" s="43" t="s">
        <v>31</v>
      </c>
      <c r="P356" s="43">
        <v>3</v>
      </c>
      <c r="Q356" s="43">
        <v>5</v>
      </c>
      <c r="R356" s="43">
        <v>1</v>
      </c>
      <c r="S356" s="45"/>
      <c r="T356" t="b">
        <f>(S356+S357+S358)=P4</f>
        <v>0</v>
      </c>
      <c r="X356" s="1">
        <f t="shared" si="33"/>
        <v>0</v>
      </c>
      <c r="Y356" s="48">
        <v>0</v>
      </c>
      <c r="AA356" s="1">
        <v>6</v>
      </c>
      <c r="AB356" s="1" t="s">
        <v>16</v>
      </c>
      <c r="AC356" s="1" t="s">
        <v>22</v>
      </c>
      <c r="AD356" s="1">
        <v>16</v>
      </c>
      <c r="AE356" s="1">
        <v>14</v>
      </c>
      <c r="AF356" s="1">
        <v>0.8</v>
      </c>
      <c r="AG356" s="1">
        <v>0.9</v>
      </c>
      <c r="AH356" s="1">
        <v>0</v>
      </c>
      <c r="AI356" s="1">
        <v>0</v>
      </c>
      <c r="AJ356" s="1">
        <f t="shared" si="29"/>
        <v>0</v>
      </c>
      <c r="AK356" s="1">
        <f>C37</f>
        <v>0</v>
      </c>
      <c r="AL356" s="1">
        <f>C43</f>
        <v>0</v>
      </c>
      <c r="AM356" s="1">
        <f t="shared" si="30"/>
        <v>0</v>
      </c>
      <c r="AN356" s="1">
        <f t="shared" si="31"/>
        <v>0</v>
      </c>
      <c r="AO356" s="1">
        <f t="shared" si="32"/>
        <v>0</v>
      </c>
      <c r="AP356" t="b" cm="1">
        <f t="array" ref="AP356">INDEX($AU$8:$BB$25,6*(R356-1)+MATCH(AB356,$AS$8:$AS$13,0),MATCH(O356,$AU$7:$BB$7,0))</f>
        <v>1</v>
      </c>
    </row>
    <row r="357" spans="15:42" ht="14.25" x14ac:dyDescent="0.45">
      <c r="O357" s="43" t="s">
        <v>31</v>
      </c>
      <c r="P357" s="43">
        <v>3</v>
      </c>
      <c r="Q357" s="43">
        <v>5</v>
      </c>
      <c r="R357" s="43">
        <v>2</v>
      </c>
      <c r="S357" s="45"/>
      <c r="T357" t="b">
        <f>(S356+S357+S358)=P4</f>
        <v>0</v>
      </c>
      <c r="X357" s="1">
        <f t="shared" si="33"/>
        <v>0</v>
      </c>
      <c r="Y357" s="48">
        <v>0</v>
      </c>
      <c r="AA357" s="1">
        <v>6</v>
      </c>
      <c r="AB357" s="1" t="s">
        <v>16</v>
      </c>
      <c r="AC357" s="1" t="s">
        <v>22</v>
      </c>
      <c r="AD357" s="1">
        <v>16</v>
      </c>
      <c r="AE357" s="1">
        <v>14</v>
      </c>
      <c r="AF357" s="1">
        <v>0.8</v>
      </c>
      <c r="AG357" s="1">
        <v>0.9</v>
      </c>
      <c r="AH357" s="1">
        <v>0</v>
      </c>
      <c r="AI357" s="1">
        <v>0</v>
      </c>
      <c r="AJ357" s="1">
        <f t="shared" si="29"/>
        <v>0</v>
      </c>
      <c r="AK357" s="1">
        <f>D37</f>
        <v>0</v>
      </c>
      <c r="AL357" s="1">
        <f>D43</f>
        <v>0</v>
      </c>
      <c r="AM357" s="1">
        <f t="shared" si="30"/>
        <v>0</v>
      </c>
      <c r="AN357" s="1">
        <f t="shared" si="31"/>
        <v>0</v>
      </c>
      <c r="AO357" s="1">
        <f t="shared" si="32"/>
        <v>0</v>
      </c>
      <c r="AP357" t="b" cm="1">
        <f t="array" ref="AP357">INDEX($AU$8:$BB$25,6*(R357-1)+MATCH(AB357,$AS$8:$AS$13,0),MATCH(O357,$AU$7:$BB$7,0))</f>
        <v>1</v>
      </c>
    </row>
    <row r="358" spans="15:42" ht="14.25" x14ac:dyDescent="0.45">
      <c r="O358" s="43" t="s">
        <v>31</v>
      </c>
      <c r="P358" s="43">
        <v>3</v>
      </c>
      <c r="Q358" s="43">
        <v>5</v>
      </c>
      <c r="R358" s="43">
        <v>3</v>
      </c>
      <c r="S358" s="45"/>
      <c r="T358" t="b">
        <f>(S356+S357+S358)=P4</f>
        <v>0</v>
      </c>
      <c r="X358" s="1">
        <f t="shared" si="33"/>
        <v>0</v>
      </c>
      <c r="Y358" s="48">
        <v>0</v>
      </c>
      <c r="AA358" s="1">
        <v>6</v>
      </c>
      <c r="AB358" s="1" t="s">
        <v>16</v>
      </c>
      <c r="AC358" s="1" t="s">
        <v>22</v>
      </c>
      <c r="AD358" s="1">
        <v>16</v>
      </c>
      <c r="AE358" s="1">
        <v>14</v>
      </c>
      <c r="AF358" s="1">
        <v>0.8</v>
      </c>
      <c r="AG358" s="1">
        <v>0.9</v>
      </c>
      <c r="AH358" s="1">
        <v>0</v>
      </c>
      <c r="AI358" s="1">
        <v>0</v>
      </c>
      <c r="AJ358" s="1">
        <f t="shared" si="29"/>
        <v>0</v>
      </c>
      <c r="AK358" s="1">
        <f>E37</f>
        <v>0</v>
      </c>
      <c r="AL358" s="1">
        <f>E43</f>
        <v>0</v>
      </c>
      <c r="AM358" s="1">
        <f t="shared" si="30"/>
        <v>0</v>
      </c>
      <c r="AN358" s="1">
        <f t="shared" si="31"/>
        <v>0</v>
      </c>
      <c r="AO358" s="1">
        <f t="shared" si="32"/>
        <v>0</v>
      </c>
      <c r="AP358" t="b" cm="1">
        <f t="array" ref="AP358">INDEX($AU$8:$BB$25,6*(R358-1)+MATCH(AB358,$AS$8:$AS$13,0),MATCH(O358,$AU$7:$BB$7,0))</f>
        <v>1</v>
      </c>
    </row>
    <row r="359" spans="15:42" ht="14.25" x14ac:dyDescent="0.45">
      <c r="O359" s="43" t="s">
        <v>31</v>
      </c>
      <c r="P359" s="43">
        <v>3</v>
      </c>
      <c r="Q359" s="43">
        <v>6</v>
      </c>
      <c r="R359" s="43">
        <v>1</v>
      </c>
      <c r="S359" s="45"/>
      <c r="T359" t="b">
        <f>(S359+S360+S361)=P4</f>
        <v>0</v>
      </c>
      <c r="X359" s="1">
        <f t="shared" si="33"/>
        <v>0</v>
      </c>
      <c r="Y359" s="48">
        <v>0</v>
      </c>
      <c r="AA359" s="1">
        <v>1</v>
      </c>
      <c r="AB359" s="1" t="s">
        <v>14</v>
      </c>
      <c r="AC359" s="1" t="s">
        <v>20</v>
      </c>
      <c r="AD359" s="1">
        <v>12</v>
      </c>
      <c r="AE359" s="1">
        <v>11</v>
      </c>
      <c r="AF359" s="1">
        <v>0.8</v>
      </c>
      <c r="AG359" s="1">
        <v>0.88</v>
      </c>
      <c r="AH359" s="1">
        <v>0</v>
      </c>
      <c r="AI359" s="1">
        <v>0</v>
      </c>
      <c r="AJ359" s="1">
        <f t="shared" si="29"/>
        <v>0</v>
      </c>
      <c r="AK359" s="1">
        <f>C35</f>
        <v>0</v>
      </c>
      <c r="AL359" s="1">
        <f>C41</f>
        <v>0</v>
      </c>
      <c r="AM359" s="1">
        <f t="shared" si="30"/>
        <v>0</v>
      </c>
      <c r="AN359" s="1">
        <f t="shared" si="31"/>
        <v>0</v>
      </c>
      <c r="AO359" s="1">
        <f t="shared" si="32"/>
        <v>0</v>
      </c>
      <c r="AP359" t="b" cm="1">
        <f t="array" ref="AP359">INDEX($AU$8:$BB$25,6*(R359-1)+MATCH(AB359,$AS$8:$AS$13,0),MATCH(O359,$AU$7:$BB$7,0))</f>
        <v>1</v>
      </c>
    </row>
    <row r="360" spans="15:42" ht="14.25" x14ac:dyDescent="0.45">
      <c r="O360" s="43" t="s">
        <v>31</v>
      </c>
      <c r="P360" s="43">
        <v>3</v>
      </c>
      <c r="Q360" s="43">
        <v>6</v>
      </c>
      <c r="R360" s="43">
        <v>2</v>
      </c>
      <c r="S360" s="45"/>
      <c r="T360" t="b">
        <f>(S359+S360+S361)=P4</f>
        <v>0</v>
      </c>
      <c r="X360" s="1">
        <f t="shared" si="33"/>
        <v>0</v>
      </c>
      <c r="Y360" s="48">
        <v>0</v>
      </c>
      <c r="AA360" s="1">
        <v>1</v>
      </c>
      <c r="AB360" s="1" t="s">
        <v>14</v>
      </c>
      <c r="AC360" s="1" t="s">
        <v>20</v>
      </c>
      <c r="AD360" s="1">
        <v>12</v>
      </c>
      <c r="AE360" s="1">
        <v>11</v>
      </c>
      <c r="AF360" s="1">
        <v>0.8</v>
      </c>
      <c r="AG360" s="1">
        <v>0.88</v>
      </c>
      <c r="AH360" s="1">
        <v>0</v>
      </c>
      <c r="AI360" s="1">
        <v>0</v>
      </c>
      <c r="AJ360" s="1">
        <f t="shared" si="29"/>
        <v>0</v>
      </c>
      <c r="AK360" s="1">
        <f>D35</f>
        <v>0</v>
      </c>
      <c r="AL360" s="1">
        <f>D41</f>
        <v>0</v>
      </c>
      <c r="AM360" s="1">
        <f t="shared" si="30"/>
        <v>0</v>
      </c>
      <c r="AN360" s="1">
        <f t="shared" si="31"/>
        <v>0</v>
      </c>
      <c r="AO360" s="1">
        <f t="shared" si="32"/>
        <v>0</v>
      </c>
      <c r="AP360" t="b" cm="1">
        <f t="array" ref="AP360">INDEX($AU$8:$BB$25,6*(R360-1)+MATCH(AB360,$AS$8:$AS$13,0),MATCH(O360,$AU$7:$BB$7,0))</f>
        <v>1</v>
      </c>
    </row>
    <row r="361" spans="15:42" ht="14.25" x14ac:dyDescent="0.45">
      <c r="O361" s="43" t="s">
        <v>31</v>
      </c>
      <c r="P361" s="43">
        <v>3</v>
      </c>
      <c r="Q361" s="43">
        <v>6</v>
      </c>
      <c r="R361" s="43">
        <v>3</v>
      </c>
      <c r="S361" s="45"/>
      <c r="T361" t="b">
        <f>(S359+S360+S361)=P4</f>
        <v>0</v>
      </c>
      <c r="X361" s="1">
        <f t="shared" si="33"/>
        <v>0</v>
      </c>
      <c r="Y361" s="48">
        <v>0</v>
      </c>
      <c r="AA361" s="1">
        <v>1</v>
      </c>
      <c r="AB361" s="1" t="s">
        <v>14</v>
      </c>
      <c r="AC361" s="1" t="s">
        <v>20</v>
      </c>
      <c r="AD361" s="1">
        <v>12</v>
      </c>
      <c r="AE361" s="1">
        <v>11</v>
      </c>
      <c r="AF361" s="1">
        <v>0.8</v>
      </c>
      <c r="AG361" s="1">
        <v>0.88</v>
      </c>
      <c r="AH361" s="1">
        <v>0</v>
      </c>
      <c r="AI361" s="1">
        <v>0</v>
      </c>
      <c r="AJ361" s="1">
        <f t="shared" si="29"/>
        <v>0</v>
      </c>
      <c r="AK361" s="1">
        <f>E35</f>
        <v>0</v>
      </c>
      <c r="AL361" s="1">
        <f>E41</f>
        <v>0</v>
      </c>
      <c r="AM361" s="1">
        <f t="shared" si="30"/>
        <v>0</v>
      </c>
      <c r="AN361" s="1">
        <f t="shared" si="31"/>
        <v>0</v>
      </c>
      <c r="AO361" s="1">
        <f t="shared" si="32"/>
        <v>0</v>
      </c>
      <c r="AP361" t="b" cm="1">
        <f t="array" ref="AP361">INDEX($AU$8:$BB$25,6*(R361-1)+MATCH(AB361,$AS$8:$AS$13,0),MATCH(O361,$AU$7:$BB$7,0))</f>
        <v>1</v>
      </c>
    </row>
    <row r="362" spans="15:42" ht="14.25" x14ac:dyDescent="0.45">
      <c r="O362" s="43" t="s">
        <v>31</v>
      </c>
      <c r="P362" s="43">
        <v>3</v>
      </c>
      <c r="Q362" s="43">
        <v>7</v>
      </c>
      <c r="R362" s="43">
        <v>1</v>
      </c>
      <c r="S362" s="45"/>
      <c r="T362" t="b">
        <f>(S362+S363+S364)=P4</f>
        <v>0</v>
      </c>
      <c r="X362" s="1">
        <f t="shared" si="33"/>
        <v>0</v>
      </c>
      <c r="Y362" s="48">
        <v>0</v>
      </c>
      <c r="AA362" s="1">
        <v>3</v>
      </c>
      <c r="AB362" s="1" t="s">
        <v>13</v>
      </c>
      <c r="AC362" s="1" t="s">
        <v>19</v>
      </c>
      <c r="AD362" s="1">
        <v>24</v>
      </c>
      <c r="AE362" s="1">
        <v>21</v>
      </c>
      <c r="AF362" s="1">
        <v>0.8</v>
      </c>
      <c r="AG362" s="1">
        <v>0.86</v>
      </c>
      <c r="AH362" s="1">
        <v>0</v>
      </c>
      <c r="AI362" s="1">
        <v>0</v>
      </c>
      <c r="AJ362" s="1">
        <f t="shared" si="29"/>
        <v>0</v>
      </c>
      <c r="AK362" s="1">
        <f>C34</f>
        <v>0</v>
      </c>
      <c r="AL362" s="1">
        <f>C40</f>
        <v>0</v>
      </c>
      <c r="AM362" s="1">
        <f t="shared" si="30"/>
        <v>0</v>
      </c>
      <c r="AN362" s="1">
        <f t="shared" si="31"/>
        <v>0</v>
      </c>
      <c r="AO362" s="1">
        <f t="shared" si="32"/>
        <v>0</v>
      </c>
      <c r="AP362" t="b" cm="1">
        <f t="array" ref="AP362">INDEX($AU$8:$BB$25,6*(R362-1)+MATCH(AB362,$AS$8:$AS$13,0),MATCH(O362,$AU$7:$BB$7,0))</f>
        <v>1</v>
      </c>
    </row>
    <row r="363" spans="15:42" ht="14.25" x14ac:dyDescent="0.45">
      <c r="O363" s="43" t="s">
        <v>31</v>
      </c>
      <c r="P363" s="43">
        <v>3</v>
      </c>
      <c r="Q363" s="43">
        <v>7</v>
      </c>
      <c r="R363" s="43">
        <v>2</v>
      </c>
      <c r="S363" s="45"/>
      <c r="T363" t="b">
        <f>(S362+S363+S364)=P4</f>
        <v>0</v>
      </c>
      <c r="X363" s="1">
        <f t="shared" si="33"/>
        <v>0</v>
      </c>
      <c r="Y363" s="48">
        <v>0</v>
      </c>
      <c r="AA363" s="1">
        <v>3</v>
      </c>
      <c r="AB363" s="1" t="s">
        <v>13</v>
      </c>
      <c r="AC363" s="1" t="s">
        <v>19</v>
      </c>
      <c r="AD363" s="1">
        <v>24</v>
      </c>
      <c r="AE363" s="1">
        <v>21</v>
      </c>
      <c r="AF363" s="1">
        <v>0.8</v>
      </c>
      <c r="AG363" s="1">
        <v>0.86</v>
      </c>
      <c r="AH363" s="1">
        <v>0</v>
      </c>
      <c r="AI363" s="1">
        <v>0</v>
      </c>
      <c r="AJ363" s="1">
        <f t="shared" si="29"/>
        <v>0</v>
      </c>
      <c r="AK363" s="1">
        <f>D34</f>
        <v>0</v>
      </c>
      <c r="AL363" s="1">
        <f>D40</f>
        <v>0</v>
      </c>
      <c r="AM363" s="1">
        <f t="shared" si="30"/>
        <v>0</v>
      </c>
      <c r="AN363" s="1">
        <f t="shared" si="31"/>
        <v>0</v>
      </c>
      <c r="AO363" s="1">
        <f t="shared" si="32"/>
        <v>0</v>
      </c>
      <c r="AP363" t="b" cm="1">
        <f t="array" ref="AP363">INDEX($AU$8:$BB$25,6*(R363-1)+MATCH(AB363,$AS$8:$AS$13,0),MATCH(O363,$AU$7:$BB$7,0))</f>
        <v>1</v>
      </c>
    </row>
    <row r="364" spans="15:42" ht="14.25" x14ac:dyDescent="0.45">
      <c r="O364" s="43" t="s">
        <v>31</v>
      </c>
      <c r="P364" s="43">
        <v>3</v>
      </c>
      <c r="Q364" s="43">
        <v>7</v>
      </c>
      <c r="R364" s="43">
        <v>3</v>
      </c>
      <c r="S364" s="45"/>
      <c r="T364" t="b">
        <f>(S362+S363+S364)=P4</f>
        <v>0</v>
      </c>
      <c r="X364" s="1">
        <f t="shared" si="33"/>
        <v>0</v>
      </c>
      <c r="Y364" s="48">
        <v>0</v>
      </c>
      <c r="AA364" s="1">
        <v>3</v>
      </c>
      <c r="AB364" s="1" t="s">
        <v>13</v>
      </c>
      <c r="AC364" s="1" t="s">
        <v>19</v>
      </c>
      <c r="AD364" s="1">
        <v>24</v>
      </c>
      <c r="AE364" s="1">
        <v>21</v>
      </c>
      <c r="AF364" s="1">
        <v>0.8</v>
      </c>
      <c r="AG364" s="1">
        <v>0.86</v>
      </c>
      <c r="AH364" s="1">
        <v>0</v>
      </c>
      <c r="AI364" s="1">
        <v>0</v>
      </c>
      <c r="AJ364" s="1">
        <f t="shared" si="29"/>
        <v>0</v>
      </c>
      <c r="AK364" s="1">
        <f>E34</f>
        <v>0</v>
      </c>
      <c r="AL364" s="1">
        <f>E40</f>
        <v>0</v>
      </c>
      <c r="AM364" s="1">
        <f t="shared" si="30"/>
        <v>0</v>
      </c>
      <c r="AN364" s="1">
        <f t="shared" si="31"/>
        <v>0</v>
      </c>
      <c r="AO364" s="1">
        <f t="shared" si="32"/>
        <v>0</v>
      </c>
      <c r="AP364" t="b" cm="1">
        <f t="array" ref="AP364">INDEX($AU$8:$BB$25,6*(R364-1)+MATCH(AB364,$AS$8:$AS$13,0),MATCH(O364,$AU$7:$BB$7,0))</f>
        <v>1</v>
      </c>
    </row>
    <row r="365" spans="15:42" ht="14.25" x14ac:dyDescent="0.45">
      <c r="O365" s="43" t="s">
        <v>31</v>
      </c>
      <c r="P365" s="43">
        <v>3</v>
      </c>
      <c r="Q365" s="43">
        <v>8</v>
      </c>
      <c r="R365" s="43">
        <v>1</v>
      </c>
      <c r="S365" s="45"/>
      <c r="T365" t="b">
        <f>(S365+S366+S367)=P4</f>
        <v>0</v>
      </c>
      <c r="X365" s="1">
        <f t="shared" si="33"/>
        <v>0</v>
      </c>
      <c r="Y365" s="48">
        <v>0</v>
      </c>
      <c r="AA365" s="1">
        <v>5</v>
      </c>
      <c r="AB365" s="1" t="s">
        <v>13</v>
      </c>
      <c r="AC365" s="1" t="s">
        <v>19</v>
      </c>
      <c r="AD365" s="1">
        <v>19</v>
      </c>
      <c r="AE365" s="1">
        <v>13</v>
      </c>
      <c r="AF365" s="1">
        <v>0.8</v>
      </c>
      <c r="AG365" s="1">
        <v>0.86</v>
      </c>
      <c r="AH365" s="1">
        <v>0</v>
      </c>
      <c r="AI365" s="1">
        <v>0</v>
      </c>
      <c r="AJ365" s="1">
        <f t="shared" si="29"/>
        <v>0</v>
      </c>
      <c r="AK365" s="1">
        <f>C34</f>
        <v>0</v>
      </c>
      <c r="AL365" s="1">
        <f>C40</f>
        <v>0</v>
      </c>
      <c r="AM365" s="1">
        <f t="shared" si="30"/>
        <v>0</v>
      </c>
      <c r="AN365" s="1">
        <f t="shared" si="31"/>
        <v>0</v>
      </c>
      <c r="AO365" s="1">
        <f t="shared" si="32"/>
        <v>0</v>
      </c>
      <c r="AP365" t="b" cm="1">
        <f t="array" ref="AP365">INDEX($AU$8:$BB$25,6*(R365-1)+MATCH(AB365,$AS$8:$AS$13,0),MATCH(O365,$AU$7:$BB$7,0))</f>
        <v>1</v>
      </c>
    </row>
    <row r="366" spans="15:42" ht="14.25" x14ac:dyDescent="0.45">
      <c r="O366" s="43" t="s">
        <v>31</v>
      </c>
      <c r="P366" s="43">
        <v>3</v>
      </c>
      <c r="Q366" s="43">
        <v>8</v>
      </c>
      <c r="R366" s="43">
        <v>2</v>
      </c>
      <c r="S366" s="45"/>
      <c r="T366" t="b">
        <f>(S365+S366+S367)=P4</f>
        <v>0</v>
      </c>
      <c r="X366" s="1">
        <f t="shared" si="33"/>
        <v>0</v>
      </c>
      <c r="Y366" s="48">
        <v>0</v>
      </c>
      <c r="AA366" s="1">
        <v>5</v>
      </c>
      <c r="AB366" s="1" t="s">
        <v>13</v>
      </c>
      <c r="AC366" s="1" t="s">
        <v>19</v>
      </c>
      <c r="AD366" s="1">
        <v>19</v>
      </c>
      <c r="AE366" s="1">
        <v>13</v>
      </c>
      <c r="AF366" s="1">
        <v>0.8</v>
      </c>
      <c r="AG366" s="1">
        <v>0.86</v>
      </c>
      <c r="AH366" s="1">
        <v>0</v>
      </c>
      <c r="AI366" s="1">
        <v>0</v>
      </c>
      <c r="AJ366" s="1">
        <f t="shared" si="29"/>
        <v>0</v>
      </c>
      <c r="AK366" s="1">
        <f>D34</f>
        <v>0</v>
      </c>
      <c r="AL366" s="1">
        <f>D40</f>
        <v>0</v>
      </c>
      <c r="AM366" s="1">
        <f t="shared" si="30"/>
        <v>0</v>
      </c>
      <c r="AN366" s="1">
        <f t="shared" si="31"/>
        <v>0</v>
      </c>
      <c r="AO366" s="1">
        <f t="shared" si="32"/>
        <v>0</v>
      </c>
      <c r="AP366" t="b" cm="1">
        <f t="array" ref="AP366">INDEX($AU$8:$BB$25,6*(R366-1)+MATCH(AB366,$AS$8:$AS$13,0),MATCH(O366,$AU$7:$BB$7,0))</f>
        <v>1</v>
      </c>
    </row>
    <row r="367" spans="15:42" ht="14.25" x14ac:dyDescent="0.45">
      <c r="O367" s="43" t="s">
        <v>31</v>
      </c>
      <c r="P367" s="43">
        <v>3</v>
      </c>
      <c r="Q367" s="43">
        <v>8</v>
      </c>
      <c r="R367" s="43">
        <v>3</v>
      </c>
      <c r="S367" s="45"/>
      <c r="T367" t="b">
        <f>(S365+S366+S367)=P4</f>
        <v>0</v>
      </c>
      <c r="X367" s="1">
        <f t="shared" si="33"/>
        <v>0</v>
      </c>
      <c r="Y367" s="48">
        <v>0</v>
      </c>
      <c r="AA367" s="1">
        <v>5</v>
      </c>
      <c r="AB367" s="1" t="s">
        <v>13</v>
      </c>
      <c r="AC367" s="1" t="s">
        <v>19</v>
      </c>
      <c r="AD367" s="1">
        <v>19</v>
      </c>
      <c r="AE367" s="1">
        <v>13</v>
      </c>
      <c r="AF367" s="1">
        <v>0.8</v>
      </c>
      <c r="AG367" s="1">
        <v>0.86</v>
      </c>
      <c r="AH367" s="1">
        <v>0</v>
      </c>
      <c r="AI367" s="1">
        <v>0</v>
      </c>
      <c r="AJ367" s="1">
        <f t="shared" si="29"/>
        <v>0</v>
      </c>
      <c r="AK367" s="1">
        <f>E34</f>
        <v>0</v>
      </c>
      <c r="AL367" s="1">
        <f>E40</f>
        <v>0</v>
      </c>
      <c r="AM367" s="1">
        <f t="shared" si="30"/>
        <v>0</v>
      </c>
      <c r="AN367" s="1">
        <f t="shared" si="31"/>
        <v>0</v>
      </c>
      <c r="AO367" s="1">
        <f t="shared" si="32"/>
        <v>0</v>
      </c>
      <c r="AP367" t="b" cm="1">
        <f t="array" ref="AP367">INDEX($AU$8:$BB$25,6*(R367-1)+MATCH(AB367,$AS$8:$AS$13,0),MATCH(O367,$AU$7:$BB$7,0))</f>
        <v>1</v>
      </c>
    </row>
    <row r="368" spans="15:42" ht="14.25" x14ac:dyDescent="0.45">
      <c r="O368" s="43" t="s">
        <v>31</v>
      </c>
      <c r="P368" s="43">
        <v>3</v>
      </c>
      <c r="Q368" s="43">
        <v>9</v>
      </c>
      <c r="R368" s="43">
        <v>1</v>
      </c>
      <c r="S368" s="45"/>
      <c r="T368" t="b">
        <f>(S368+S369+S370)=P4</f>
        <v>0</v>
      </c>
      <c r="X368" s="1">
        <f t="shared" si="33"/>
        <v>0</v>
      </c>
      <c r="Y368" s="48">
        <v>0</v>
      </c>
      <c r="AA368" s="1">
        <v>3</v>
      </c>
      <c r="AB368" s="1" t="s">
        <v>14</v>
      </c>
      <c r="AC368" s="1" t="s">
        <v>20</v>
      </c>
      <c r="AD368" s="1">
        <v>15</v>
      </c>
      <c r="AE368" s="1">
        <v>13</v>
      </c>
      <c r="AF368" s="1">
        <v>0.8</v>
      </c>
      <c r="AG368" s="1">
        <v>0.88</v>
      </c>
      <c r="AH368" s="1">
        <v>0</v>
      </c>
      <c r="AI368" s="1">
        <v>0</v>
      </c>
      <c r="AJ368" s="1">
        <f t="shared" si="29"/>
        <v>0</v>
      </c>
      <c r="AK368" s="1">
        <f>C35</f>
        <v>0</v>
      </c>
      <c r="AL368" s="1">
        <f>C41</f>
        <v>0</v>
      </c>
      <c r="AM368" s="1">
        <f t="shared" si="30"/>
        <v>0</v>
      </c>
      <c r="AN368" s="1">
        <f t="shared" si="31"/>
        <v>0</v>
      </c>
      <c r="AO368" s="1">
        <f t="shared" si="32"/>
        <v>0</v>
      </c>
      <c r="AP368" t="b" cm="1">
        <f t="array" ref="AP368">INDEX($AU$8:$BB$25,6*(R368-1)+MATCH(AB368,$AS$8:$AS$13,0),MATCH(O368,$AU$7:$BB$7,0))</f>
        <v>1</v>
      </c>
    </row>
    <row r="369" spans="15:42" ht="14.25" x14ac:dyDescent="0.45">
      <c r="O369" s="43" t="s">
        <v>31</v>
      </c>
      <c r="P369" s="43">
        <v>3</v>
      </c>
      <c r="Q369" s="43">
        <v>9</v>
      </c>
      <c r="R369" s="43">
        <v>2</v>
      </c>
      <c r="S369" s="45"/>
      <c r="T369" t="b">
        <f>(S368+S369+S370)=P4</f>
        <v>0</v>
      </c>
      <c r="X369" s="1">
        <f t="shared" si="33"/>
        <v>0</v>
      </c>
      <c r="Y369" s="48">
        <v>0</v>
      </c>
      <c r="AA369" s="1">
        <v>3</v>
      </c>
      <c r="AB369" s="1" t="s">
        <v>14</v>
      </c>
      <c r="AC369" s="1" t="s">
        <v>20</v>
      </c>
      <c r="AD369" s="1">
        <v>15</v>
      </c>
      <c r="AE369" s="1">
        <v>13</v>
      </c>
      <c r="AF369" s="1">
        <v>0.8</v>
      </c>
      <c r="AG369" s="1">
        <v>0.88</v>
      </c>
      <c r="AH369" s="1">
        <v>0</v>
      </c>
      <c r="AI369" s="1">
        <v>0</v>
      </c>
      <c r="AJ369" s="1">
        <f t="shared" si="29"/>
        <v>0</v>
      </c>
      <c r="AK369" s="1">
        <f>D35</f>
        <v>0</v>
      </c>
      <c r="AL369" s="1">
        <f>D41</f>
        <v>0</v>
      </c>
      <c r="AM369" s="1">
        <f t="shared" si="30"/>
        <v>0</v>
      </c>
      <c r="AN369" s="1">
        <f t="shared" si="31"/>
        <v>0</v>
      </c>
      <c r="AO369" s="1">
        <f t="shared" si="32"/>
        <v>0</v>
      </c>
      <c r="AP369" t="b" cm="1">
        <f t="array" ref="AP369">INDEX($AU$8:$BB$25,6*(R369-1)+MATCH(AB369,$AS$8:$AS$13,0),MATCH(O369,$AU$7:$BB$7,0))</f>
        <v>1</v>
      </c>
    </row>
    <row r="370" spans="15:42" ht="14.25" x14ac:dyDescent="0.45">
      <c r="O370" s="43" t="s">
        <v>31</v>
      </c>
      <c r="P370" s="43">
        <v>3</v>
      </c>
      <c r="Q370" s="43">
        <v>9</v>
      </c>
      <c r="R370" s="43">
        <v>3</v>
      </c>
      <c r="S370" s="45"/>
      <c r="T370" t="b">
        <f>(S368+S369+S370)=P4</f>
        <v>0</v>
      </c>
      <c r="X370" s="1">
        <f t="shared" si="33"/>
        <v>0</v>
      </c>
      <c r="Y370" s="48">
        <v>0</v>
      </c>
      <c r="AA370" s="1">
        <v>3</v>
      </c>
      <c r="AB370" s="1" t="s">
        <v>14</v>
      </c>
      <c r="AC370" s="1" t="s">
        <v>20</v>
      </c>
      <c r="AD370" s="1">
        <v>15</v>
      </c>
      <c r="AE370" s="1">
        <v>13</v>
      </c>
      <c r="AF370" s="1">
        <v>0.8</v>
      </c>
      <c r="AG370" s="1">
        <v>0.88</v>
      </c>
      <c r="AH370" s="1">
        <v>0</v>
      </c>
      <c r="AI370" s="1">
        <v>0</v>
      </c>
      <c r="AJ370" s="1">
        <f t="shared" si="29"/>
        <v>0</v>
      </c>
      <c r="AK370" s="1">
        <f>E35</f>
        <v>0</v>
      </c>
      <c r="AL370" s="1">
        <f>E41</f>
        <v>0</v>
      </c>
      <c r="AM370" s="1">
        <f t="shared" si="30"/>
        <v>0</v>
      </c>
      <c r="AN370" s="1">
        <f t="shared" si="31"/>
        <v>0</v>
      </c>
      <c r="AO370" s="1">
        <f t="shared" si="32"/>
        <v>0</v>
      </c>
      <c r="AP370" t="b" cm="1">
        <f t="array" ref="AP370">INDEX($AU$8:$BB$25,6*(R370-1)+MATCH(AB370,$AS$8:$AS$13,0),MATCH(O370,$AU$7:$BB$7,0))</f>
        <v>1</v>
      </c>
    </row>
    <row r="371" spans="15:42" ht="14.25" x14ac:dyDescent="0.45">
      <c r="O371" s="43" t="s">
        <v>31</v>
      </c>
      <c r="P371" s="43">
        <v>3</v>
      </c>
      <c r="Q371" s="43">
        <v>10</v>
      </c>
      <c r="R371" s="43">
        <v>1</v>
      </c>
      <c r="S371" s="45"/>
      <c r="T371" t="b">
        <f>(S371+S372+S373)=P4</f>
        <v>0</v>
      </c>
      <c r="X371" s="1">
        <f t="shared" si="33"/>
        <v>0</v>
      </c>
      <c r="Y371" s="48">
        <v>0</v>
      </c>
      <c r="AA371" s="1">
        <v>5</v>
      </c>
      <c r="AB371" s="1" t="s">
        <v>14</v>
      </c>
      <c r="AC371" s="1" t="s">
        <v>20</v>
      </c>
      <c r="AD371" s="1">
        <v>24</v>
      </c>
      <c r="AE371" s="1">
        <v>20</v>
      </c>
      <c r="AF371" s="1">
        <v>0.8</v>
      </c>
      <c r="AG371" s="1">
        <v>0.88</v>
      </c>
      <c r="AH371" s="1">
        <v>0</v>
      </c>
      <c r="AI371" s="1">
        <v>0</v>
      </c>
      <c r="AJ371" s="1">
        <f t="shared" si="29"/>
        <v>0</v>
      </c>
      <c r="AK371" s="1">
        <f>C35</f>
        <v>0</v>
      </c>
      <c r="AL371" s="1">
        <f>C41</f>
        <v>0</v>
      </c>
      <c r="AM371" s="1">
        <f t="shared" si="30"/>
        <v>0</v>
      </c>
      <c r="AN371" s="1">
        <f t="shared" si="31"/>
        <v>0</v>
      </c>
      <c r="AO371" s="1">
        <f t="shared" si="32"/>
        <v>0</v>
      </c>
      <c r="AP371" t="b" cm="1">
        <f t="array" ref="AP371">INDEX($AU$8:$BB$25,6*(R371-1)+MATCH(AB371,$AS$8:$AS$13,0),MATCH(O371,$AU$7:$BB$7,0))</f>
        <v>1</v>
      </c>
    </row>
    <row r="372" spans="15:42" ht="14.25" x14ac:dyDescent="0.45">
      <c r="O372" s="43" t="s">
        <v>31</v>
      </c>
      <c r="P372" s="43">
        <v>3</v>
      </c>
      <c r="Q372" s="43">
        <v>10</v>
      </c>
      <c r="R372" s="43">
        <v>2</v>
      </c>
      <c r="S372" s="45"/>
      <c r="T372" t="b">
        <f>(S371+S372+S373)=P4</f>
        <v>0</v>
      </c>
      <c r="X372" s="1">
        <f t="shared" si="33"/>
        <v>0</v>
      </c>
      <c r="Y372" s="48">
        <v>0</v>
      </c>
      <c r="AA372" s="1">
        <v>5</v>
      </c>
      <c r="AB372" s="1" t="s">
        <v>14</v>
      </c>
      <c r="AC372" s="1" t="s">
        <v>20</v>
      </c>
      <c r="AD372" s="1">
        <v>24</v>
      </c>
      <c r="AE372" s="1">
        <v>20</v>
      </c>
      <c r="AF372" s="1">
        <v>0.8</v>
      </c>
      <c r="AG372" s="1">
        <v>0.88</v>
      </c>
      <c r="AH372" s="1">
        <v>0</v>
      </c>
      <c r="AI372" s="1">
        <v>0</v>
      </c>
      <c r="AJ372" s="1">
        <f t="shared" si="29"/>
        <v>0</v>
      </c>
      <c r="AK372" s="1">
        <f>D35</f>
        <v>0</v>
      </c>
      <c r="AL372" s="1">
        <f>D41</f>
        <v>0</v>
      </c>
      <c r="AM372" s="1">
        <f t="shared" si="30"/>
        <v>0</v>
      </c>
      <c r="AN372" s="1">
        <f t="shared" si="31"/>
        <v>0</v>
      </c>
      <c r="AO372" s="1">
        <f t="shared" si="32"/>
        <v>0</v>
      </c>
      <c r="AP372" t="b" cm="1">
        <f t="array" ref="AP372">INDEX($AU$8:$BB$25,6*(R372-1)+MATCH(AB372,$AS$8:$AS$13,0),MATCH(O372,$AU$7:$BB$7,0))</f>
        <v>1</v>
      </c>
    </row>
    <row r="373" spans="15:42" ht="14.25" x14ac:dyDescent="0.45">
      <c r="O373" s="43" t="s">
        <v>31</v>
      </c>
      <c r="P373" s="43">
        <v>3</v>
      </c>
      <c r="Q373" s="43">
        <v>10</v>
      </c>
      <c r="R373" s="43">
        <v>3</v>
      </c>
      <c r="S373" s="45"/>
      <c r="T373" t="b">
        <f>(S371+S372+S373)=P4</f>
        <v>0</v>
      </c>
      <c r="X373" s="1">
        <f t="shared" si="33"/>
        <v>0</v>
      </c>
      <c r="Y373" s="48">
        <v>0</v>
      </c>
      <c r="AA373" s="1">
        <v>5</v>
      </c>
      <c r="AB373" s="1" t="s">
        <v>14</v>
      </c>
      <c r="AC373" s="1" t="s">
        <v>20</v>
      </c>
      <c r="AD373" s="1">
        <v>24</v>
      </c>
      <c r="AE373" s="1">
        <v>20</v>
      </c>
      <c r="AF373" s="1">
        <v>0.8</v>
      </c>
      <c r="AG373" s="1">
        <v>0.88</v>
      </c>
      <c r="AH373" s="1">
        <v>0</v>
      </c>
      <c r="AI373" s="1">
        <v>0</v>
      </c>
      <c r="AJ373" s="1">
        <f t="shared" si="29"/>
        <v>0</v>
      </c>
      <c r="AK373" s="1">
        <f>E35</f>
        <v>0</v>
      </c>
      <c r="AL373" s="1">
        <f>E41</f>
        <v>0</v>
      </c>
      <c r="AM373" s="1">
        <f t="shared" si="30"/>
        <v>0</v>
      </c>
      <c r="AN373" s="1">
        <f t="shared" si="31"/>
        <v>0</v>
      </c>
      <c r="AO373" s="1">
        <f t="shared" si="32"/>
        <v>0</v>
      </c>
      <c r="AP373" t="b" cm="1">
        <f t="array" ref="AP373">INDEX($AU$8:$BB$25,6*(R373-1)+MATCH(AB373,$AS$8:$AS$13,0),MATCH(O373,$AU$7:$BB$7,0))</f>
        <v>1</v>
      </c>
    </row>
    <row r="374" spans="15:42" ht="14.25" x14ac:dyDescent="0.45">
      <c r="O374" s="43" t="s">
        <v>31</v>
      </c>
      <c r="P374" s="43">
        <v>3</v>
      </c>
      <c r="Q374" s="43">
        <v>11</v>
      </c>
      <c r="R374" s="43">
        <v>1</v>
      </c>
      <c r="S374" s="45"/>
      <c r="T374" t="b">
        <f>(S374+S375+S376)=P4</f>
        <v>0</v>
      </c>
      <c r="X374" s="1">
        <f t="shared" si="33"/>
        <v>0</v>
      </c>
      <c r="Y374" s="48">
        <v>0</v>
      </c>
      <c r="AA374" s="1">
        <v>3</v>
      </c>
      <c r="AB374" s="1" t="s">
        <v>15</v>
      </c>
      <c r="AC374" s="1" t="s">
        <v>21</v>
      </c>
      <c r="AD374" s="1">
        <v>17</v>
      </c>
      <c r="AE374" s="1">
        <v>15</v>
      </c>
      <c r="AF374" s="1">
        <v>0.76</v>
      </c>
      <c r="AG374" s="1">
        <v>0.84</v>
      </c>
      <c r="AH374" s="1">
        <v>0</v>
      </c>
      <c r="AI374" s="1">
        <v>0</v>
      </c>
      <c r="AJ374" s="1">
        <f t="shared" si="29"/>
        <v>0</v>
      </c>
      <c r="AK374" s="1">
        <f>C36</f>
        <v>0</v>
      </c>
      <c r="AL374" s="1">
        <f>C42</f>
        <v>0</v>
      </c>
      <c r="AM374" s="1">
        <f t="shared" si="30"/>
        <v>0</v>
      </c>
      <c r="AN374" s="1">
        <f t="shared" si="31"/>
        <v>0</v>
      </c>
      <c r="AO374" s="1">
        <f t="shared" si="32"/>
        <v>0</v>
      </c>
      <c r="AP374" t="b" cm="1">
        <f t="array" ref="AP374">INDEX($AU$8:$BB$25,6*(R374-1)+MATCH(AB374,$AS$8:$AS$13,0),MATCH(O374,$AU$7:$BB$7,0))</f>
        <v>1</v>
      </c>
    </row>
    <row r="375" spans="15:42" ht="14.25" x14ac:dyDescent="0.45">
      <c r="O375" s="43" t="s">
        <v>31</v>
      </c>
      <c r="P375" s="43">
        <v>3</v>
      </c>
      <c r="Q375" s="43">
        <v>11</v>
      </c>
      <c r="R375" s="43">
        <v>2</v>
      </c>
      <c r="S375" s="45"/>
      <c r="T375" t="b">
        <f>(S374+S375+S376)=P4</f>
        <v>0</v>
      </c>
      <c r="X375" s="1">
        <f t="shared" si="33"/>
        <v>0</v>
      </c>
      <c r="Y375" s="48">
        <v>0</v>
      </c>
      <c r="AA375" s="1">
        <v>3</v>
      </c>
      <c r="AB375" s="1" t="s">
        <v>15</v>
      </c>
      <c r="AC375" s="1" t="s">
        <v>21</v>
      </c>
      <c r="AD375" s="1">
        <v>17</v>
      </c>
      <c r="AE375" s="1">
        <v>15</v>
      </c>
      <c r="AF375" s="1">
        <v>0.76</v>
      </c>
      <c r="AG375" s="1">
        <v>0.84</v>
      </c>
      <c r="AH375" s="1">
        <v>0</v>
      </c>
      <c r="AI375" s="1">
        <v>0</v>
      </c>
      <c r="AJ375" s="1">
        <f t="shared" si="29"/>
        <v>0</v>
      </c>
      <c r="AK375" s="1">
        <f>D36</f>
        <v>0</v>
      </c>
      <c r="AL375" s="1">
        <f>D42</f>
        <v>0</v>
      </c>
      <c r="AM375" s="1">
        <f t="shared" si="30"/>
        <v>0</v>
      </c>
      <c r="AN375" s="1">
        <f t="shared" si="31"/>
        <v>0</v>
      </c>
      <c r="AO375" s="1">
        <f t="shared" si="32"/>
        <v>0</v>
      </c>
      <c r="AP375" t="b" cm="1">
        <f t="array" ref="AP375">INDEX($AU$8:$BB$25,6*(R375-1)+MATCH(AB375,$AS$8:$AS$13,0),MATCH(O375,$AU$7:$BB$7,0))</f>
        <v>1</v>
      </c>
    </row>
    <row r="376" spans="15:42" ht="14.25" x14ac:dyDescent="0.45">
      <c r="O376" s="43" t="s">
        <v>31</v>
      </c>
      <c r="P376" s="43">
        <v>3</v>
      </c>
      <c r="Q376" s="43">
        <v>11</v>
      </c>
      <c r="R376" s="43">
        <v>3</v>
      </c>
      <c r="S376" s="45"/>
      <c r="T376" t="b">
        <f>(S374+S375+S376)=P4</f>
        <v>0</v>
      </c>
      <c r="X376" s="1">
        <f t="shared" si="33"/>
        <v>0</v>
      </c>
      <c r="Y376" s="48">
        <v>0</v>
      </c>
      <c r="AA376" s="1">
        <v>3</v>
      </c>
      <c r="AB376" s="1" t="s">
        <v>15</v>
      </c>
      <c r="AC376" s="1" t="s">
        <v>21</v>
      </c>
      <c r="AD376" s="1">
        <v>17</v>
      </c>
      <c r="AE376" s="1">
        <v>15</v>
      </c>
      <c r="AF376" s="1">
        <v>0.76</v>
      </c>
      <c r="AG376" s="1">
        <v>0.84</v>
      </c>
      <c r="AH376" s="1">
        <v>0</v>
      </c>
      <c r="AI376" s="1">
        <v>0</v>
      </c>
      <c r="AJ376" s="1">
        <f t="shared" si="29"/>
        <v>0</v>
      </c>
      <c r="AK376" s="1">
        <f>E36</f>
        <v>0</v>
      </c>
      <c r="AL376" s="1">
        <f>E42</f>
        <v>0</v>
      </c>
      <c r="AM376" s="1">
        <f t="shared" si="30"/>
        <v>0</v>
      </c>
      <c r="AN376" s="1">
        <f t="shared" si="31"/>
        <v>0</v>
      </c>
      <c r="AO376" s="1">
        <f t="shared" si="32"/>
        <v>0</v>
      </c>
      <c r="AP376" t="b" cm="1">
        <f t="array" ref="AP376">INDEX($AU$8:$BB$25,6*(R376-1)+MATCH(AB376,$AS$8:$AS$13,0),MATCH(O376,$AU$7:$BB$7,0))</f>
        <v>1</v>
      </c>
    </row>
    <row r="377" spans="15:42" ht="14.25" x14ac:dyDescent="0.45">
      <c r="O377" s="43" t="s">
        <v>31</v>
      </c>
      <c r="P377" s="43">
        <v>3</v>
      </c>
      <c r="Q377" s="43">
        <v>12</v>
      </c>
      <c r="R377" s="43">
        <v>1</v>
      </c>
      <c r="S377" s="45"/>
      <c r="T377" t="b">
        <f>(S377+S378+S379)=P4</f>
        <v>0</v>
      </c>
      <c r="X377" s="1">
        <f t="shared" si="33"/>
        <v>0</v>
      </c>
      <c r="Y377" s="48">
        <v>0</v>
      </c>
      <c r="AA377" s="1">
        <v>10</v>
      </c>
      <c r="AB377" s="1" t="s">
        <v>15</v>
      </c>
      <c r="AC377" s="1" t="s">
        <v>21</v>
      </c>
      <c r="AD377" s="1">
        <v>18</v>
      </c>
      <c r="AE377" s="1">
        <v>13</v>
      </c>
      <c r="AF377" s="1">
        <v>0.76</v>
      </c>
      <c r="AG377" s="1">
        <v>0.84</v>
      </c>
      <c r="AH377" s="1">
        <v>0</v>
      </c>
      <c r="AI377" s="1">
        <v>0</v>
      </c>
      <c r="AJ377" s="1">
        <f t="shared" si="29"/>
        <v>0</v>
      </c>
      <c r="AK377" s="1">
        <f>C36</f>
        <v>0</v>
      </c>
      <c r="AL377" s="1">
        <f>C42</f>
        <v>0</v>
      </c>
      <c r="AM377" s="1">
        <f t="shared" si="30"/>
        <v>0</v>
      </c>
      <c r="AN377" s="1">
        <f t="shared" si="31"/>
        <v>0</v>
      </c>
      <c r="AO377" s="1">
        <f t="shared" si="32"/>
        <v>0</v>
      </c>
      <c r="AP377" t="b" cm="1">
        <f t="array" ref="AP377">INDEX($AU$8:$BB$25,6*(R377-1)+MATCH(AB377,$AS$8:$AS$13,0),MATCH(O377,$AU$7:$BB$7,0))</f>
        <v>1</v>
      </c>
    </row>
    <row r="378" spans="15:42" ht="14.25" x14ac:dyDescent="0.45">
      <c r="O378" s="43" t="s">
        <v>31</v>
      </c>
      <c r="P378" s="43">
        <v>3</v>
      </c>
      <c r="Q378" s="43">
        <v>12</v>
      </c>
      <c r="R378" s="43">
        <v>2</v>
      </c>
      <c r="S378" s="45"/>
      <c r="T378" t="b">
        <f>(S377+S378+S379)=P4</f>
        <v>0</v>
      </c>
      <c r="X378" s="1">
        <f t="shared" si="33"/>
        <v>0</v>
      </c>
      <c r="Y378" s="48">
        <v>0</v>
      </c>
      <c r="AA378" s="1">
        <v>10</v>
      </c>
      <c r="AB378" s="1" t="s">
        <v>15</v>
      </c>
      <c r="AC378" s="1" t="s">
        <v>21</v>
      </c>
      <c r="AD378" s="1">
        <v>18</v>
      </c>
      <c r="AE378" s="1">
        <v>13</v>
      </c>
      <c r="AF378" s="1">
        <v>0.76</v>
      </c>
      <c r="AG378" s="1">
        <v>0.84</v>
      </c>
      <c r="AH378" s="1">
        <v>0</v>
      </c>
      <c r="AI378" s="1">
        <v>0</v>
      </c>
      <c r="AJ378" s="1">
        <f t="shared" si="29"/>
        <v>0</v>
      </c>
      <c r="AK378" s="1">
        <f>D36</f>
        <v>0</v>
      </c>
      <c r="AL378" s="1">
        <f>D42</f>
        <v>0</v>
      </c>
      <c r="AM378" s="1">
        <f t="shared" si="30"/>
        <v>0</v>
      </c>
      <c r="AN378" s="1">
        <f t="shared" si="31"/>
        <v>0</v>
      </c>
      <c r="AO378" s="1">
        <f t="shared" si="32"/>
        <v>0</v>
      </c>
      <c r="AP378" t="b" cm="1">
        <f t="array" ref="AP378">INDEX($AU$8:$BB$25,6*(R378-1)+MATCH(AB378,$AS$8:$AS$13,0),MATCH(O378,$AU$7:$BB$7,0))</f>
        <v>1</v>
      </c>
    </row>
    <row r="379" spans="15:42" ht="14.25" x14ac:dyDescent="0.45">
      <c r="O379" s="43" t="s">
        <v>31</v>
      </c>
      <c r="P379" s="43">
        <v>3</v>
      </c>
      <c r="Q379" s="43">
        <v>12</v>
      </c>
      <c r="R379" s="43">
        <v>3</v>
      </c>
      <c r="S379" s="45"/>
      <c r="T379" t="b">
        <f>(S377+S378+S379)=P4</f>
        <v>0</v>
      </c>
      <c r="X379" s="1">
        <f t="shared" si="33"/>
        <v>0</v>
      </c>
      <c r="Y379" s="48">
        <v>0</v>
      </c>
      <c r="AA379" s="1">
        <v>10</v>
      </c>
      <c r="AB379" s="1" t="s">
        <v>15</v>
      </c>
      <c r="AC379" s="1" t="s">
        <v>21</v>
      </c>
      <c r="AD379" s="1">
        <v>18</v>
      </c>
      <c r="AE379" s="1">
        <v>13</v>
      </c>
      <c r="AF379" s="1">
        <v>0.76</v>
      </c>
      <c r="AG379" s="1">
        <v>0.84</v>
      </c>
      <c r="AH379" s="1">
        <v>0</v>
      </c>
      <c r="AI379" s="1">
        <v>0</v>
      </c>
      <c r="AJ379" s="1">
        <f t="shared" si="29"/>
        <v>0</v>
      </c>
      <c r="AK379" s="1">
        <f>E36</f>
        <v>0</v>
      </c>
      <c r="AL379" s="1">
        <f>E42</f>
        <v>0</v>
      </c>
      <c r="AM379" s="1">
        <f t="shared" si="30"/>
        <v>0</v>
      </c>
      <c r="AN379" s="1">
        <f t="shared" si="31"/>
        <v>0</v>
      </c>
      <c r="AO379" s="1">
        <f t="shared" si="32"/>
        <v>0</v>
      </c>
      <c r="AP379" t="b" cm="1">
        <f t="array" ref="AP379">INDEX($AU$8:$BB$25,6*(R379-1)+MATCH(AB379,$AS$8:$AS$13,0),MATCH(O379,$AU$7:$BB$7,0))</f>
        <v>1</v>
      </c>
    </row>
    <row r="380" spans="15:42" ht="14.25" x14ac:dyDescent="0.45">
      <c r="O380" s="43" t="s">
        <v>31</v>
      </c>
      <c r="P380" s="43">
        <v>3</v>
      </c>
      <c r="Q380" s="43">
        <v>13</v>
      </c>
      <c r="R380" s="43">
        <v>1</v>
      </c>
      <c r="S380" s="45"/>
      <c r="T380" t="b">
        <f>(S380+S381+S382)=P4</f>
        <v>0</v>
      </c>
      <c r="X380" s="1">
        <f t="shared" si="33"/>
        <v>0</v>
      </c>
      <c r="Y380" s="48">
        <v>0</v>
      </c>
      <c r="AA380" s="1">
        <v>2</v>
      </c>
      <c r="AB380" s="1" t="s">
        <v>16</v>
      </c>
      <c r="AC380" s="1" t="s">
        <v>22</v>
      </c>
      <c r="AD380" s="1">
        <v>20</v>
      </c>
      <c r="AE380" s="1">
        <v>18</v>
      </c>
      <c r="AF380" s="1">
        <v>0.8</v>
      </c>
      <c r="AG380" s="1">
        <v>0.9</v>
      </c>
      <c r="AH380" s="1">
        <v>0</v>
      </c>
      <c r="AI380" s="1">
        <v>0</v>
      </c>
      <c r="AJ380" s="1">
        <f t="shared" si="29"/>
        <v>0</v>
      </c>
      <c r="AK380" s="1">
        <f>C37</f>
        <v>0</v>
      </c>
      <c r="AL380" s="1">
        <f>C43</f>
        <v>0</v>
      </c>
      <c r="AM380" s="1">
        <f t="shared" si="30"/>
        <v>0</v>
      </c>
      <c r="AN380" s="1">
        <f t="shared" si="31"/>
        <v>0</v>
      </c>
      <c r="AO380" s="1">
        <f t="shared" si="32"/>
        <v>0</v>
      </c>
      <c r="AP380" t="b" cm="1">
        <f t="array" ref="AP380">INDEX($AU$8:$BB$25,6*(R380-1)+MATCH(AB380,$AS$8:$AS$13,0),MATCH(O380,$AU$7:$BB$7,0))</f>
        <v>1</v>
      </c>
    </row>
    <row r="381" spans="15:42" ht="14.25" x14ac:dyDescent="0.45">
      <c r="O381" s="43" t="s">
        <v>31</v>
      </c>
      <c r="P381" s="43">
        <v>3</v>
      </c>
      <c r="Q381" s="43">
        <v>13</v>
      </c>
      <c r="R381" s="43">
        <v>2</v>
      </c>
      <c r="S381" s="45"/>
      <c r="T381" t="b">
        <f>(S380+S381+S382)=P4</f>
        <v>0</v>
      </c>
      <c r="X381" s="1">
        <f t="shared" si="33"/>
        <v>0</v>
      </c>
      <c r="Y381" s="48">
        <v>0</v>
      </c>
      <c r="AA381" s="1">
        <v>2</v>
      </c>
      <c r="AB381" s="1" t="s">
        <v>16</v>
      </c>
      <c r="AC381" s="1" t="s">
        <v>22</v>
      </c>
      <c r="AD381" s="1">
        <v>20</v>
      </c>
      <c r="AE381" s="1">
        <v>18</v>
      </c>
      <c r="AF381" s="1">
        <v>0.8</v>
      </c>
      <c r="AG381" s="1">
        <v>0.9</v>
      </c>
      <c r="AH381" s="1">
        <v>0</v>
      </c>
      <c r="AI381" s="1">
        <v>0</v>
      </c>
      <c r="AJ381" s="1">
        <f t="shared" si="29"/>
        <v>0</v>
      </c>
      <c r="AK381" s="1">
        <f>D37</f>
        <v>0</v>
      </c>
      <c r="AL381" s="1">
        <f>D43</f>
        <v>0</v>
      </c>
      <c r="AM381" s="1">
        <f t="shared" si="30"/>
        <v>0</v>
      </c>
      <c r="AN381" s="1">
        <f t="shared" si="31"/>
        <v>0</v>
      </c>
      <c r="AO381" s="1">
        <f t="shared" si="32"/>
        <v>0</v>
      </c>
      <c r="AP381" t="b" cm="1">
        <f t="array" ref="AP381">INDEX($AU$8:$BB$25,6*(R381-1)+MATCH(AB381,$AS$8:$AS$13,0),MATCH(O381,$AU$7:$BB$7,0))</f>
        <v>1</v>
      </c>
    </row>
    <row r="382" spans="15:42" ht="14.25" x14ac:dyDescent="0.45">
      <c r="O382" s="43" t="s">
        <v>31</v>
      </c>
      <c r="P382" s="43">
        <v>3</v>
      </c>
      <c r="Q382" s="43">
        <v>13</v>
      </c>
      <c r="R382" s="43">
        <v>3</v>
      </c>
      <c r="S382" s="45"/>
      <c r="T382" t="b">
        <f>(S380+S381+S382)=P4</f>
        <v>0</v>
      </c>
      <c r="X382" s="1">
        <f t="shared" si="33"/>
        <v>0</v>
      </c>
      <c r="Y382" s="48">
        <v>0</v>
      </c>
      <c r="AA382" s="1">
        <v>2</v>
      </c>
      <c r="AB382" s="1" t="s">
        <v>16</v>
      </c>
      <c r="AC382" s="1" t="s">
        <v>22</v>
      </c>
      <c r="AD382" s="1">
        <v>20</v>
      </c>
      <c r="AE382" s="1">
        <v>18</v>
      </c>
      <c r="AF382" s="1">
        <v>0.8</v>
      </c>
      <c r="AG382" s="1">
        <v>0.9</v>
      </c>
      <c r="AH382" s="1">
        <v>0</v>
      </c>
      <c r="AI382" s="1">
        <v>0</v>
      </c>
      <c r="AJ382" s="1">
        <f t="shared" si="29"/>
        <v>0</v>
      </c>
      <c r="AK382" s="1">
        <f>E37</f>
        <v>0</v>
      </c>
      <c r="AL382" s="1">
        <f>E43</f>
        <v>0</v>
      </c>
      <c r="AM382" s="1">
        <f t="shared" si="30"/>
        <v>0</v>
      </c>
      <c r="AN382" s="1">
        <f t="shared" si="31"/>
        <v>0</v>
      </c>
      <c r="AO382" s="1">
        <f t="shared" si="32"/>
        <v>0</v>
      </c>
      <c r="AP382" t="b" cm="1">
        <f t="array" ref="AP382">INDEX($AU$8:$BB$25,6*(R382-1)+MATCH(AB382,$AS$8:$AS$13,0),MATCH(O382,$AU$7:$BB$7,0))</f>
        <v>1</v>
      </c>
    </row>
    <row r="383" spans="15:42" ht="14.25" x14ac:dyDescent="0.45">
      <c r="O383" s="43" t="s">
        <v>31</v>
      </c>
      <c r="P383" s="43">
        <v>3</v>
      </c>
      <c r="Q383" s="43">
        <v>14</v>
      </c>
      <c r="R383" s="43">
        <v>1</v>
      </c>
      <c r="S383" s="45"/>
      <c r="T383" t="b">
        <f>(S383+S384+S385)=P4</f>
        <v>0</v>
      </c>
      <c r="X383" s="1">
        <f t="shared" si="33"/>
        <v>0</v>
      </c>
      <c r="Y383" s="48">
        <v>0</v>
      </c>
      <c r="AA383" s="1">
        <v>2</v>
      </c>
      <c r="AB383" s="1" t="s">
        <v>13</v>
      </c>
      <c r="AC383" s="1" t="s">
        <v>19</v>
      </c>
      <c r="AD383" s="1">
        <v>12</v>
      </c>
      <c r="AE383" s="1">
        <v>11</v>
      </c>
      <c r="AF383" s="1">
        <v>0.8</v>
      </c>
      <c r="AG383" s="1">
        <v>0.86</v>
      </c>
      <c r="AH383" s="1">
        <v>0</v>
      </c>
      <c r="AI383" s="1">
        <v>0</v>
      </c>
      <c r="AJ383" s="1">
        <f t="shared" si="29"/>
        <v>0</v>
      </c>
      <c r="AK383" s="1">
        <f>C34</f>
        <v>0</v>
      </c>
      <c r="AL383" s="1">
        <f>C40</f>
        <v>0</v>
      </c>
      <c r="AM383" s="1">
        <f t="shared" si="30"/>
        <v>0</v>
      </c>
      <c r="AN383" s="1">
        <f t="shared" si="31"/>
        <v>0</v>
      </c>
      <c r="AO383" s="1">
        <f t="shared" si="32"/>
        <v>0</v>
      </c>
      <c r="AP383" t="b" cm="1">
        <f t="array" ref="AP383">INDEX($AU$8:$BB$25,6*(R383-1)+MATCH(AB383,$AS$8:$AS$13,0),MATCH(O383,$AU$7:$BB$7,0))</f>
        <v>1</v>
      </c>
    </row>
    <row r="384" spans="15:42" ht="14.25" x14ac:dyDescent="0.45">
      <c r="O384" s="43" t="s">
        <v>31</v>
      </c>
      <c r="P384" s="43">
        <v>3</v>
      </c>
      <c r="Q384" s="43">
        <v>14</v>
      </c>
      <c r="R384" s="43">
        <v>2</v>
      </c>
      <c r="S384" s="45"/>
      <c r="T384" t="b">
        <f>(S383+S384+S385)=P4</f>
        <v>0</v>
      </c>
      <c r="X384" s="1">
        <f t="shared" si="33"/>
        <v>0</v>
      </c>
      <c r="Y384" s="48">
        <v>0</v>
      </c>
      <c r="AA384" s="1">
        <v>2</v>
      </c>
      <c r="AB384" s="1" t="s">
        <v>13</v>
      </c>
      <c r="AC384" s="1" t="s">
        <v>19</v>
      </c>
      <c r="AD384" s="1">
        <v>12</v>
      </c>
      <c r="AE384" s="1">
        <v>11</v>
      </c>
      <c r="AF384" s="1">
        <v>0.8</v>
      </c>
      <c r="AG384" s="1">
        <v>0.86</v>
      </c>
      <c r="AH384" s="1">
        <v>0</v>
      </c>
      <c r="AI384" s="1">
        <v>0</v>
      </c>
      <c r="AJ384" s="1">
        <f t="shared" si="29"/>
        <v>0</v>
      </c>
      <c r="AK384" s="1">
        <f>D34</f>
        <v>0</v>
      </c>
      <c r="AL384" s="1">
        <f>D40</f>
        <v>0</v>
      </c>
      <c r="AM384" s="1">
        <f t="shared" si="30"/>
        <v>0</v>
      </c>
      <c r="AN384" s="1">
        <f t="shared" si="31"/>
        <v>0</v>
      </c>
      <c r="AO384" s="1">
        <f t="shared" si="32"/>
        <v>0</v>
      </c>
      <c r="AP384" t="b" cm="1">
        <f t="array" ref="AP384">INDEX($AU$8:$BB$25,6*(R384-1)+MATCH(AB384,$AS$8:$AS$13,0),MATCH(O384,$AU$7:$BB$7,0))</f>
        <v>1</v>
      </c>
    </row>
    <row r="385" spans="15:42" ht="14.25" x14ac:dyDescent="0.45">
      <c r="O385" s="43" t="s">
        <v>31</v>
      </c>
      <c r="P385" s="43">
        <v>3</v>
      </c>
      <c r="Q385" s="43">
        <v>14</v>
      </c>
      <c r="R385" s="43">
        <v>3</v>
      </c>
      <c r="S385" s="45"/>
      <c r="T385" t="b">
        <f>(S383+S384+S385)=P4</f>
        <v>0</v>
      </c>
      <c r="X385" s="1">
        <f t="shared" si="33"/>
        <v>0</v>
      </c>
      <c r="Y385" s="48">
        <v>0</v>
      </c>
      <c r="AA385" s="1">
        <v>2</v>
      </c>
      <c r="AB385" s="1" t="s">
        <v>13</v>
      </c>
      <c r="AC385" s="1" t="s">
        <v>19</v>
      </c>
      <c r="AD385" s="1">
        <v>12</v>
      </c>
      <c r="AE385" s="1">
        <v>11</v>
      </c>
      <c r="AF385" s="1">
        <v>0.8</v>
      </c>
      <c r="AG385" s="1">
        <v>0.86</v>
      </c>
      <c r="AH385" s="1">
        <v>0</v>
      </c>
      <c r="AI385" s="1">
        <v>0</v>
      </c>
      <c r="AJ385" s="1">
        <f t="shared" si="29"/>
        <v>0</v>
      </c>
      <c r="AK385" s="1">
        <f>E34</f>
        <v>0</v>
      </c>
      <c r="AL385" s="1">
        <f>E40</f>
        <v>0</v>
      </c>
      <c r="AM385" s="1">
        <f t="shared" si="30"/>
        <v>0</v>
      </c>
      <c r="AN385" s="1">
        <f t="shared" si="31"/>
        <v>0</v>
      </c>
      <c r="AO385" s="1">
        <f t="shared" si="32"/>
        <v>0</v>
      </c>
      <c r="AP385" t="b" cm="1">
        <f t="array" ref="AP385">INDEX($AU$8:$BB$25,6*(R385-1)+MATCH(AB385,$AS$8:$AS$13,0),MATCH(O385,$AU$7:$BB$7,0))</f>
        <v>1</v>
      </c>
    </row>
    <row r="386" spans="15:42" ht="14.25" x14ac:dyDescent="0.45">
      <c r="O386" s="43" t="s">
        <v>31</v>
      </c>
      <c r="P386" s="43">
        <v>3</v>
      </c>
      <c r="Q386" s="43">
        <v>15</v>
      </c>
      <c r="R386" s="43">
        <v>1</v>
      </c>
      <c r="S386" s="45"/>
      <c r="T386" t="b">
        <f>(S386+S387+S388)=P4</f>
        <v>0</v>
      </c>
      <c r="X386" s="1">
        <f t="shared" si="33"/>
        <v>0</v>
      </c>
      <c r="Y386" s="48">
        <v>0</v>
      </c>
      <c r="AA386" s="1">
        <v>2</v>
      </c>
      <c r="AB386" s="1" t="s">
        <v>14</v>
      </c>
      <c r="AC386" s="1" t="s">
        <v>20</v>
      </c>
      <c r="AD386" s="1">
        <v>11</v>
      </c>
      <c r="AE386" s="1">
        <v>10</v>
      </c>
      <c r="AF386" s="1">
        <v>0.8</v>
      </c>
      <c r="AG386" s="1">
        <v>0.88</v>
      </c>
      <c r="AH386" s="1">
        <v>0</v>
      </c>
      <c r="AI386" s="1">
        <v>0</v>
      </c>
      <c r="AJ386" s="1">
        <f t="shared" si="29"/>
        <v>0</v>
      </c>
      <c r="AK386" s="1">
        <f>C35</f>
        <v>0</v>
      </c>
      <c r="AL386" s="1">
        <f>C41</f>
        <v>0</v>
      </c>
      <c r="AM386" s="1">
        <f t="shared" si="30"/>
        <v>0</v>
      </c>
      <c r="AN386" s="1">
        <f t="shared" si="31"/>
        <v>0</v>
      </c>
      <c r="AO386" s="1">
        <f t="shared" si="32"/>
        <v>0</v>
      </c>
      <c r="AP386" t="b" cm="1">
        <f t="array" ref="AP386">INDEX($AU$8:$BB$25,6*(R386-1)+MATCH(AB386,$AS$8:$AS$13,0),MATCH(O386,$AU$7:$BB$7,0))</f>
        <v>1</v>
      </c>
    </row>
    <row r="387" spans="15:42" ht="14.25" x14ac:dyDescent="0.45">
      <c r="O387" s="43" t="s">
        <v>31</v>
      </c>
      <c r="P387" s="43">
        <v>3</v>
      </c>
      <c r="Q387" s="43">
        <v>15</v>
      </c>
      <c r="R387" s="43">
        <v>2</v>
      </c>
      <c r="S387" s="45"/>
      <c r="T387" t="b">
        <f>(S386+S387+S388)=P4</f>
        <v>0</v>
      </c>
      <c r="X387" s="1">
        <f t="shared" si="33"/>
        <v>0</v>
      </c>
      <c r="Y387" s="48">
        <v>0</v>
      </c>
      <c r="AA387" s="1">
        <v>2</v>
      </c>
      <c r="AB387" s="1" t="s">
        <v>14</v>
      </c>
      <c r="AC387" s="1" t="s">
        <v>20</v>
      </c>
      <c r="AD387" s="1">
        <v>11</v>
      </c>
      <c r="AE387" s="1">
        <v>10</v>
      </c>
      <c r="AF387" s="1">
        <v>0.8</v>
      </c>
      <c r="AG387" s="1">
        <v>0.88</v>
      </c>
      <c r="AH387" s="1">
        <v>0</v>
      </c>
      <c r="AI387" s="1">
        <v>0</v>
      </c>
      <c r="AJ387" s="1">
        <f t="shared" si="29"/>
        <v>0</v>
      </c>
      <c r="AK387" s="1">
        <f>D35</f>
        <v>0</v>
      </c>
      <c r="AL387" s="1">
        <f>D41</f>
        <v>0</v>
      </c>
      <c r="AM387" s="1">
        <f t="shared" si="30"/>
        <v>0</v>
      </c>
      <c r="AN387" s="1">
        <f t="shared" si="31"/>
        <v>0</v>
      </c>
      <c r="AO387" s="1">
        <f t="shared" si="32"/>
        <v>0</v>
      </c>
      <c r="AP387" t="b" cm="1">
        <f t="array" ref="AP387">INDEX($AU$8:$BB$25,6*(R387-1)+MATCH(AB387,$AS$8:$AS$13,0),MATCH(O387,$AU$7:$BB$7,0))</f>
        <v>1</v>
      </c>
    </row>
    <row r="388" spans="15:42" ht="14.25" x14ac:dyDescent="0.45">
      <c r="O388" s="43" t="s">
        <v>31</v>
      </c>
      <c r="P388" s="43">
        <v>3</v>
      </c>
      <c r="Q388" s="43">
        <v>15</v>
      </c>
      <c r="R388" s="43">
        <v>3</v>
      </c>
      <c r="S388" s="45"/>
      <c r="T388" t="b">
        <f>(S386+S387+S388)=P4</f>
        <v>0</v>
      </c>
      <c r="X388" s="1">
        <f t="shared" si="33"/>
        <v>0</v>
      </c>
      <c r="Y388" s="48">
        <v>0</v>
      </c>
      <c r="AA388" s="1">
        <v>2</v>
      </c>
      <c r="AB388" s="1" t="s">
        <v>14</v>
      </c>
      <c r="AC388" s="1" t="s">
        <v>20</v>
      </c>
      <c r="AD388" s="1">
        <v>11</v>
      </c>
      <c r="AE388" s="1">
        <v>10</v>
      </c>
      <c r="AF388" s="1">
        <v>0.8</v>
      </c>
      <c r="AG388" s="1">
        <v>0.88</v>
      </c>
      <c r="AH388" s="1">
        <v>0</v>
      </c>
      <c r="AI388" s="1">
        <v>0</v>
      </c>
      <c r="AJ388" s="1">
        <f t="shared" si="29"/>
        <v>0</v>
      </c>
      <c r="AK388" s="1">
        <f>E35</f>
        <v>0</v>
      </c>
      <c r="AL388" s="1">
        <f>E41</f>
        <v>0</v>
      </c>
      <c r="AM388" s="1">
        <f t="shared" si="30"/>
        <v>0</v>
      </c>
      <c r="AN388" s="1">
        <f t="shared" si="31"/>
        <v>0</v>
      </c>
      <c r="AO388" s="1">
        <f t="shared" si="32"/>
        <v>0</v>
      </c>
      <c r="AP388" t="b" cm="1">
        <f t="array" ref="AP388">INDEX($AU$8:$BB$25,6*(R388-1)+MATCH(AB388,$AS$8:$AS$13,0),MATCH(O388,$AU$7:$BB$7,0))</f>
        <v>1</v>
      </c>
    </row>
    <row r="389" spans="15:42" ht="14.25" x14ac:dyDescent="0.45">
      <c r="O389" s="43" t="s">
        <v>31</v>
      </c>
      <c r="P389" s="43">
        <v>3</v>
      </c>
      <c r="Q389" s="43">
        <v>16</v>
      </c>
      <c r="R389" s="43">
        <v>1</v>
      </c>
      <c r="S389" s="45"/>
      <c r="T389" t="b">
        <f>(S389+S390+S391)=P4</f>
        <v>0</v>
      </c>
      <c r="X389" s="1">
        <f t="shared" si="33"/>
        <v>0</v>
      </c>
      <c r="Y389" s="48">
        <v>0</v>
      </c>
      <c r="AA389" s="1">
        <v>4</v>
      </c>
      <c r="AB389" s="1" t="s">
        <v>13</v>
      </c>
      <c r="AC389" s="1" t="s">
        <v>19</v>
      </c>
      <c r="AD389" s="1">
        <v>25</v>
      </c>
      <c r="AE389" s="1">
        <v>20</v>
      </c>
      <c r="AF389" s="1">
        <v>0.8</v>
      </c>
      <c r="AG389" s="1">
        <v>0.86</v>
      </c>
      <c r="AH389" s="1">
        <v>0</v>
      </c>
      <c r="AI389" s="1">
        <v>0</v>
      </c>
      <c r="AJ389" s="1">
        <f t="shared" si="29"/>
        <v>0</v>
      </c>
      <c r="AK389" s="1">
        <f>C34</f>
        <v>0</v>
      </c>
      <c r="AL389" s="1">
        <f>C40</f>
        <v>0</v>
      </c>
      <c r="AM389" s="1">
        <f t="shared" si="30"/>
        <v>0</v>
      </c>
      <c r="AN389" s="1">
        <f t="shared" si="31"/>
        <v>0</v>
      </c>
      <c r="AO389" s="1">
        <f t="shared" si="32"/>
        <v>0</v>
      </c>
      <c r="AP389" t="b" cm="1">
        <f t="array" ref="AP389">INDEX($AU$8:$BB$25,6*(R389-1)+MATCH(AB389,$AS$8:$AS$13,0),MATCH(O389,$AU$7:$BB$7,0))</f>
        <v>1</v>
      </c>
    </row>
    <row r="390" spans="15:42" ht="14.25" x14ac:dyDescent="0.45">
      <c r="O390" s="43" t="s">
        <v>31</v>
      </c>
      <c r="P390" s="43">
        <v>3</v>
      </c>
      <c r="Q390" s="43">
        <v>16</v>
      </c>
      <c r="R390" s="43">
        <v>2</v>
      </c>
      <c r="S390" s="45"/>
      <c r="T390" t="b">
        <f>(S389+S390+S391)=P4</f>
        <v>0</v>
      </c>
      <c r="X390" s="1">
        <f t="shared" si="33"/>
        <v>0</v>
      </c>
      <c r="Y390" s="48">
        <v>0</v>
      </c>
      <c r="AA390" s="1">
        <v>4</v>
      </c>
      <c r="AB390" s="1" t="s">
        <v>13</v>
      </c>
      <c r="AC390" s="1" t="s">
        <v>19</v>
      </c>
      <c r="AD390" s="1">
        <v>25</v>
      </c>
      <c r="AE390" s="1">
        <v>20</v>
      </c>
      <c r="AF390" s="1">
        <v>0.8</v>
      </c>
      <c r="AG390" s="1">
        <v>0.86</v>
      </c>
      <c r="AH390" s="1">
        <v>0</v>
      </c>
      <c r="AI390" s="1">
        <v>0</v>
      </c>
      <c r="AJ390" s="1">
        <f t="shared" si="29"/>
        <v>0</v>
      </c>
      <c r="AK390" s="1">
        <f>D34</f>
        <v>0</v>
      </c>
      <c r="AL390" s="1">
        <f>D40</f>
        <v>0</v>
      </c>
      <c r="AM390" s="1">
        <f t="shared" si="30"/>
        <v>0</v>
      </c>
      <c r="AN390" s="1">
        <f t="shared" si="31"/>
        <v>0</v>
      </c>
      <c r="AO390" s="1">
        <f t="shared" si="32"/>
        <v>0</v>
      </c>
      <c r="AP390" t="b" cm="1">
        <f t="array" ref="AP390">INDEX($AU$8:$BB$25,6*(R390-1)+MATCH(AB390,$AS$8:$AS$13,0),MATCH(O390,$AU$7:$BB$7,0))</f>
        <v>1</v>
      </c>
    </row>
    <row r="391" spans="15:42" ht="14.25" x14ac:dyDescent="0.45">
      <c r="O391" s="43" t="s">
        <v>31</v>
      </c>
      <c r="P391" s="43">
        <v>3</v>
      </c>
      <c r="Q391" s="43">
        <v>16</v>
      </c>
      <c r="R391" s="43">
        <v>3</v>
      </c>
      <c r="S391" s="45"/>
      <c r="T391" t="b">
        <f>(S389+S390+S391)=P4</f>
        <v>0</v>
      </c>
      <c r="X391" s="1">
        <f t="shared" si="33"/>
        <v>0</v>
      </c>
      <c r="Y391" s="48">
        <v>0</v>
      </c>
      <c r="AA391" s="1">
        <v>4</v>
      </c>
      <c r="AB391" s="1" t="s">
        <v>13</v>
      </c>
      <c r="AC391" s="1" t="s">
        <v>19</v>
      </c>
      <c r="AD391" s="1">
        <v>25</v>
      </c>
      <c r="AE391" s="1">
        <v>20</v>
      </c>
      <c r="AF391" s="1">
        <v>0.8</v>
      </c>
      <c r="AG391" s="1">
        <v>0.86</v>
      </c>
      <c r="AH391" s="1">
        <v>0</v>
      </c>
      <c r="AI391" s="1">
        <v>0</v>
      </c>
      <c r="AJ391" s="1">
        <f t="shared" si="29"/>
        <v>0</v>
      </c>
      <c r="AK391" s="1">
        <f>E34</f>
        <v>0</v>
      </c>
      <c r="AL391" s="1">
        <f>E40</f>
        <v>0</v>
      </c>
      <c r="AM391" s="1">
        <f t="shared" si="30"/>
        <v>0</v>
      </c>
      <c r="AN391" s="1">
        <f t="shared" si="31"/>
        <v>0</v>
      </c>
      <c r="AO391" s="1">
        <f t="shared" si="32"/>
        <v>0</v>
      </c>
      <c r="AP391" t="b" cm="1">
        <f t="array" ref="AP391">INDEX($AU$8:$BB$25,6*(R391-1)+MATCH(AB391,$AS$8:$AS$13,0),MATCH(O391,$AU$7:$BB$7,0))</f>
        <v>1</v>
      </c>
    </row>
    <row r="392" spans="15:42" ht="14.25" x14ac:dyDescent="0.45">
      <c r="O392" s="43" t="s">
        <v>31</v>
      </c>
      <c r="P392" s="43">
        <v>3</v>
      </c>
      <c r="Q392" s="43">
        <v>17</v>
      </c>
      <c r="R392" s="43">
        <v>1</v>
      </c>
      <c r="S392" s="45"/>
      <c r="T392" t="b">
        <f>(S392+S393+S394)=P4</f>
        <v>0</v>
      </c>
      <c r="X392" s="1">
        <f t="shared" si="33"/>
        <v>0</v>
      </c>
      <c r="Y392" s="48">
        <v>0</v>
      </c>
      <c r="AA392" s="1">
        <v>1</v>
      </c>
      <c r="AB392" s="1" t="s">
        <v>16</v>
      </c>
      <c r="AC392" s="1" t="s">
        <v>22</v>
      </c>
      <c r="AD392" s="1">
        <v>14</v>
      </c>
      <c r="AE392" s="1">
        <v>13</v>
      </c>
      <c r="AF392" s="1">
        <v>0.8</v>
      </c>
      <c r="AG392" s="1">
        <v>0.9</v>
      </c>
      <c r="AH392" s="1">
        <v>0</v>
      </c>
      <c r="AI392" s="1">
        <v>0</v>
      </c>
      <c r="AJ392" s="1">
        <f t="shared" si="29"/>
        <v>0</v>
      </c>
      <c r="AK392" s="1">
        <f>C37</f>
        <v>0</v>
      </c>
      <c r="AL392" s="1">
        <f>C43</f>
        <v>0</v>
      </c>
      <c r="AM392" s="1">
        <f t="shared" si="30"/>
        <v>0</v>
      </c>
      <c r="AN392" s="1">
        <f t="shared" si="31"/>
        <v>0</v>
      </c>
      <c r="AO392" s="1">
        <f t="shared" si="32"/>
        <v>0</v>
      </c>
      <c r="AP392" t="b" cm="1">
        <f t="array" ref="AP392">INDEX($AU$8:$BB$25,6*(R392-1)+MATCH(AB392,$AS$8:$AS$13,0),MATCH(O392,$AU$7:$BB$7,0))</f>
        <v>1</v>
      </c>
    </row>
    <row r="393" spans="15:42" ht="14.25" x14ac:dyDescent="0.45">
      <c r="O393" s="43" t="s">
        <v>31</v>
      </c>
      <c r="P393" s="43">
        <v>3</v>
      </c>
      <c r="Q393" s="43">
        <v>17</v>
      </c>
      <c r="R393" s="43">
        <v>2</v>
      </c>
      <c r="S393" s="45"/>
      <c r="T393" t="b">
        <f>(S392+S393+S394)=P4</f>
        <v>0</v>
      </c>
      <c r="X393" s="1">
        <f t="shared" si="33"/>
        <v>0</v>
      </c>
      <c r="Y393" s="48">
        <v>0</v>
      </c>
      <c r="AA393" s="1">
        <v>1</v>
      </c>
      <c r="AB393" s="1" t="s">
        <v>16</v>
      </c>
      <c r="AC393" s="1" t="s">
        <v>22</v>
      </c>
      <c r="AD393" s="1">
        <v>14</v>
      </c>
      <c r="AE393" s="1">
        <v>13</v>
      </c>
      <c r="AF393" s="1">
        <v>0.8</v>
      </c>
      <c r="AG393" s="1">
        <v>0.9</v>
      </c>
      <c r="AH393" s="1">
        <v>0</v>
      </c>
      <c r="AI393" s="1">
        <v>0</v>
      </c>
      <c r="AJ393" s="1">
        <f t="shared" ref="AJ393:AJ456" si="34">SUMIFS(AH$8:AH$1039,$O$8:$O$1039,O393,$AB$8:$AB$1039,AB393,$R$8:$R$1039,R393,$AA$8:$AA$1039,"&lt;="&amp;AA393)</f>
        <v>0</v>
      </c>
      <c r="AK393" s="1">
        <f>D37</f>
        <v>0</v>
      </c>
      <c r="AL393" s="1">
        <f>D43</f>
        <v>0</v>
      </c>
      <c r="AM393" s="1">
        <f t="shared" ref="AM393:AM456" si="35">MAX(0,AJ393-AK393)</f>
        <v>0</v>
      </c>
      <c r="AN393" s="1">
        <f t="shared" ref="AN393:AN456" si="36">IF(AM393=0,AH393,IF(AM393&gt;=AH393,0,AH393-AM393))</f>
        <v>0</v>
      </c>
      <c r="AO393" s="1">
        <f t="shared" ref="AO393:AO456" si="37">IF(AM393&gt;=AH393,AI393,AI393*AM393/AH393)</f>
        <v>0</v>
      </c>
      <c r="AP393" t="b" cm="1">
        <f t="array" ref="AP393">INDEX($AU$8:$BB$25,6*(R393-1)+MATCH(AB393,$AS$8:$AS$13,0),MATCH(O393,$AU$7:$BB$7,0))</f>
        <v>1</v>
      </c>
    </row>
    <row r="394" spans="15:42" ht="14.25" x14ac:dyDescent="0.45">
      <c r="O394" s="43" t="s">
        <v>31</v>
      </c>
      <c r="P394" s="43">
        <v>3</v>
      </c>
      <c r="Q394" s="43">
        <v>17</v>
      </c>
      <c r="R394" s="43">
        <v>3</v>
      </c>
      <c r="S394" s="45"/>
      <c r="T394" t="b">
        <f>(S392+S393+S394)=P4</f>
        <v>0</v>
      </c>
      <c r="X394" s="1">
        <f t="shared" si="33"/>
        <v>0</v>
      </c>
      <c r="Y394" s="48">
        <v>0</v>
      </c>
      <c r="AA394" s="1">
        <v>1</v>
      </c>
      <c r="AB394" s="1" t="s">
        <v>16</v>
      </c>
      <c r="AC394" s="1" t="s">
        <v>22</v>
      </c>
      <c r="AD394" s="1">
        <v>14</v>
      </c>
      <c r="AE394" s="1">
        <v>13</v>
      </c>
      <c r="AF394" s="1">
        <v>0.8</v>
      </c>
      <c r="AG394" s="1">
        <v>0.9</v>
      </c>
      <c r="AH394" s="1">
        <v>0</v>
      </c>
      <c r="AI394" s="1">
        <v>0</v>
      </c>
      <c r="AJ394" s="1">
        <f t="shared" si="34"/>
        <v>0</v>
      </c>
      <c r="AK394" s="1">
        <f>E37</f>
        <v>0</v>
      </c>
      <c r="AL394" s="1">
        <f>E43</f>
        <v>0</v>
      </c>
      <c r="AM394" s="1">
        <f t="shared" si="35"/>
        <v>0</v>
      </c>
      <c r="AN394" s="1">
        <f t="shared" si="36"/>
        <v>0</v>
      </c>
      <c r="AO394" s="1">
        <f t="shared" si="37"/>
        <v>0</v>
      </c>
      <c r="AP394" t="b" cm="1">
        <f t="array" ref="AP394">INDEX($AU$8:$BB$25,6*(R394-1)+MATCH(AB394,$AS$8:$AS$13,0),MATCH(O394,$AU$7:$BB$7,0))</f>
        <v>1</v>
      </c>
    </row>
    <row r="395" spans="15:42" ht="14.25" x14ac:dyDescent="0.45">
      <c r="O395" s="43" t="s">
        <v>32</v>
      </c>
      <c r="P395" s="43">
        <v>1</v>
      </c>
      <c r="Q395" s="43">
        <v>1</v>
      </c>
      <c r="R395" s="43">
        <v>1</v>
      </c>
      <c r="S395" s="45"/>
      <c r="T395" t="b">
        <f>(S395+S396+S397)=Q2</f>
        <v>0</v>
      </c>
      <c r="X395" s="1">
        <v>0</v>
      </c>
      <c r="Y395" s="48">
        <v>0</v>
      </c>
      <c r="AA395" s="1">
        <v>4</v>
      </c>
      <c r="AB395" s="1" t="s">
        <v>14</v>
      </c>
      <c r="AC395" s="1" t="s">
        <v>20</v>
      </c>
      <c r="AD395" s="1">
        <v>14</v>
      </c>
      <c r="AE395" s="1">
        <v>12</v>
      </c>
      <c r="AF395" s="1">
        <v>0.8</v>
      </c>
      <c r="AG395" s="1">
        <v>0.88</v>
      </c>
      <c r="AH395" s="1">
        <v>0</v>
      </c>
      <c r="AI395" s="1">
        <v>0</v>
      </c>
      <c r="AJ395" s="1">
        <f t="shared" si="34"/>
        <v>0</v>
      </c>
      <c r="AK395" s="1">
        <f>C47</f>
        <v>0</v>
      </c>
      <c r="AL395" s="1">
        <f>C53</f>
        <v>0</v>
      </c>
      <c r="AM395" s="1">
        <f t="shared" si="35"/>
        <v>0</v>
      </c>
      <c r="AN395" s="1">
        <f t="shared" si="36"/>
        <v>0</v>
      </c>
      <c r="AO395" s="1">
        <f t="shared" si="37"/>
        <v>0</v>
      </c>
      <c r="AP395" t="b" cm="1">
        <f t="array" ref="AP395">INDEX($AU$8:$BB$25,6*(R395-1)+MATCH(AB395,$AS$8:$AS$13,0),MATCH(O395,$AU$7:$BB$7,0))</f>
        <v>1</v>
      </c>
    </row>
    <row r="396" spans="15:42" ht="14.25" x14ac:dyDescent="0.45">
      <c r="O396" s="43" t="s">
        <v>32</v>
      </c>
      <c r="P396" s="43">
        <v>1</v>
      </c>
      <c r="Q396" s="43">
        <v>1</v>
      </c>
      <c r="R396" s="43">
        <v>2</v>
      </c>
      <c r="S396" s="45"/>
      <c r="T396" t="b">
        <f>(S395+S396+S397)=Q2</f>
        <v>0</v>
      </c>
      <c r="X396" s="1">
        <v>0</v>
      </c>
      <c r="Y396" s="48">
        <v>0</v>
      </c>
      <c r="AA396" s="1">
        <v>4</v>
      </c>
      <c r="AB396" s="1" t="s">
        <v>14</v>
      </c>
      <c r="AC396" s="1" t="s">
        <v>20</v>
      </c>
      <c r="AD396" s="1">
        <v>14</v>
      </c>
      <c r="AE396" s="1">
        <v>12</v>
      </c>
      <c r="AF396" s="1">
        <v>0.8</v>
      </c>
      <c r="AG396" s="1">
        <v>0.88</v>
      </c>
      <c r="AH396" s="1">
        <v>0</v>
      </c>
      <c r="AI396" s="1">
        <v>0</v>
      </c>
      <c r="AJ396" s="1">
        <f t="shared" si="34"/>
        <v>0</v>
      </c>
      <c r="AK396" s="1">
        <f>D47</f>
        <v>0</v>
      </c>
      <c r="AL396" s="1">
        <f>D53</f>
        <v>0</v>
      </c>
      <c r="AM396" s="1">
        <f t="shared" si="35"/>
        <v>0</v>
      </c>
      <c r="AN396" s="1">
        <f t="shared" si="36"/>
        <v>0</v>
      </c>
      <c r="AO396" s="1">
        <f t="shared" si="37"/>
        <v>0</v>
      </c>
      <c r="AP396" t="b" cm="1">
        <f t="array" ref="AP396">INDEX($AU$8:$BB$25,6*(R396-1)+MATCH(AB396,$AS$8:$AS$13,0),MATCH(O396,$AU$7:$BB$7,0))</f>
        <v>1</v>
      </c>
    </row>
    <row r="397" spans="15:42" ht="14.25" x14ac:dyDescent="0.45">
      <c r="O397" s="43" t="s">
        <v>32</v>
      </c>
      <c r="P397" s="43">
        <v>1</v>
      </c>
      <c r="Q397" s="43">
        <v>1</v>
      </c>
      <c r="R397" s="43">
        <v>3</v>
      </c>
      <c r="S397" s="45"/>
      <c r="T397" t="b">
        <f>(S395+S396+S397)=Q2</f>
        <v>0</v>
      </c>
      <c r="X397" s="1">
        <v>0</v>
      </c>
      <c r="Y397" s="48">
        <v>0</v>
      </c>
      <c r="AA397" s="1">
        <v>4</v>
      </c>
      <c r="AB397" s="1" t="s">
        <v>14</v>
      </c>
      <c r="AC397" s="1" t="s">
        <v>20</v>
      </c>
      <c r="AD397" s="1">
        <v>14</v>
      </c>
      <c r="AE397" s="1">
        <v>12</v>
      </c>
      <c r="AF397" s="1">
        <v>0.8</v>
      </c>
      <c r="AG397" s="1">
        <v>0.88</v>
      </c>
      <c r="AH397" s="1">
        <v>0</v>
      </c>
      <c r="AI397" s="1">
        <v>0</v>
      </c>
      <c r="AJ397" s="1">
        <f t="shared" si="34"/>
        <v>0</v>
      </c>
      <c r="AK397" s="1">
        <f>E47</f>
        <v>0</v>
      </c>
      <c r="AL397" s="1">
        <f>E53</f>
        <v>0</v>
      </c>
      <c r="AM397" s="1">
        <f t="shared" si="35"/>
        <v>0</v>
      </c>
      <c r="AN397" s="1">
        <f t="shared" si="36"/>
        <v>0</v>
      </c>
      <c r="AO397" s="1">
        <f t="shared" si="37"/>
        <v>0</v>
      </c>
      <c r="AP397" t="b" cm="1">
        <f t="array" ref="AP397">INDEX($AU$8:$BB$25,6*(R397-1)+MATCH(AB397,$AS$8:$AS$13,0),MATCH(O397,$AU$7:$BB$7,0))</f>
        <v>1</v>
      </c>
    </row>
    <row r="398" spans="15:42" ht="14.25" x14ac:dyDescent="0.45">
      <c r="O398" s="43" t="s">
        <v>32</v>
      </c>
      <c r="P398" s="43">
        <v>1</v>
      </c>
      <c r="Q398" s="43">
        <v>2</v>
      </c>
      <c r="R398" s="43">
        <v>1</v>
      </c>
      <c r="S398" s="45"/>
      <c r="T398" t="b">
        <f>(S398+S399+S400)=Q2</f>
        <v>0</v>
      </c>
      <c r="X398" s="1">
        <f>MAX(S395-S398,0)</f>
        <v>0</v>
      </c>
      <c r="Y398" s="48">
        <v>0</v>
      </c>
      <c r="AA398" s="1">
        <v>10</v>
      </c>
      <c r="AB398" s="1" t="s">
        <v>16</v>
      </c>
      <c r="AC398" s="1" t="s">
        <v>22</v>
      </c>
      <c r="AD398" s="1">
        <v>25</v>
      </c>
      <c r="AE398" s="1">
        <v>21</v>
      </c>
      <c r="AF398" s="1">
        <v>0.8</v>
      </c>
      <c r="AG398" s="1">
        <v>0.9</v>
      </c>
      <c r="AH398" s="1">
        <v>0</v>
      </c>
      <c r="AI398" s="1">
        <v>0</v>
      </c>
      <c r="AJ398" s="1">
        <f t="shared" si="34"/>
        <v>0</v>
      </c>
      <c r="AK398" s="1">
        <f>C49</f>
        <v>0</v>
      </c>
      <c r="AL398" s="1">
        <f>C55</f>
        <v>0</v>
      </c>
      <c r="AM398" s="1">
        <f t="shared" si="35"/>
        <v>0</v>
      </c>
      <c r="AN398" s="1">
        <f t="shared" si="36"/>
        <v>0</v>
      </c>
      <c r="AO398" s="1">
        <f t="shared" si="37"/>
        <v>0</v>
      </c>
      <c r="AP398" t="b" cm="1">
        <f t="array" ref="AP398">INDEX($AU$8:$BB$25,6*(R398-1)+MATCH(AB398,$AS$8:$AS$13,0),MATCH(O398,$AU$7:$BB$7,0))</f>
        <v>1</v>
      </c>
    </row>
    <row r="399" spans="15:42" ht="14.25" x14ac:dyDescent="0.45">
      <c r="O399" s="43" t="s">
        <v>32</v>
      </c>
      <c r="P399" s="43">
        <v>1</v>
      </c>
      <c r="Q399" s="43">
        <v>2</v>
      </c>
      <c r="R399" s="43">
        <v>2</v>
      </c>
      <c r="S399" s="45"/>
      <c r="T399" t="b">
        <f>(S398+S399+S400)=Q2</f>
        <v>0</v>
      </c>
      <c r="X399" s="1">
        <f t="shared" ref="X399:X427" si="38">MAX(S396-S399,0)</f>
        <v>0</v>
      </c>
      <c r="Y399" s="48">
        <v>0</v>
      </c>
      <c r="AA399" s="1">
        <v>10</v>
      </c>
      <c r="AB399" s="1" t="s">
        <v>16</v>
      </c>
      <c r="AC399" s="1" t="s">
        <v>22</v>
      </c>
      <c r="AD399" s="1">
        <v>25</v>
      </c>
      <c r="AE399" s="1">
        <v>21</v>
      </c>
      <c r="AF399" s="1">
        <v>0.8</v>
      </c>
      <c r="AG399" s="1">
        <v>0.9</v>
      </c>
      <c r="AH399" s="1">
        <v>0</v>
      </c>
      <c r="AI399" s="1">
        <v>0</v>
      </c>
      <c r="AJ399" s="1">
        <f t="shared" si="34"/>
        <v>0</v>
      </c>
      <c r="AK399" s="1">
        <f>D49</f>
        <v>0</v>
      </c>
      <c r="AL399" s="1">
        <f>D55</f>
        <v>0</v>
      </c>
      <c r="AM399" s="1">
        <f t="shared" si="35"/>
        <v>0</v>
      </c>
      <c r="AN399" s="1">
        <f t="shared" si="36"/>
        <v>0</v>
      </c>
      <c r="AO399" s="1">
        <f t="shared" si="37"/>
        <v>0</v>
      </c>
      <c r="AP399" t="b" cm="1">
        <f t="array" ref="AP399">INDEX($AU$8:$BB$25,6*(R399-1)+MATCH(AB399,$AS$8:$AS$13,0),MATCH(O399,$AU$7:$BB$7,0))</f>
        <v>1</v>
      </c>
    </row>
    <row r="400" spans="15:42" ht="14.25" x14ac:dyDescent="0.45">
      <c r="O400" s="43" t="s">
        <v>32</v>
      </c>
      <c r="P400" s="43">
        <v>1</v>
      </c>
      <c r="Q400" s="43">
        <v>2</v>
      </c>
      <c r="R400" s="43">
        <v>3</v>
      </c>
      <c r="S400" s="45"/>
      <c r="T400" t="b">
        <f>(S398+S399+S400)=Q2</f>
        <v>0</v>
      </c>
      <c r="X400" s="1">
        <f t="shared" si="38"/>
        <v>0</v>
      </c>
      <c r="Y400" s="48">
        <v>0</v>
      </c>
      <c r="AA400" s="1">
        <v>10</v>
      </c>
      <c r="AB400" s="1" t="s">
        <v>16</v>
      </c>
      <c r="AC400" s="1" t="s">
        <v>22</v>
      </c>
      <c r="AD400" s="1">
        <v>25</v>
      </c>
      <c r="AE400" s="1">
        <v>21</v>
      </c>
      <c r="AF400" s="1">
        <v>0.8</v>
      </c>
      <c r="AG400" s="1">
        <v>0.9</v>
      </c>
      <c r="AH400" s="1">
        <v>0</v>
      </c>
      <c r="AI400" s="1">
        <v>0</v>
      </c>
      <c r="AJ400" s="1">
        <f t="shared" si="34"/>
        <v>0</v>
      </c>
      <c r="AK400" s="1">
        <f>E49</f>
        <v>0</v>
      </c>
      <c r="AL400" s="1">
        <f>E55</f>
        <v>0</v>
      </c>
      <c r="AM400" s="1">
        <f t="shared" si="35"/>
        <v>0</v>
      </c>
      <c r="AN400" s="1">
        <f t="shared" si="36"/>
        <v>0</v>
      </c>
      <c r="AO400" s="1">
        <f t="shared" si="37"/>
        <v>0</v>
      </c>
      <c r="AP400" t="b" cm="1">
        <f t="array" ref="AP400">INDEX($AU$8:$BB$25,6*(R400-1)+MATCH(AB400,$AS$8:$AS$13,0),MATCH(O400,$AU$7:$BB$7,0))</f>
        <v>1</v>
      </c>
    </row>
    <row r="401" spans="15:42" ht="14.25" x14ac:dyDescent="0.45">
      <c r="O401" s="43" t="s">
        <v>32</v>
      </c>
      <c r="P401" s="43">
        <v>1</v>
      </c>
      <c r="Q401" s="43">
        <v>3</v>
      </c>
      <c r="R401" s="43">
        <v>1</v>
      </c>
      <c r="S401" s="45"/>
      <c r="T401" t="b">
        <f>(S401+S402+S403)=Q2</f>
        <v>0</v>
      </c>
      <c r="X401" s="1">
        <f t="shared" si="38"/>
        <v>0</v>
      </c>
      <c r="Y401" s="48">
        <v>0</v>
      </c>
      <c r="AA401" s="1">
        <v>8</v>
      </c>
      <c r="AB401" s="1" t="s">
        <v>16</v>
      </c>
      <c r="AC401" s="1" t="s">
        <v>22</v>
      </c>
      <c r="AD401" s="1">
        <v>27</v>
      </c>
      <c r="AE401" s="1">
        <v>23</v>
      </c>
      <c r="AF401" s="1">
        <v>0.8</v>
      </c>
      <c r="AG401" s="1">
        <v>0.9</v>
      </c>
      <c r="AH401" s="1">
        <v>0</v>
      </c>
      <c r="AI401" s="1">
        <v>0</v>
      </c>
      <c r="AJ401" s="1">
        <f t="shared" si="34"/>
        <v>0</v>
      </c>
      <c r="AK401" s="1">
        <f>C49</f>
        <v>0</v>
      </c>
      <c r="AL401" s="1">
        <f>C55</f>
        <v>0</v>
      </c>
      <c r="AM401" s="1">
        <f t="shared" si="35"/>
        <v>0</v>
      </c>
      <c r="AN401" s="1">
        <f t="shared" si="36"/>
        <v>0</v>
      </c>
      <c r="AO401" s="1">
        <f t="shared" si="37"/>
        <v>0</v>
      </c>
      <c r="AP401" t="b" cm="1">
        <f t="array" ref="AP401">INDEX($AU$8:$BB$25,6*(R401-1)+MATCH(AB401,$AS$8:$AS$13,0),MATCH(O401,$AU$7:$BB$7,0))</f>
        <v>1</v>
      </c>
    </row>
    <row r="402" spans="15:42" ht="14.25" x14ac:dyDescent="0.45">
      <c r="O402" s="43" t="s">
        <v>32</v>
      </c>
      <c r="P402" s="43">
        <v>1</v>
      </c>
      <c r="Q402" s="43">
        <v>3</v>
      </c>
      <c r="R402" s="43">
        <v>2</v>
      </c>
      <c r="S402" s="45"/>
      <c r="T402" t="b">
        <f>(S401+S402+S403)=Q2</f>
        <v>0</v>
      </c>
      <c r="X402" s="1">
        <f t="shared" si="38"/>
        <v>0</v>
      </c>
      <c r="Y402" s="48">
        <v>0</v>
      </c>
      <c r="AA402" s="1">
        <v>8</v>
      </c>
      <c r="AB402" s="1" t="s">
        <v>16</v>
      </c>
      <c r="AC402" s="1" t="s">
        <v>22</v>
      </c>
      <c r="AD402" s="1">
        <v>27</v>
      </c>
      <c r="AE402" s="1">
        <v>23</v>
      </c>
      <c r="AF402" s="1">
        <v>0.8</v>
      </c>
      <c r="AG402" s="1">
        <v>0.9</v>
      </c>
      <c r="AH402" s="1">
        <v>0</v>
      </c>
      <c r="AI402" s="1">
        <v>0</v>
      </c>
      <c r="AJ402" s="1">
        <f t="shared" si="34"/>
        <v>0</v>
      </c>
      <c r="AK402" s="1">
        <f>D49</f>
        <v>0</v>
      </c>
      <c r="AL402" s="1">
        <f>D55</f>
        <v>0</v>
      </c>
      <c r="AM402" s="1">
        <f t="shared" si="35"/>
        <v>0</v>
      </c>
      <c r="AN402" s="1">
        <f t="shared" si="36"/>
        <v>0</v>
      </c>
      <c r="AO402" s="1">
        <f t="shared" si="37"/>
        <v>0</v>
      </c>
      <c r="AP402" t="b" cm="1">
        <f t="array" ref="AP402">INDEX($AU$8:$BB$25,6*(R402-1)+MATCH(AB402,$AS$8:$AS$13,0),MATCH(O402,$AU$7:$BB$7,0))</f>
        <v>1</v>
      </c>
    </row>
    <row r="403" spans="15:42" ht="14.25" x14ac:dyDescent="0.45">
      <c r="O403" s="43" t="s">
        <v>32</v>
      </c>
      <c r="P403" s="43">
        <v>1</v>
      </c>
      <c r="Q403" s="43">
        <v>3</v>
      </c>
      <c r="R403" s="43">
        <v>3</v>
      </c>
      <c r="S403" s="45"/>
      <c r="T403" t="b">
        <f>(S401+S402+S403)=Q2</f>
        <v>0</v>
      </c>
      <c r="X403" s="1">
        <f t="shared" si="38"/>
        <v>0</v>
      </c>
      <c r="Y403" s="48">
        <v>0</v>
      </c>
      <c r="AA403" s="1">
        <v>8</v>
      </c>
      <c r="AB403" s="1" t="s">
        <v>16</v>
      </c>
      <c r="AC403" s="1" t="s">
        <v>22</v>
      </c>
      <c r="AD403" s="1">
        <v>27</v>
      </c>
      <c r="AE403" s="1">
        <v>23</v>
      </c>
      <c r="AF403" s="1">
        <v>0.8</v>
      </c>
      <c r="AG403" s="1">
        <v>0.9</v>
      </c>
      <c r="AH403" s="1">
        <v>0</v>
      </c>
      <c r="AI403" s="1">
        <v>0</v>
      </c>
      <c r="AJ403" s="1">
        <f t="shared" si="34"/>
        <v>0</v>
      </c>
      <c r="AK403" s="1">
        <f>E49</f>
        <v>0</v>
      </c>
      <c r="AL403" s="1">
        <f>E55</f>
        <v>0</v>
      </c>
      <c r="AM403" s="1">
        <f t="shared" si="35"/>
        <v>0</v>
      </c>
      <c r="AN403" s="1">
        <f t="shared" si="36"/>
        <v>0</v>
      </c>
      <c r="AO403" s="1">
        <f t="shared" si="37"/>
        <v>0</v>
      </c>
      <c r="AP403" t="b" cm="1">
        <f t="array" ref="AP403">INDEX($AU$8:$BB$25,6*(R403-1)+MATCH(AB403,$AS$8:$AS$13,0),MATCH(O403,$AU$7:$BB$7,0))</f>
        <v>1</v>
      </c>
    </row>
    <row r="404" spans="15:42" ht="14.25" x14ac:dyDescent="0.45">
      <c r="O404" s="43" t="s">
        <v>32</v>
      </c>
      <c r="P404" s="43">
        <v>1</v>
      </c>
      <c r="Q404" s="43">
        <v>4</v>
      </c>
      <c r="R404" s="43">
        <v>1</v>
      </c>
      <c r="S404" s="45"/>
      <c r="T404" t="b">
        <f>(S404+S405+S406)=Q2</f>
        <v>0</v>
      </c>
      <c r="X404" s="1">
        <f t="shared" si="38"/>
        <v>0</v>
      </c>
      <c r="Y404" s="48">
        <v>0</v>
      </c>
      <c r="AA404" s="1">
        <v>3</v>
      </c>
      <c r="AB404" s="1" t="s">
        <v>10</v>
      </c>
      <c r="AC404" s="1" t="s">
        <v>17</v>
      </c>
      <c r="AD404" s="1">
        <v>20</v>
      </c>
      <c r="AE404" s="1">
        <v>16</v>
      </c>
      <c r="AF404" s="1">
        <v>0.78</v>
      </c>
      <c r="AG404" s="1">
        <v>0.84</v>
      </c>
      <c r="AH404" s="1">
        <v>0</v>
      </c>
      <c r="AI404" s="1">
        <v>0</v>
      </c>
      <c r="AJ404" s="1">
        <f t="shared" si="34"/>
        <v>0</v>
      </c>
      <c r="AK404" s="1">
        <f>C44</f>
        <v>0</v>
      </c>
      <c r="AL404" s="1">
        <f>C50</f>
        <v>0</v>
      </c>
      <c r="AM404" s="1">
        <f t="shared" si="35"/>
        <v>0</v>
      </c>
      <c r="AN404" s="1">
        <f t="shared" si="36"/>
        <v>0</v>
      </c>
      <c r="AO404" s="1">
        <f t="shared" si="37"/>
        <v>0</v>
      </c>
      <c r="AP404" t="b" cm="1">
        <f t="array" ref="AP404">INDEX($AU$8:$BB$25,6*(R404-1)+MATCH(AB404,$AS$8:$AS$13,0),MATCH(O404,$AU$7:$BB$7,0))</f>
        <v>1</v>
      </c>
    </row>
    <row r="405" spans="15:42" ht="14.25" x14ac:dyDescent="0.45">
      <c r="O405" s="43" t="s">
        <v>32</v>
      </c>
      <c r="P405" s="43">
        <v>1</v>
      </c>
      <c r="Q405" s="43">
        <v>4</v>
      </c>
      <c r="R405" s="43">
        <v>2</v>
      </c>
      <c r="S405" s="45"/>
      <c r="T405" t="b">
        <f>(S404+S405+S406)=Q2</f>
        <v>0</v>
      </c>
      <c r="X405" s="1">
        <f t="shared" si="38"/>
        <v>0</v>
      </c>
      <c r="Y405" s="48">
        <v>0</v>
      </c>
      <c r="AA405" s="1">
        <v>3</v>
      </c>
      <c r="AB405" s="1" t="s">
        <v>10</v>
      </c>
      <c r="AC405" s="1" t="s">
        <v>17</v>
      </c>
      <c r="AD405" s="1">
        <v>20</v>
      </c>
      <c r="AE405" s="1">
        <v>16</v>
      </c>
      <c r="AF405" s="1">
        <v>0.78</v>
      </c>
      <c r="AG405" s="1">
        <v>0.84</v>
      </c>
      <c r="AH405" s="1">
        <v>0</v>
      </c>
      <c r="AI405" s="1">
        <v>0</v>
      </c>
      <c r="AJ405" s="1">
        <f t="shared" si="34"/>
        <v>0</v>
      </c>
      <c r="AK405" s="1">
        <f>D44</f>
        <v>0</v>
      </c>
      <c r="AL405" s="1">
        <f>D50</f>
        <v>0</v>
      </c>
      <c r="AM405" s="1">
        <f t="shared" si="35"/>
        <v>0</v>
      </c>
      <c r="AN405" s="1">
        <f t="shared" si="36"/>
        <v>0</v>
      </c>
      <c r="AO405" s="1">
        <f t="shared" si="37"/>
        <v>0</v>
      </c>
      <c r="AP405" t="b" cm="1">
        <f t="array" ref="AP405">INDEX($AU$8:$BB$25,6*(R405-1)+MATCH(AB405,$AS$8:$AS$13,0),MATCH(O405,$AU$7:$BB$7,0))</f>
        <v>1</v>
      </c>
    </row>
    <row r="406" spans="15:42" ht="14.25" x14ac:dyDescent="0.45">
      <c r="O406" s="43" t="s">
        <v>32</v>
      </c>
      <c r="P406" s="43">
        <v>1</v>
      </c>
      <c r="Q406" s="43">
        <v>4</v>
      </c>
      <c r="R406" s="43">
        <v>3</v>
      </c>
      <c r="S406" s="45"/>
      <c r="T406" t="b">
        <f>(S404+S405+S406)=Q2</f>
        <v>0</v>
      </c>
      <c r="X406" s="1">
        <f t="shared" si="38"/>
        <v>0</v>
      </c>
      <c r="Y406" s="48">
        <v>0</v>
      </c>
      <c r="AA406" s="1">
        <v>3</v>
      </c>
      <c r="AB406" s="1" t="s">
        <v>10</v>
      </c>
      <c r="AC406" s="1" t="s">
        <v>17</v>
      </c>
      <c r="AD406" s="1">
        <v>20</v>
      </c>
      <c r="AE406" s="1">
        <v>16</v>
      </c>
      <c r="AF406" s="1">
        <v>0.78</v>
      </c>
      <c r="AG406" s="1">
        <v>0.84</v>
      </c>
      <c r="AH406" s="1">
        <v>0</v>
      </c>
      <c r="AI406" s="1">
        <v>0</v>
      </c>
      <c r="AJ406" s="1">
        <f t="shared" si="34"/>
        <v>0</v>
      </c>
      <c r="AK406" s="1">
        <f>E44</f>
        <v>0</v>
      </c>
      <c r="AL406" s="1">
        <f>E50</f>
        <v>0</v>
      </c>
      <c r="AM406" s="1">
        <f t="shared" si="35"/>
        <v>0</v>
      </c>
      <c r="AN406" s="1">
        <f t="shared" si="36"/>
        <v>0</v>
      </c>
      <c r="AO406" s="1">
        <f t="shared" si="37"/>
        <v>0</v>
      </c>
      <c r="AP406" t="b" cm="1">
        <f t="array" ref="AP406">INDEX($AU$8:$BB$25,6*(R406-1)+MATCH(AB406,$AS$8:$AS$13,0),MATCH(O406,$AU$7:$BB$7,0))</f>
        <v>1</v>
      </c>
    </row>
    <row r="407" spans="15:42" ht="14.25" x14ac:dyDescent="0.45">
      <c r="O407" s="43" t="s">
        <v>32</v>
      </c>
      <c r="P407" s="43">
        <v>1</v>
      </c>
      <c r="Q407" s="43">
        <v>5</v>
      </c>
      <c r="R407" s="43">
        <v>1</v>
      </c>
      <c r="S407" s="45"/>
      <c r="T407" t="b">
        <f>(S407+S408+S409)=Q2</f>
        <v>0</v>
      </c>
      <c r="X407" s="1">
        <f t="shared" si="38"/>
        <v>0</v>
      </c>
      <c r="Y407" s="48">
        <v>0</v>
      </c>
      <c r="AA407" s="1">
        <v>11</v>
      </c>
      <c r="AB407" s="1" t="s">
        <v>16</v>
      </c>
      <c r="AC407" s="1" t="s">
        <v>22</v>
      </c>
      <c r="AD407" s="1">
        <v>12</v>
      </c>
      <c r="AE407" s="1">
        <v>9</v>
      </c>
      <c r="AF407" s="1">
        <v>0.8</v>
      </c>
      <c r="AG407" s="1">
        <v>0.9</v>
      </c>
      <c r="AH407" s="1">
        <v>0</v>
      </c>
      <c r="AI407" s="1">
        <v>0</v>
      </c>
      <c r="AJ407" s="1">
        <f t="shared" si="34"/>
        <v>0</v>
      </c>
      <c r="AK407" s="1">
        <f>C49</f>
        <v>0</v>
      </c>
      <c r="AL407" s="1">
        <f>C55</f>
        <v>0</v>
      </c>
      <c r="AM407" s="1">
        <f t="shared" si="35"/>
        <v>0</v>
      </c>
      <c r="AN407" s="1">
        <f t="shared" si="36"/>
        <v>0</v>
      </c>
      <c r="AO407" s="1">
        <f t="shared" si="37"/>
        <v>0</v>
      </c>
      <c r="AP407" t="b" cm="1">
        <f t="array" ref="AP407">INDEX($AU$8:$BB$25,6*(R407-1)+MATCH(AB407,$AS$8:$AS$13,0),MATCH(O407,$AU$7:$BB$7,0))</f>
        <v>1</v>
      </c>
    </row>
    <row r="408" spans="15:42" ht="14.25" x14ac:dyDescent="0.45">
      <c r="O408" s="43" t="s">
        <v>32</v>
      </c>
      <c r="P408" s="43">
        <v>1</v>
      </c>
      <c r="Q408" s="43">
        <v>5</v>
      </c>
      <c r="R408" s="43">
        <v>2</v>
      </c>
      <c r="S408" s="45"/>
      <c r="T408" t="b">
        <f>(S407+S408+S409)=Q2</f>
        <v>0</v>
      </c>
      <c r="X408" s="1">
        <f t="shared" si="38"/>
        <v>0</v>
      </c>
      <c r="Y408" s="48">
        <v>0</v>
      </c>
      <c r="AA408" s="1">
        <v>11</v>
      </c>
      <c r="AB408" s="1" t="s">
        <v>16</v>
      </c>
      <c r="AC408" s="1" t="s">
        <v>22</v>
      </c>
      <c r="AD408" s="1">
        <v>12</v>
      </c>
      <c r="AE408" s="1">
        <v>9</v>
      </c>
      <c r="AF408" s="1">
        <v>0.8</v>
      </c>
      <c r="AG408" s="1">
        <v>0.9</v>
      </c>
      <c r="AH408" s="1">
        <v>0</v>
      </c>
      <c r="AI408" s="1">
        <v>0</v>
      </c>
      <c r="AJ408" s="1">
        <f t="shared" si="34"/>
        <v>0</v>
      </c>
      <c r="AK408" s="1">
        <f>D49</f>
        <v>0</v>
      </c>
      <c r="AL408" s="1">
        <f>D55</f>
        <v>0</v>
      </c>
      <c r="AM408" s="1">
        <f t="shared" si="35"/>
        <v>0</v>
      </c>
      <c r="AN408" s="1">
        <f t="shared" si="36"/>
        <v>0</v>
      </c>
      <c r="AO408" s="1">
        <f t="shared" si="37"/>
        <v>0</v>
      </c>
      <c r="AP408" t="b" cm="1">
        <f t="array" ref="AP408">INDEX($AU$8:$BB$25,6*(R408-1)+MATCH(AB408,$AS$8:$AS$13,0),MATCH(O408,$AU$7:$BB$7,0))</f>
        <v>1</v>
      </c>
    </row>
    <row r="409" spans="15:42" ht="14.25" x14ac:dyDescent="0.45">
      <c r="O409" s="43" t="s">
        <v>32</v>
      </c>
      <c r="P409" s="43">
        <v>1</v>
      </c>
      <c r="Q409" s="43">
        <v>5</v>
      </c>
      <c r="R409" s="43">
        <v>3</v>
      </c>
      <c r="S409" s="45"/>
      <c r="T409" t="b">
        <f>(S407+S408+S409)=Q2</f>
        <v>0</v>
      </c>
      <c r="X409" s="1">
        <f t="shared" si="38"/>
        <v>0</v>
      </c>
      <c r="Y409" s="48">
        <v>0</v>
      </c>
      <c r="AA409" s="1">
        <v>11</v>
      </c>
      <c r="AB409" s="1" t="s">
        <v>16</v>
      </c>
      <c r="AC409" s="1" t="s">
        <v>22</v>
      </c>
      <c r="AD409" s="1">
        <v>12</v>
      </c>
      <c r="AE409" s="1">
        <v>9</v>
      </c>
      <c r="AF409" s="1">
        <v>0.8</v>
      </c>
      <c r="AG409" s="1">
        <v>0.9</v>
      </c>
      <c r="AH409" s="1">
        <v>0</v>
      </c>
      <c r="AI409" s="1">
        <v>0</v>
      </c>
      <c r="AJ409" s="1">
        <f t="shared" si="34"/>
        <v>0</v>
      </c>
      <c r="AK409" s="1">
        <f>E49</f>
        <v>0</v>
      </c>
      <c r="AL409" s="1">
        <f>E55</f>
        <v>0</v>
      </c>
      <c r="AM409" s="1">
        <f t="shared" si="35"/>
        <v>0</v>
      </c>
      <c r="AN409" s="1">
        <f t="shared" si="36"/>
        <v>0</v>
      </c>
      <c r="AO409" s="1">
        <f t="shared" si="37"/>
        <v>0</v>
      </c>
      <c r="AP409" t="b" cm="1">
        <f t="array" ref="AP409">INDEX($AU$8:$BB$25,6*(R409-1)+MATCH(AB409,$AS$8:$AS$13,0),MATCH(O409,$AU$7:$BB$7,0))</f>
        <v>1</v>
      </c>
    </row>
    <row r="410" spans="15:42" ht="14.25" x14ac:dyDescent="0.45">
      <c r="O410" s="43" t="s">
        <v>32</v>
      </c>
      <c r="P410" s="43">
        <v>1</v>
      </c>
      <c r="Q410" s="43">
        <v>6</v>
      </c>
      <c r="R410" s="43">
        <v>1</v>
      </c>
      <c r="S410" s="45"/>
      <c r="T410" t="b">
        <f>(S410+S411+S412)=Q2</f>
        <v>0</v>
      </c>
      <c r="X410" s="1">
        <f t="shared" si="38"/>
        <v>0</v>
      </c>
      <c r="Y410" s="48">
        <v>0</v>
      </c>
      <c r="AA410" s="1">
        <v>7</v>
      </c>
      <c r="AB410" s="1" t="s">
        <v>14</v>
      </c>
      <c r="AC410" s="1" t="s">
        <v>20</v>
      </c>
      <c r="AD410" s="1">
        <v>27</v>
      </c>
      <c r="AE410" s="1">
        <v>21</v>
      </c>
      <c r="AF410" s="1">
        <v>0.8</v>
      </c>
      <c r="AG410" s="1">
        <v>0.88</v>
      </c>
      <c r="AH410" s="1">
        <v>0</v>
      </c>
      <c r="AI410" s="1">
        <v>0</v>
      </c>
      <c r="AJ410" s="1">
        <f t="shared" si="34"/>
        <v>0</v>
      </c>
      <c r="AK410" s="1">
        <f>C47</f>
        <v>0</v>
      </c>
      <c r="AL410" s="1">
        <f>C53</f>
        <v>0</v>
      </c>
      <c r="AM410" s="1">
        <f t="shared" si="35"/>
        <v>0</v>
      </c>
      <c r="AN410" s="1">
        <f t="shared" si="36"/>
        <v>0</v>
      </c>
      <c r="AO410" s="1">
        <f t="shared" si="37"/>
        <v>0</v>
      </c>
      <c r="AP410" t="b" cm="1">
        <f t="array" ref="AP410">INDEX($AU$8:$BB$25,6*(R410-1)+MATCH(AB410,$AS$8:$AS$13,0),MATCH(O410,$AU$7:$BB$7,0))</f>
        <v>1</v>
      </c>
    </row>
    <row r="411" spans="15:42" ht="14.25" x14ac:dyDescent="0.45">
      <c r="O411" s="43" t="s">
        <v>32</v>
      </c>
      <c r="P411" s="43">
        <v>1</v>
      </c>
      <c r="Q411" s="43">
        <v>6</v>
      </c>
      <c r="R411" s="43">
        <v>2</v>
      </c>
      <c r="S411" s="45"/>
      <c r="T411" t="b">
        <f>(S410+S411+S412)=Q2</f>
        <v>0</v>
      </c>
      <c r="X411" s="1">
        <f t="shared" si="38"/>
        <v>0</v>
      </c>
      <c r="Y411" s="48">
        <v>0</v>
      </c>
      <c r="AA411" s="1">
        <v>7</v>
      </c>
      <c r="AB411" s="1" t="s">
        <v>14</v>
      </c>
      <c r="AC411" s="1" t="s">
        <v>20</v>
      </c>
      <c r="AD411" s="1">
        <v>27</v>
      </c>
      <c r="AE411" s="1">
        <v>21</v>
      </c>
      <c r="AF411" s="1">
        <v>0.8</v>
      </c>
      <c r="AG411" s="1">
        <v>0.88</v>
      </c>
      <c r="AH411" s="1">
        <v>0</v>
      </c>
      <c r="AI411" s="1">
        <v>0</v>
      </c>
      <c r="AJ411" s="1">
        <f t="shared" si="34"/>
        <v>0</v>
      </c>
      <c r="AK411" s="1">
        <f>D47</f>
        <v>0</v>
      </c>
      <c r="AL411" s="1">
        <f>D53</f>
        <v>0</v>
      </c>
      <c r="AM411" s="1">
        <f t="shared" si="35"/>
        <v>0</v>
      </c>
      <c r="AN411" s="1">
        <f t="shared" si="36"/>
        <v>0</v>
      </c>
      <c r="AO411" s="1">
        <f t="shared" si="37"/>
        <v>0</v>
      </c>
      <c r="AP411" t="b" cm="1">
        <f t="array" ref="AP411">INDEX($AU$8:$BB$25,6*(R411-1)+MATCH(AB411,$AS$8:$AS$13,0),MATCH(O411,$AU$7:$BB$7,0))</f>
        <v>1</v>
      </c>
    </row>
    <row r="412" spans="15:42" ht="14.25" x14ac:dyDescent="0.45">
      <c r="O412" s="43" t="s">
        <v>32</v>
      </c>
      <c r="P412" s="43">
        <v>1</v>
      </c>
      <c r="Q412" s="43">
        <v>6</v>
      </c>
      <c r="R412" s="43">
        <v>3</v>
      </c>
      <c r="S412" s="45"/>
      <c r="T412" t="b">
        <f>(S410+S411+S412)=Q2</f>
        <v>0</v>
      </c>
      <c r="X412" s="1">
        <f t="shared" si="38"/>
        <v>0</v>
      </c>
      <c r="Y412" s="48">
        <v>0</v>
      </c>
      <c r="AA412" s="1">
        <v>7</v>
      </c>
      <c r="AB412" s="1" t="s">
        <v>14</v>
      </c>
      <c r="AC412" s="1" t="s">
        <v>20</v>
      </c>
      <c r="AD412" s="1">
        <v>27</v>
      </c>
      <c r="AE412" s="1">
        <v>21</v>
      </c>
      <c r="AF412" s="1">
        <v>0.8</v>
      </c>
      <c r="AG412" s="1">
        <v>0.88</v>
      </c>
      <c r="AH412" s="1">
        <v>0</v>
      </c>
      <c r="AI412" s="1">
        <v>0</v>
      </c>
      <c r="AJ412" s="1">
        <f t="shared" si="34"/>
        <v>0</v>
      </c>
      <c r="AK412" s="1">
        <f>E47</f>
        <v>0</v>
      </c>
      <c r="AL412" s="1">
        <f>E53</f>
        <v>0</v>
      </c>
      <c r="AM412" s="1">
        <f t="shared" si="35"/>
        <v>0</v>
      </c>
      <c r="AN412" s="1">
        <f t="shared" si="36"/>
        <v>0</v>
      </c>
      <c r="AO412" s="1">
        <f t="shared" si="37"/>
        <v>0</v>
      </c>
      <c r="AP412" t="b" cm="1">
        <f t="array" ref="AP412">INDEX($AU$8:$BB$25,6*(R412-1)+MATCH(AB412,$AS$8:$AS$13,0),MATCH(O412,$AU$7:$BB$7,0))</f>
        <v>1</v>
      </c>
    </row>
    <row r="413" spans="15:42" ht="14.25" x14ac:dyDescent="0.45">
      <c r="O413" s="43" t="s">
        <v>32</v>
      </c>
      <c r="P413" s="43">
        <v>1</v>
      </c>
      <c r="Q413" s="43">
        <v>7</v>
      </c>
      <c r="R413" s="43">
        <v>1</v>
      </c>
      <c r="S413" s="45"/>
      <c r="T413" t="b">
        <f>(S413+S414+S415)=Q2</f>
        <v>0</v>
      </c>
      <c r="X413" s="1">
        <f t="shared" si="38"/>
        <v>0</v>
      </c>
      <c r="Y413" s="48">
        <v>0</v>
      </c>
      <c r="AA413" s="1">
        <v>9</v>
      </c>
      <c r="AB413" s="1" t="s">
        <v>14</v>
      </c>
      <c r="AC413" s="1" t="s">
        <v>20</v>
      </c>
      <c r="AD413" s="1">
        <v>17</v>
      </c>
      <c r="AE413" s="1">
        <v>13</v>
      </c>
      <c r="AF413" s="1">
        <v>0.8</v>
      </c>
      <c r="AG413" s="1">
        <v>0.88</v>
      </c>
      <c r="AH413" s="1">
        <v>0</v>
      </c>
      <c r="AI413" s="1">
        <v>0</v>
      </c>
      <c r="AJ413" s="1">
        <f t="shared" si="34"/>
        <v>0</v>
      </c>
      <c r="AK413" s="1">
        <f>C47</f>
        <v>0</v>
      </c>
      <c r="AL413" s="1">
        <f>C53</f>
        <v>0</v>
      </c>
      <c r="AM413" s="1">
        <f t="shared" si="35"/>
        <v>0</v>
      </c>
      <c r="AN413" s="1">
        <f t="shared" si="36"/>
        <v>0</v>
      </c>
      <c r="AO413" s="1">
        <f t="shared" si="37"/>
        <v>0</v>
      </c>
      <c r="AP413" t="b" cm="1">
        <f t="array" ref="AP413">INDEX($AU$8:$BB$25,6*(R413-1)+MATCH(AB413,$AS$8:$AS$13,0),MATCH(O413,$AU$7:$BB$7,0))</f>
        <v>1</v>
      </c>
    </row>
    <row r="414" spans="15:42" ht="14.25" x14ac:dyDescent="0.45">
      <c r="O414" s="43" t="s">
        <v>32</v>
      </c>
      <c r="P414" s="43">
        <v>1</v>
      </c>
      <c r="Q414" s="43">
        <v>7</v>
      </c>
      <c r="R414" s="43">
        <v>2</v>
      </c>
      <c r="S414" s="45"/>
      <c r="T414" t="b">
        <f>(S413+S414+S415)=Q2</f>
        <v>0</v>
      </c>
      <c r="X414" s="1">
        <f t="shared" si="38"/>
        <v>0</v>
      </c>
      <c r="Y414" s="48">
        <v>0</v>
      </c>
      <c r="AA414" s="1">
        <v>9</v>
      </c>
      <c r="AB414" s="1" t="s">
        <v>14</v>
      </c>
      <c r="AC414" s="1" t="s">
        <v>20</v>
      </c>
      <c r="AD414" s="1">
        <v>17</v>
      </c>
      <c r="AE414" s="1">
        <v>13</v>
      </c>
      <c r="AF414" s="1">
        <v>0.8</v>
      </c>
      <c r="AG414" s="1">
        <v>0.88</v>
      </c>
      <c r="AH414" s="1">
        <v>0</v>
      </c>
      <c r="AI414" s="1">
        <v>0</v>
      </c>
      <c r="AJ414" s="1">
        <f t="shared" si="34"/>
        <v>0</v>
      </c>
      <c r="AK414" s="1">
        <f>D47</f>
        <v>0</v>
      </c>
      <c r="AL414" s="1">
        <f>D53</f>
        <v>0</v>
      </c>
      <c r="AM414" s="1">
        <f t="shared" si="35"/>
        <v>0</v>
      </c>
      <c r="AN414" s="1">
        <f t="shared" si="36"/>
        <v>0</v>
      </c>
      <c r="AO414" s="1">
        <f t="shared" si="37"/>
        <v>0</v>
      </c>
      <c r="AP414" t="b" cm="1">
        <f t="array" ref="AP414">INDEX($AU$8:$BB$25,6*(R414-1)+MATCH(AB414,$AS$8:$AS$13,0),MATCH(O414,$AU$7:$BB$7,0))</f>
        <v>1</v>
      </c>
    </row>
    <row r="415" spans="15:42" ht="14.25" x14ac:dyDescent="0.45">
      <c r="O415" s="43" t="s">
        <v>32</v>
      </c>
      <c r="P415" s="43">
        <v>1</v>
      </c>
      <c r="Q415" s="43">
        <v>7</v>
      </c>
      <c r="R415" s="43">
        <v>3</v>
      </c>
      <c r="S415" s="45"/>
      <c r="T415" t="b">
        <f>(S413+S414+S415)=Q2</f>
        <v>0</v>
      </c>
      <c r="X415" s="1">
        <f t="shared" si="38"/>
        <v>0</v>
      </c>
      <c r="Y415" s="48">
        <v>0</v>
      </c>
      <c r="AA415" s="1">
        <v>9</v>
      </c>
      <c r="AB415" s="1" t="s">
        <v>14</v>
      </c>
      <c r="AC415" s="1" t="s">
        <v>20</v>
      </c>
      <c r="AD415" s="1">
        <v>17</v>
      </c>
      <c r="AE415" s="1">
        <v>13</v>
      </c>
      <c r="AF415" s="1">
        <v>0.8</v>
      </c>
      <c r="AG415" s="1">
        <v>0.88</v>
      </c>
      <c r="AH415" s="1">
        <v>0</v>
      </c>
      <c r="AI415" s="1">
        <v>0</v>
      </c>
      <c r="AJ415" s="1">
        <f t="shared" si="34"/>
        <v>0</v>
      </c>
      <c r="AK415" s="1">
        <f>E47</f>
        <v>0</v>
      </c>
      <c r="AL415" s="1">
        <f>E53</f>
        <v>0</v>
      </c>
      <c r="AM415" s="1">
        <f t="shared" si="35"/>
        <v>0</v>
      </c>
      <c r="AN415" s="1">
        <f t="shared" si="36"/>
        <v>0</v>
      </c>
      <c r="AO415" s="1">
        <f t="shared" si="37"/>
        <v>0</v>
      </c>
      <c r="AP415" t="b" cm="1">
        <f t="array" ref="AP415">INDEX($AU$8:$BB$25,6*(R415-1)+MATCH(AB415,$AS$8:$AS$13,0),MATCH(O415,$AU$7:$BB$7,0))</f>
        <v>1</v>
      </c>
    </row>
    <row r="416" spans="15:42" ht="14.25" x14ac:dyDescent="0.45">
      <c r="O416" s="43" t="s">
        <v>32</v>
      </c>
      <c r="P416" s="43">
        <v>1</v>
      </c>
      <c r="Q416" s="43">
        <v>8</v>
      </c>
      <c r="R416" s="43">
        <v>1</v>
      </c>
      <c r="S416" s="45"/>
      <c r="T416" t="b">
        <f>(S416+S417+S418)=Q2</f>
        <v>0</v>
      </c>
      <c r="X416" s="1">
        <f t="shared" si="38"/>
        <v>0</v>
      </c>
      <c r="Y416" s="48">
        <v>0</v>
      </c>
      <c r="AA416" s="1">
        <v>1</v>
      </c>
      <c r="AB416" s="1" t="s">
        <v>10</v>
      </c>
      <c r="AC416" s="1" t="s">
        <v>17</v>
      </c>
      <c r="AD416" s="1">
        <v>18</v>
      </c>
      <c r="AE416" s="1">
        <v>16</v>
      </c>
      <c r="AF416" s="1">
        <v>0.78</v>
      </c>
      <c r="AG416" s="1">
        <v>0.84</v>
      </c>
      <c r="AH416" s="1">
        <v>0</v>
      </c>
      <c r="AI416" s="1">
        <v>0</v>
      </c>
      <c r="AJ416" s="1">
        <f t="shared" si="34"/>
        <v>0</v>
      </c>
      <c r="AK416" s="1">
        <f>C44</f>
        <v>0</v>
      </c>
      <c r="AL416" s="1">
        <f>C50</f>
        <v>0</v>
      </c>
      <c r="AM416" s="1">
        <f t="shared" si="35"/>
        <v>0</v>
      </c>
      <c r="AN416" s="1">
        <f t="shared" si="36"/>
        <v>0</v>
      </c>
      <c r="AO416" s="1">
        <f t="shared" si="37"/>
        <v>0</v>
      </c>
      <c r="AP416" t="b" cm="1">
        <f t="array" ref="AP416">INDEX($AU$8:$BB$25,6*(R416-1)+MATCH(AB416,$AS$8:$AS$13,0),MATCH(O416,$AU$7:$BB$7,0))</f>
        <v>1</v>
      </c>
    </row>
    <row r="417" spans="15:42" ht="14.25" x14ac:dyDescent="0.45">
      <c r="O417" s="43" t="s">
        <v>32</v>
      </c>
      <c r="P417" s="43">
        <v>1</v>
      </c>
      <c r="Q417" s="43">
        <v>8</v>
      </c>
      <c r="R417" s="43">
        <v>2</v>
      </c>
      <c r="S417" s="45"/>
      <c r="T417" t="b">
        <f>(S416+S417+S418)=Q2</f>
        <v>0</v>
      </c>
      <c r="X417" s="1">
        <f t="shared" si="38"/>
        <v>0</v>
      </c>
      <c r="Y417" s="48">
        <v>0</v>
      </c>
      <c r="AA417" s="1">
        <v>1</v>
      </c>
      <c r="AB417" s="1" t="s">
        <v>10</v>
      </c>
      <c r="AC417" s="1" t="s">
        <v>17</v>
      </c>
      <c r="AD417" s="1">
        <v>18</v>
      </c>
      <c r="AE417" s="1">
        <v>16</v>
      </c>
      <c r="AF417" s="1">
        <v>0.78</v>
      </c>
      <c r="AG417" s="1">
        <v>0.84</v>
      </c>
      <c r="AH417" s="1">
        <v>0</v>
      </c>
      <c r="AI417" s="1">
        <v>0</v>
      </c>
      <c r="AJ417" s="1">
        <f t="shared" si="34"/>
        <v>0</v>
      </c>
      <c r="AK417" s="1">
        <f>D44</f>
        <v>0</v>
      </c>
      <c r="AL417" s="1">
        <f>D50</f>
        <v>0</v>
      </c>
      <c r="AM417" s="1">
        <f t="shared" si="35"/>
        <v>0</v>
      </c>
      <c r="AN417" s="1">
        <f t="shared" si="36"/>
        <v>0</v>
      </c>
      <c r="AO417" s="1">
        <f t="shared" si="37"/>
        <v>0</v>
      </c>
      <c r="AP417" t="b" cm="1">
        <f t="array" ref="AP417">INDEX($AU$8:$BB$25,6*(R417-1)+MATCH(AB417,$AS$8:$AS$13,0),MATCH(O417,$AU$7:$BB$7,0))</f>
        <v>1</v>
      </c>
    </row>
    <row r="418" spans="15:42" ht="14.25" x14ac:dyDescent="0.45">
      <c r="O418" s="43" t="s">
        <v>32</v>
      </c>
      <c r="P418" s="43">
        <v>1</v>
      </c>
      <c r="Q418" s="43">
        <v>8</v>
      </c>
      <c r="R418" s="43">
        <v>3</v>
      </c>
      <c r="S418" s="45"/>
      <c r="T418" t="b">
        <f>(S416+S417+S418)=Q2</f>
        <v>0</v>
      </c>
      <c r="X418" s="1">
        <f t="shared" si="38"/>
        <v>0</v>
      </c>
      <c r="Y418" s="48">
        <v>0</v>
      </c>
      <c r="AA418" s="1">
        <v>1</v>
      </c>
      <c r="AB418" s="1" t="s">
        <v>10</v>
      </c>
      <c r="AC418" s="1" t="s">
        <v>17</v>
      </c>
      <c r="AD418" s="1">
        <v>18</v>
      </c>
      <c r="AE418" s="1">
        <v>16</v>
      </c>
      <c r="AF418" s="1">
        <v>0.78</v>
      </c>
      <c r="AG418" s="1">
        <v>0.84</v>
      </c>
      <c r="AH418" s="1">
        <v>0</v>
      </c>
      <c r="AI418" s="1">
        <v>0</v>
      </c>
      <c r="AJ418" s="1">
        <f t="shared" si="34"/>
        <v>0</v>
      </c>
      <c r="AK418" s="1">
        <f>E44</f>
        <v>0</v>
      </c>
      <c r="AL418" s="1">
        <f>E50</f>
        <v>0</v>
      </c>
      <c r="AM418" s="1">
        <f t="shared" si="35"/>
        <v>0</v>
      </c>
      <c r="AN418" s="1">
        <f t="shared" si="36"/>
        <v>0</v>
      </c>
      <c r="AO418" s="1">
        <f t="shared" si="37"/>
        <v>0</v>
      </c>
      <c r="AP418" t="b" cm="1">
        <f t="array" ref="AP418">INDEX($AU$8:$BB$25,6*(R418-1)+MATCH(AB418,$AS$8:$AS$13,0),MATCH(O418,$AU$7:$BB$7,0))</f>
        <v>1</v>
      </c>
    </row>
    <row r="419" spans="15:42" ht="14.25" x14ac:dyDescent="0.45">
      <c r="O419" s="43" t="s">
        <v>32</v>
      </c>
      <c r="P419" s="43">
        <v>1</v>
      </c>
      <c r="Q419" s="43">
        <v>9</v>
      </c>
      <c r="R419" s="43">
        <v>1</v>
      </c>
      <c r="S419" s="45"/>
      <c r="T419" t="b">
        <f>(S419+S420+S421)=Q2</f>
        <v>0</v>
      </c>
      <c r="X419" s="1">
        <f t="shared" si="38"/>
        <v>0</v>
      </c>
      <c r="Y419" s="48">
        <v>0</v>
      </c>
      <c r="AA419" s="1">
        <v>2</v>
      </c>
      <c r="AB419" s="1" t="s">
        <v>10</v>
      </c>
      <c r="AC419" s="1" t="s">
        <v>17</v>
      </c>
      <c r="AD419" s="1">
        <v>16</v>
      </c>
      <c r="AE419" s="1">
        <v>13</v>
      </c>
      <c r="AF419" s="1">
        <v>0.78</v>
      </c>
      <c r="AG419" s="1">
        <v>0.84</v>
      </c>
      <c r="AH419" s="1">
        <v>0</v>
      </c>
      <c r="AI419" s="1">
        <v>0</v>
      </c>
      <c r="AJ419" s="1">
        <f t="shared" si="34"/>
        <v>0</v>
      </c>
      <c r="AK419" s="1">
        <f>C44</f>
        <v>0</v>
      </c>
      <c r="AL419" s="1">
        <f>C50</f>
        <v>0</v>
      </c>
      <c r="AM419" s="1">
        <f t="shared" si="35"/>
        <v>0</v>
      </c>
      <c r="AN419" s="1">
        <f t="shared" si="36"/>
        <v>0</v>
      </c>
      <c r="AO419" s="1">
        <f t="shared" si="37"/>
        <v>0</v>
      </c>
      <c r="AP419" t="b" cm="1">
        <f t="array" ref="AP419">INDEX($AU$8:$BB$25,6*(R419-1)+MATCH(AB419,$AS$8:$AS$13,0),MATCH(O419,$AU$7:$BB$7,0))</f>
        <v>1</v>
      </c>
    </row>
    <row r="420" spans="15:42" ht="14.25" x14ac:dyDescent="0.45">
      <c r="O420" s="43" t="s">
        <v>32</v>
      </c>
      <c r="P420" s="43">
        <v>1</v>
      </c>
      <c r="Q420" s="43">
        <v>9</v>
      </c>
      <c r="R420" s="43">
        <v>2</v>
      </c>
      <c r="S420" s="45"/>
      <c r="T420" t="b">
        <f>(S419+S420+S421)=Q2</f>
        <v>0</v>
      </c>
      <c r="X420" s="1">
        <f t="shared" si="38"/>
        <v>0</v>
      </c>
      <c r="Y420" s="48">
        <v>0</v>
      </c>
      <c r="AA420" s="1">
        <v>2</v>
      </c>
      <c r="AB420" s="1" t="s">
        <v>10</v>
      </c>
      <c r="AC420" s="1" t="s">
        <v>17</v>
      </c>
      <c r="AD420" s="1">
        <v>16</v>
      </c>
      <c r="AE420" s="1">
        <v>13</v>
      </c>
      <c r="AF420" s="1">
        <v>0.78</v>
      </c>
      <c r="AG420" s="1">
        <v>0.84</v>
      </c>
      <c r="AH420" s="1">
        <v>0</v>
      </c>
      <c r="AI420" s="1">
        <v>0</v>
      </c>
      <c r="AJ420" s="1">
        <f t="shared" si="34"/>
        <v>0</v>
      </c>
      <c r="AK420" s="1">
        <f>D44</f>
        <v>0</v>
      </c>
      <c r="AL420" s="1">
        <f>D50</f>
        <v>0</v>
      </c>
      <c r="AM420" s="1">
        <f t="shared" si="35"/>
        <v>0</v>
      </c>
      <c r="AN420" s="1">
        <f t="shared" si="36"/>
        <v>0</v>
      </c>
      <c r="AO420" s="1">
        <f t="shared" si="37"/>
        <v>0</v>
      </c>
      <c r="AP420" t="b" cm="1">
        <f t="array" ref="AP420">INDEX($AU$8:$BB$25,6*(R420-1)+MATCH(AB420,$AS$8:$AS$13,0),MATCH(O420,$AU$7:$BB$7,0))</f>
        <v>1</v>
      </c>
    </row>
    <row r="421" spans="15:42" ht="14.25" x14ac:dyDescent="0.45">
      <c r="O421" s="43" t="s">
        <v>32</v>
      </c>
      <c r="P421" s="43">
        <v>1</v>
      </c>
      <c r="Q421" s="43">
        <v>9</v>
      </c>
      <c r="R421" s="43">
        <v>3</v>
      </c>
      <c r="S421" s="45"/>
      <c r="T421" t="b">
        <f>(S419+S420+S421)=Q2</f>
        <v>0</v>
      </c>
      <c r="X421" s="1">
        <f t="shared" si="38"/>
        <v>0</v>
      </c>
      <c r="Y421" s="48">
        <v>0</v>
      </c>
      <c r="AA421" s="1">
        <v>2</v>
      </c>
      <c r="AB421" s="1" t="s">
        <v>10</v>
      </c>
      <c r="AC421" s="1" t="s">
        <v>17</v>
      </c>
      <c r="AD421" s="1">
        <v>16</v>
      </c>
      <c r="AE421" s="1">
        <v>13</v>
      </c>
      <c r="AF421" s="1">
        <v>0.78</v>
      </c>
      <c r="AG421" s="1">
        <v>0.84</v>
      </c>
      <c r="AH421" s="1">
        <v>0</v>
      </c>
      <c r="AI421" s="1">
        <v>0</v>
      </c>
      <c r="AJ421" s="1">
        <f t="shared" si="34"/>
        <v>0</v>
      </c>
      <c r="AK421" s="1">
        <f>E44</f>
        <v>0</v>
      </c>
      <c r="AL421" s="1">
        <f>E50</f>
        <v>0</v>
      </c>
      <c r="AM421" s="1">
        <f t="shared" si="35"/>
        <v>0</v>
      </c>
      <c r="AN421" s="1">
        <f t="shared" si="36"/>
        <v>0</v>
      </c>
      <c r="AO421" s="1">
        <f t="shared" si="37"/>
        <v>0</v>
      </c>
      <c r="AP421" t="b" cm="1">
        <f t="array" ref="AP421">INDEX($AU$8:$BB$25,6*(R421-1)+MATCH(AB421,$AS$8:$AS$13,0),MATCH(O421,$AU$7:$BB$7,0))</f>
        <v>1</v>
      </c>
    </row>
    <row r="422" spans="15:42" ht="14.25" x14ac:dyDescent="0.45">
      <c r="O422" s="43" t="s">
        <v>32</v>
      </c>
      <c r="P422" s="43">
        <v>1</v>
      </c>
      <c r="Q422" s="43">
        <v>10</v>
      </c>
      <c r="R422" s="43">
        <v>1</v>
      </c>
      <c r="S422" s="45"/>
      <c r="T422" t="b">
        <f>(S422+S423+S424)=Q2</f>
        <v>0</v>
      </c>
      <c r="X422" s="1">
        <f t="shared" si="38"/>
        <v>0</v>
      </c>
      <c r="Y422" s="48">
        <v>0</v>
      </c>
      <c r="AA422" s="1">
        <v>6</v>
      </c>
      <c r="AB422" s="1" t="s">
        <v>14</v>
      </c>
      <c r="AC422" s="1" t="s">
        <v>20</v>
      </c>
      <c r="AD422" s="1">
        <v>14</v>
      </c>
      <c r="AE422" s="1">
        <v>11</v>
      </c>
      <c r="AF422" s="1">
        <v>0.8</v>
      </c>
      <c r="AG422" s="1">
        <v>0.88</v>
      </c>
      <c r="AH422" s="1">
        <v>0</v>
      </c>
      <c r="AI422" s="1">
        <v>0</v>
      </c>
      <c r="AJ422" s="1">
        <f t="shared" si="34"/>
        <v>0</v>
      </c>
      <c r="AK422" s="1">
        <f>C47</f>
        <v>0</v>
      </c>
      <c r="AL422" s="1">
        <f>C53</f>
        <v>0</v>
      </c>
      <c r="AM422" s="1">
        <f t="shared" si="35"/>
        <v>0</v>
      </c>
      <c r="AN422" s="1">
        <f t="shared" si="36"/>
        <v>0</v>
      </c>
      <c r="AO422" s="1">
        <f t="shared" si="37"/>
        <v>0</v>
      </c>
      <c r="AP422" t="b" cm="1">
        <f t="array" ref="AP422">INDEX($AU$8:$BB$25,6*(R422-1)+MATCH(AB422,$AS$8:$AS$13,0),MATCH(O422,$AU$7:$BB$7,0))</f>
        <v>1</v>
      </c>
    </row>
    <row r="423" spans="15:42" ht="14.25" x14ac:dyDescent="0.45">
      <c r="O423" s="43" t="s">
        <v>32</v>
      </c>
      <c r="P423" s="43">
        <v>1</v>
      </c>
      <c r="Q423" s="43">
        <v>10</v>
      </c>
      <c r="R423" s="43">
        <v>2</v>
      </c>
      <c r="S423" s="45"/>
      <c r="T423" t="b">
        <f>(S422+S423+S424)=Q2</f>
        <v>0</v>
      </c>
      <c r="X423" s="1">
        <f t="shared" si="38"/>
        <v>0</v>
      </c>
      <c r="Y423" s="48">
        <v>0</v>
      </c>
      <c r="AA423" s="1">
        <v>6</v>
      </c>
      <c r="AB423" s="1" t="s">
        <v>14</v>
      </c>
      <c r="AC423" s="1" t="s">
        <v>20</v>
      </c>
      <c r="AD423" s="1">
        <v>14</v>
      </c>
      <c r="AE423" s="1">
        <v>11</v>
      </c>
      <c r="AF423" s="1">
        <v>0.8</v>
      </c>
      <c r="AG423" s="1">
        <v>0.88</v>
      </c>
      <c r="AH423" s="1">
        <v>0</v>
      </c>
      <c r="AI423" s="1">
        <v>0</v>
      </c>
      <c r="AJ423" s="1">
        <f t="shared" si="34"/>
        <v>0</v>
      </c>
      <c r="AK423" s="1">
        <f>D47</f>
        <v>0</v>
      </c>
      <c r="AL423" s="1">
        <f>D53</f>
        <v>0</v>
      </c>
      <c r="AM423" s="1">
        <f t="shared" si="35"/>
        <v>0</v>
      </c>
      <c r="AN423" s="1">
        <f t="shared" si="36"/>
        <v>0</v>
      </c>
      <c r="AO423" s="1">
        <f t="shared" si="37"/>
        <v>0</v>
      </c>
      <c r="AP423" t="b" cm="1">
        <f t="array" ref="AP423">INDEX($AU$8:$BB$25,6*(R423-1)+MATCH(AB423,$AS$8:$AS$13,0),MATCH(O423,$AU$7:$BB$7,0))</f>
        <v>1</v>
      </c>
    </row>
    <row r="424" spans="15:42" ht="14.25" x14ac:dyDescent="0.45">
      <c r="O424" s="43" t="s">
        <v>32</v>
      </c>
      <c r="P424" s="43">
        <v>1</v>
      </c>
      <c r="Q424" s="43">
        <v>10</v>
      </c>
      <c r="R424" s="43">
        <v>3</v>
      </c>
      <c r="S424" s="45"/>
      <c r="T424" t="b">
        <f>(S422+S423+S424)=Q2</f>
        <v>0</v>
      </c>
      <c r="X424" s="1">
        <f t="shared" si="38"/>
        <v>0</v>
      </c>
      <c r="Y424" s="48">
        <v>0</v>
      </c>
      <c r="AA424" s="1">
        <v>6</v>
      </c>
      <c r="AB424" s="1" t="s">
        <v>14</v>
      </c>
      <c r="AC424" s="1" t="s">
        <v>20</v>
      </c>
      <c r="AD424" s="1">
        <v>14</v>
      </c>
      <c r="AE424" s="1">
        <v>11</v>
      </c>
      <c r="AF424" s="1">
        <v>0.8</v>
      </c>
      <c r="AG424" s="1">
        <v>0.88</v>
      </c>
      <c r="AH424" s="1">
        <v>0</v>
      </c>
      <c r="AI424" s="1">
        <v>0</v>
      </c>
      <c r="AJ424" s="1">
        <f t="shared" si="34"/>
        <v>0</v>
      </c>
      <c r="AK424" s="1">
        <f>E47</f>
        <v>0</v>
      </c>
      <c r="AL424" s="1">
        <f>E53</f>
        <v>0</v>
      </c>
      <c r="AM424" s="1">
        <f t="shared" si="35"/>
        <v>0</v>
      </c>
      <c r="AN424" s="1">
        <f t="shared" si="36"/>
        <v>0</v>
      </c>
      <c r="AO424" s="1">
        <f t="shared" si="37"/>
        <v>0</v>
      </c>
      <c r="AP424" t="b" cm="1">
        <f t="array" ref="AP424">INDEX($AU$8:$BB$25,6*(R424-1)+MATCH(AB424,$AS$8:$AS$13,0),MATCH(O424,$AU$7:$BB$7,0))</f>
        <v>1</v>
      </c>
    </row>
    <row r="425" spans="15:42" ht="14.25" x14ac:dyDescent="0.45">
      <c r="O425" s="43" t="s">
        <v>32</v>
      </c>
      <c r="P425" s="43">
        <v>1</v>
      </c>
      <c r="Q425" s="43">
        <v>11</v>
      </c>
      <c r="R425" s="43">
        <v>1</v>
      </c>
      <c r="S425" s="45"/>
      <c r="T425" t="b">
        <f>(S425+S426+S427)=Q2</f>
        <v>0</v>
      </c>
      <c r="X425" s="1">
        <f t="shared" si="38"/>
        <v>0</v>
      </c>
      <c r="Y425" s="48">
        <v>0</v>
      </c>
      <c r="AA425" s="1">
        <v>3</v>
      </c>
      <c r="AB425" s="1" t="s">
        <v>16</v>
      </c>
      <c r="AC425" s="1" t="s">
        <v>22</v>
      </c>
      <c r="AD425" s="1">
        <v>18</v>
      </c>
      <c r="AE425" s="1">
        <v>16</v>
      </c>
      <c r="AF425" s="1">
        <v>0.8</v>
      </c>
      <c r="AG425" s="1">
        <v>0.9</v>
      </c>
      <c r="AH425" s="1">
        <v>0</v>
      </c>
      <c r="AI425" s="1">
        <v>0</v>
      </c>
      <c r="AJ425" s="1">
        <f t="shared" si="34"/>
        <v>0</v>
      </c>
      <c r="AK425" s="1">
        <f>C49</f>
        <v>0</v>
      </c>
      <c r="AL425" s="1">
        <f>C55</f>
        <v>0</v>
      </c>
      <c r="AM425" s="1">
        <f t="shared" si="35"/>
        <v>0</v>
      </c>
      <c r="AN425" s="1">
        <f t="shared" si="36"/>
        <v>0</v>
      </c>
      <c r="AO425" s="1">
        <f t="shared" si="37"/>
        <v>0</v>
      </c>
      <c r="AP425" t="b" cm="1">
        <f t="array" ref="AP425">INDEX($AU$8:$BB$25,6*(R425-1)+MATCH(AB425,$AS$8:$AS$13,0),MATCH(O425,$AU$7:$BB$7,0))</f>
        <v>1</v>
      </c>
    </row>
    <row r="426" spans="15:42" ht="14.25" x14ac:dyDescent="0.45">
      <c r="O426" s="43" t="s">
        <v>32</v>
      </c>
      <c r="P426" s="43">
        <v>1</v>
      </c>
      <c r="Q426" s="43">
        <v>11</v>
      </c>
      <c r="R426" s="43">
        <v>2</v>
      </c>
      <c r="S426" s="45"/>
      <c r="T426" t="b">
        <f>(S425+S426+S427)=Q2</f>
        <v>0</v>
      </c>
      <c r="X426" s="1">
        <f t="shared" si="38"/>
        <v>0</v>
      </c>
      <c r="Y426" s="48">
        <v>0</v>
      </c>
      <c r="AA426" s="1">
        <v>3</v>
      </c>
      <c r="AB426" s="1" t="s">
        <v>16</v>
      </c>
      <c r="AC426" s="1" t="s">
        <v>22</v>
      </c>
      <c r="AD426" s="1">
        <v>18</v>
      </c>
      <c r="AE426" s="1">
        <v>16</v>
      </c>
      <c r="AF426" s="1">
        <v>0.8</v>
      </c>
      <c r="AG426" s="1">
        <v>0.9</v>
      </c>
      <c r="AH426" s="1">
        <v>0</v>
      </c>
      <c r="AI426" s="1">
        <v>0</v>
      </c>
      <c r="AJ426" s="1">
        <f t="shared" si="34"/>
        <v>0</v>
      </c>
      <c r="AK426" s="1">
        <f>D49</f>
        <v>0</v>
      </c>
      <c r="AL426" s="1">
        <f>D55</f>
        <v>0</v>
      </c>
      <c r="AM426" s="1">
        <f t="shared" si="35"/>
        <v>0</v>
      </c>
      <c r="AN426" s="1">
        <f t="shared" si="36"/>
        <v>0</v>
      </c>
      <c r="AO426" s="1">
        <f t="shared" si="37"/>
        <v>0</v>
      </c>
      <c r="AP426" t="b" cm="1">
        <f t="array" ref="AP426">INDEX($AU$8:$BB$25,6*(R426-1)+MATCH(AB426,$AS$8:$AS$13,0),MATCH(O426,$AU$7:$BB$7,0))</f>
        <v>1</v>
      </c>
    </row>
    <row r="427" spans="15:42" ht="14.25" x14ac:dyDescent="0.45">
      <c r="O427" s="43" t="s">
        <v>32</v>
      </c>
      <c r="P427" s="43">
        <v>1</v>
      </c>
      <c r="Q427" s="43">
        <v>11</v>
      </c>
      <c r="R427" s="43">
        <v>3</v>
      </c>
      <c r="S427" s="45"/>
      <c r="T427" t="b">
        <f>(S425+S426+S427)=Q2</f>
        <v>0</v>
      </c>
      <c r="X427" s="1">
        <f t="shared" si="38"/>
        <v>0</v>
      </c>
      <c r="Y427" s="48">
        <v>0</v>
      </c>
      <c r="AA427" s="1">
        <v>3</v>
      </c>
      <c r="AB427" s="1" t="s">
        <v>16</v>
      </c>
      <c r="AC427" s="1" t="s">
        <v>22</v>
      </c>
      <c r="AD427" s="1">
        <v>18</v>
      </c>
      <c r="AE427" s="1">
        <v>16</v>
      </c>
      <c r="AF427" s="1">
        <v>0.8</v>
      </c>
      <c r="AG427" s="1">
        <v>0.9</v>
      </c>
      <c r="AH427" s="1">
        <v>0</v>
      </c>
      <c r="AI427" s="1">
        <v>0</v>
      </c>
      <c r="AJ427" s="1">
        <f t="shared" si="34"/>
        <v>0</v>
      </c>
      <c r="AK427" s="1">
        <f>E49</f>
        <v>0</v>
      </c>
      <c r="AL427" s="1">
        <f>E55</f>
        <v>0</v>
      </c>
      <c r="AM427" s="1">
        <f t="shared" si="35"/>
        <v>0</v>
      </c>
      <c r="AN427" s="1">
        <f t="shared" si="36"/>
        <v>0</v>
      </c>
      <c r="AO427" s="1">
        <f t="shared" si="37"/>
        <v>0</v>
      </c>
      <c r="AP427" t="b" cm="1">
        <f t="array" ref="AP427">INDEX($AU$8:$BB$25,6*(R427-1)+MATCH(AB427,$AS$8:$AS$13,0),MATCH(O427,$AU$7:$BB$7,0))</f>
        <v>1</v>
      </c>
    </row>
    <row r="428" spans="15:42" ht="14.25" x14ac:dyDescent="0.45">
      <c r="O428" s="43" t="s">
        <v>32</v>
      </c>
      <c r="P428" s="43">
        <v>2</v>
      </c>
      <c r="Q428" s="43">
        <v>1</v>
      </c>
      <c r="R428" s="43">
        <v>1</v>
      </c>
      <c r="S428" s="45"/>
      <c r="T428" t="b">
        <f>(S428+S429+S430)=Q3</f>
        <v>0</v>
      </c>
      <c r="X428" s="1">
        <v>0</v>
      </c>
      <c r="Y428" s="48">
        <v>0</v>
      </c>
      <c r="AA428" s="1">
        <v>9</v>
      </c>
      <c r="AB428" s="1" t="s">
        <v>16</v>
      </c>
      <c r="AC428" s="1" t="s">
        <v>22</v>
      </c>
      <c r="AD428" s="1">
        <v>19</v>
      </c>
      <c r="AE428" s="1">
        <v>16</v>
      </c>
      <c r="AF428" s="1">
        <v>0.8</v>
      </c>
      <c r="AG428" s="1">
        <v>0.9</v>
      </c>
      <c r="AH428" s="1">
        <v>0</v>
      </c>
      <c r="AI428" s="1">
        <v>0</v>
      </c>
      <c r="AJ428" s="1">
        <f t="shared" si="34"/>
        <v>0</v>
      </c>
      <c r="AK428" s="1">
        <f>C49</f>
        <v>0</v>
      </c>
      <c r="AL428" s="1">
        <f>C55</f>
        <v>0</v>
      </c>
      <c r="AM428" s="1">
        <f t="shared" si="35"/>
        <v>0</v>
      </c>
      <c r="AN428" s="1">
        <f t="shared" si="36"/>
        <v>0</v>
      </c>
      <c r="AO428" s="1">
        <f t="shared" si="37"/>
        <v>0</v>
      </c>
      <c r="AP428" t="b" cm="1">
        <f t="array" ref="AP428">INDEX($AU$8:$BB$25,6*(R428-1)+MATCH(AB428,$AS$8:$AS$13,0),MATCH(O428,$AU$7:$BB$7,0))</f>
        <v>1</v>
      </c>
    </row>
    <row r="429" spans="15:42" ht="14.25" x14ac:dyDescent="0.45">
      <c r="O429" s="43" t="s">
        <v>32</v>
      </c>
      <c r="P429" s="43">
        <v>2</v>
      </c>
      <c r="Q429" s="43">
        <v>1</v>
      </c>
      <c r="R429" s="43">
        <v>2</v>
      </c>
      <c r="S429" s="45"/>
      <c r="T429" t="b">
        <f>(S428+S429+S430)=Q3</f>
        <v>0</v>
      </c>
      <c r="X429" s="1">
        <v>0</v>
      </c>
      <c r="Y429" s="48">
        <v>0</v>
      </c>
      <c r="AA429" s="1">
        <v>9</v>
      </c>
      <c r="AB429" s="1" t="s">
        <v>16</v>
      </c>
      <c r="AC429" s="1" t="s">
        <v>22</v>
      </c>
      <c r="AD429" s="1">
        <v>19</v>
      </c>
      <c r="AE429" s="1">
        <v>16</v>
      </c>
      <c r="AF429" s="1">
        <v>0.8</v>
      </c>
      <c r="AG429" s="1">
        <v>0.9</v>
      </c>
      <c r="AH429" s="1">
        <v>0</v>
      </c>
      <c r="AI429" s="1">
        <v>0</v>
      </c>
      <c r="AJ429" s="1">
        <f t="shared" si="34"/>
        <v>0</v>
      </c>
      <c r="AK429" s="1">
        <f>D49</f>
        <v>0</v>
      </c>
      <c r="AL429" s="1">
        <f>D55</f>
        <v>0</v>
      </c>
      <c r="AM429" s="1">
        <f t="shared" si="35"/>
        <v>0</v>
      </c>
      <c r="AN429" s="1">
        <f t="shared" si="36"/>
        <v>0</v>
      </c>
      <c r="AO429" s="1">
        <f t="shared" si="37"/>
        <v>0</v>
      </c>
      <c r="AP429" t="b" cm="1">
        <f t="array" ref="AP429">INDEX($AU$8:$BB$25,6*(R429-1)+MATCH(AB429,$AS$8:$AS$13,0),MATCH(O429,$AU$7:$BB$7,0))</f>
        <v>1</v>
      </c>
    </row>
    <row r="430" spans="15:42" ht="14.25" x14ac:dyDescent="0.45">
      <c r="O430" s="43" t="s">
        <v>32</v>
      </c>
      <c r="P430" s="43">
        <v>2</v>
      </c>
      <c r="Q430" s="43">
        <v>1</v>
      </c>
      <c r="R430" s="43">
        <v>3</v>
      </c>
      <c r="S430" s="45"/>
      <c r="T430" t="b">
        <f>(S428+S429+S430)=Q3</f>
        <v>0</v>
      </c>
      <c r="X430" s="1">
        <v>0</v>
      </c>
      <c r="Y430" s="48">
        <v>0</v>
      </c>
      <c r="AA430" s="1">
        <v>9</v>
      </c>
      <c r="AB430" s="1" t="s">
        <v>16</v>
      </c>
      <c r="AC430" s="1" t="s">
        <v>22</v>
      </c>
      <c r="AD430" s="1">
        <v>19</v>
      </c>
      <c r="AE430" s="1">
        <v>16</v>
      </c>
      <c r="AF430" s="1">
        <v>0.8</v>
      </c>
      <c r="AG430" s="1">
        <v>0.9</v>
      </c>
      <c r="AH430" s="1">
        <v>0</v>
      </c>
      <c r="AI430" s="1">
        <v>0</v>
      </c>
      <c r="AJ430" s="1">
        <f t="shared" si="34"/>
        <v>0</v>
      </c>
      <c r="AK430" s="1">
        <f>E49</f>
        <v>0</v>
      </c>
      <c r="AL430" s="1">
        <f>E55</f>
        <v>0</v>
      </c>
      <c r="AM430" s="1">
        <f t="shared" si="35"/>
        <v>0</v>
      </c>
      <c r="AN430" s="1">
        <f t="shared" si="36"/>
        <v>0</v>
      </c>
      <c r="AO430" s="1">
        <f t="shared" si="37"/>
        <v>0</v>
      </c>
      <c r="AP430" t="b" cm="1">
        <f t="array" ref="AP430">INDEX($AU$8:$BB$25,6*(R430-1)+MATCH(AB430,$AS$8:$AS$13,0),MATCH(O430,$AU$7:$BB$7,0))</f>
        <v>1</v>
      </c>
    </row>
    <row r="431" spans="15:42" ht="14.25" x14ac:dyDescent="0.45">
      <c r="O431" s="43" t="s">
        <v>32</v>
      </c>
      <c r="P431" s="43">
        <v>2</v>
      </c>
      <c r="Q431" s="43">
        <v>2</v>
      </c>
      <c r="R431" s="43">
        <v>1</v>
      </c>
      <c r="S431" s="45"/>
      <c r="T431" t="b">
        <f>(S431+S432+S433)=Q3</f>
        <v>0</v>
      </c>
      <c r="X431" s="1">
        <f t="shared" ref="X431:X472" si="39">MAX(S428-S431,0)</f>
        <v>0</v>
      </c>
      <c r="Y431" s="48">
        <v>0</v>
      </c>
      <c r="AA431" s="1">
        <v>1</v>
      </c>
      <c r="AB431" s="1" t="s">
        <v>12</v>
      </c>
      <c r="AC431" s="1" t="s">
        <v>18</v>
      </c>
      <c r="AD431" s="1">
        <v>20</v>
      </c>
      <c r="AE431" s="1">
        <v>18</v>
      </c>
      <c r="AF431" s="1">
        <v>0.76</v>
      </c>
      <c r="AG431" s="1">
        <v>0.81</v>
      </c>
      <c r="AH431" s="1">
        <v>0</v>
      </c>
      <c r="AI431" s="1">
        <v>0</v>
      </c>
      <c r="AJ431" s="1">
        <f t="shared" si="34"/>
        <v>0</v>
      </c>
      <c r="AK431" s="1">
        <f>C45</f>
        <v>0</v>
      </c>
      <c r="AL431" s="1">
        <f>C51</f>
        <v>0</v>
      </c>
      <c r="AM431" s="1">
        <f t="shared" si="35"/>
        <v>0</v>
      </c>
      <c r="AN431" s="1">
        <f t="shared" si="36"/>
        <v>0</v>
      </c>
      <c r="AO431" s="1">
        <f t="shared" si="37"/>
        <v>0</v>
      </c>
      <c r="AP431" t="b" cm="1">
        <f t="array" ref="AP431">INDEX($AU$8:$BB$25,6*(R431-1)+MATCH(AB431,$AS$8:$AS$13,0),MATCH(O431,$AU$7:$BB$7,0))</f>
        <v>1</v>
      </c>
    </row>
    <row r="432" spans="15:42" ht="14.25" x14ac:dyDescent="0.45">
      <c r="O432" s="43" t="s">
        <v>32</v>
      </c>
      <c r="P432" s="43">
        <v>2</v>
      </c>
      <c r="Q432" s="43">
        <v>2</v>
      </c>
      <c r="R432" s="43">
        <v>2</v>
      </c>
      <c r="S432" s="45"/>
      <c r="T432" t="b">
        <f>(S431+S432+S433)=Q3</f>
        <v>0</v>
      </c>
      <c r="X432" s="1">
        <f t="shared" si="39"/>
        <v>0</v>
      </c>
      <c r="Y432" s="48">
        <v>0</v>
      </c>
      <c r="AA432" s="1">
        <v>1</v>
      </c>
      <c r="AB432" s="1" t="s">
        <v>12</v>
      </c>
      <c r="AC432" s="1" t="s">
        <v>18</v>
      </c>
      <c r="AD432" s="1">
        <v>20</v>
      </c>
      <c r="AE432" s="1">
        <v>18</v>
      </c>
      <c r="AF432" s="1">
        <v>0.76</v>
      </c>
      <c r="AG432" s="1">
        <v>0.81</v>
      </c>
      <c r="AH432" s="1">
        <v>0</v>
      </c>
      <c r="AI432" s="1">
        <v>0</v>
      </c>
      <c r="AJ432" s="1">
        <f t="shared" si="34"/>
        <v>0</v>
      </c>
      <c r="AK432" s="1">
        <f>D45</f>
        <v>0</v>
      </c>
      <c r="AL432" s="1">
        <f>D51</f>
        <v>0</v>
      </c>
      <c r="AM432" s="1">
        <f t="shared" si="35"/>
        <v>0</v>
      </c>
      <c r="AN432" s="1">
        <f t="shared" si="36"/>
        <v>0</v>
      </c>
      <c r="AO432" s="1">
        <f t="shared" si="37"/>
        <v>0</v>
      </c>
      <c r="AP432" t="b" cm="1">
        <f t="array" ref="AP432">INDEX($AU$8:$BB$25,6*(R432-1)+MATCH(AB432,$AS$8:$AS$13,0),MATCH(O432,$AU$7:$BB$7,0))</f>
        <v>1</v>
      </c>
    </row>
    <row r="433" spans="15:42" ht="14.25" x14ac:dyDescent="0.45">
      <c r="O433" s="43" t="s">
        <v>32</v>
      </c>
      <c r="P433" s="43">
        <v>2</v>
      </c>
      <c r="Q433" s="43">
        <v>2</v>
      </c>
      <c r="R433" s="43">
        <v>3</v>
      </c>
      <c r="S433" s="45"/>
      <c r="T433" t="b">
        <f>(S431+S432+S433)=Q3</f>
        <v>0</v>
      </c>
      <c r="X433" s="1">
        <f t="shared" si="39"/>
        <v>0</v>
      </c>
      <c r="Y433" s="48">
        <v>0</v>
      </c>
      <c r="AA433" s="1">
        <v>1</v>
      </c>
      <c r="AB433" s="1" t="s">
        <v>12</v>
      </c>
      <c r="AC433" s="1" t="s">
        <v>18</v>
      </c>
      <c r="AD433" s="1">
        <v>20</v>
      </c>
      <c r="AE433" s="1">
        <v>18</v>
      </c>
      <c r="AF433" s="1">
        <v>0.76</v>
      </c>
      <c r="AG433" s="1">
        <v>0.81</v>
      </c>
      <c r="AH433" s="1">
        <v>0</v>
      </c>
      <c r="AI433" s="1">
        <v>0</v>
      </c>
      <c r="AJ433" s="1">
        <f t="shared" si="34"/>
        <v>0</v>
      </c>
      <c r="AK433" s="1">
        <f>E45</f>
        <v>0</v>
      </c>
      <c r="AL433" s="1">
        <f>E51</f>
        <v>0</v>
      </c>
      <c r="AM433" s="1">
        <f t="shared" si="35"/>
        <v>0</v>
      </c>
      <c r="AN433" s="1">
        <f t="shared" si="36"/>
        <v>0</v>
      </c>
      <c r="AO433" s="1">
        <f t="shared" si="37"/>
        <v>0</v>
      </c>
      <c r="AP433" t="b" cm="1">
        <f t="array" ref="AP433">INDEX($AU$8:$BB$25,6*(R433-1)+MATCH(AB433,$AS$8:$AS$13,0),MATCH(O433,$AU$7:$BB$7,0))</f>
        <v>1</v>
      </c>
    </row>
    <row r="434" spans="15:42" ht="14.25" x14ac:dyDescent="0.45">
      <c r="O434" s="43" t="s">
        <v>32</v>
      </c>
      <c r="P434" s="43">
        <v>2</v>
      </c>
      <c r="Q434" s="43">
        <v>3</v>
      </c>
      <c r="R434" s="43">
        <v>1</v>
      </c>
      <c r="S434" s="45"/>
      <c r="T434" t="b">
        <f>(S434+S435+S436)=Q3</f>
        <v>0</v>
      </c>
      <c r="X434" s="1">
        <f t="shared" si="39"/>
        <v>0</v>
      </c>
      <c r="Y434" s="48">
        <v>0</v>
      </c>
      <c r="AA434" s="1">
        <v>11</v>
      </c>
      <c r="AB434" s="1" t="s">
        <v>15</v>
      </c>
      <c r="AC434" s="1" t="s">
        <v>21</v>
      </c>
      <c r="AD434" s="1">
        <v>10</v>
      </c>
      <c r="AE434" s="1">
        <v>7</v>
      </c>
      <c r="AF434" s="1">
        <v>0.76</v>
      </c>
      <c r="AG434" s="1">
        <v>0.84</v>
      </c>
      <c r="AH434" s="1">
        <v>0</v>
      </c>
      <c r="AI434" s="1">
        <v>0</v>
      </c>
      <c r="AJ434" s="1">
        <f t="shared" si="34"/>
        <v>0</v>
      </c>
      <c r="AK434" s="1">
        <f>C48</f>
        <v>0</v>
      </c>
      <c r="AL434" s="1">
        <f>C54</f>
        <v>0</v>
      </c>
      <c r="AM434" s="1">
        <f t="shared" si="35"/>
        <v>0</v>
      </c>
      <c r="AN434" s="1">
        <f t="shared" si="36"/>
        <v>0</v>
      </c>
      <c r="AO434" s="1">
        <f t="shared" si="37"/>
        <v>0</v>
      </c>
      <c r="AP434" t="b" cm="1">
        <f t="array" ref="AP434">INDEX($AU$8:$BB$25,6*(R434-1)+MATCH(AB434,$AS$8:$AS$13,0),MATCH(O434,$AU$7:$BB$7,0))</f>
        <v>1</v>
      </c>
    </row>
    <row r="435" spans="15:42" ht="14.25" x14ac:dyDescent="0.45">
      <c r="O435" s="43" t="s">
        <v>32</v>
      </c>
      <c r="P435" s="43">
        <v>2</v>
      </c>
      <c r="Q435" s="43">
        <v>3</v>
      </c>
      <c r="R435" s="43">
        <v>2</v>
      </c>
      <c r="S435" s="45"/>
      <c r="T435" t="b">
        <f>(S434+S435+S436)=Q3</f>
        <v>0</v>
      </c>
      <c r="X435" s="1">
        <f t="shared" si="39"/>
        <v>0</v>
      </c>
      <c r="Y435" s="48">
        <v>0</v>
      </c>
      <c r="AA435" s="1">
        <v>11</v>
      </c>
      <c r="AB435" s="1" t="s">
        <v>15</v>
      </c>
      <c r="AC435" s="1" t="s">
        <v>21</v>
      </c>
      <c r="AD435" s="1">
        <v>10</v>
      </c>
      <c r="AE435" s="1">
        <v>7</v>
      </c>
      <c r="AF435" s="1">
        <v>0.76</v>
      </c>
      <c r="AG435" s="1">
        <v>0.84</v>
      </c>
      <c r="AH435" s="1">
        <v>0</v>
      </c>
      <c r="AI435" s="1">
        <v>0</v>
      </c>
      <c r="AJ435" s="1">
        <f t="shared" si="34"/>
        <v>0</v>
      </c>
      <c r="AK435" s="1">
        <f>D48</f>
        <v>0</v>
      </c>
      <c r="AL435" s="1">
        <f>D54</f>
        <v>0</v>
      </c>
      <c r="AM435" s="1">
        <f t="shared" si="35"/>
        <v>0</v>
      </c>
      <c r="AN435" s="1">
        <f t="shared" si="36"/>
        <v>0</v>
      </c>
      <c r="AO435" s="1">
        <f t="shared" si="37"/>
        <v>0</v>
      </c>
      <c r="AP435" t="b" cm="1">
        <f t="array" ref="AP435">INDEX($AU$8:$BB$25,6*(R435-1)+MATCH(AB435,$AS$8:$AS$13,0),MATCH(O435,$AU$7:$BB$7,0))</f>
        <v>1</v>
      </c>
    </row>
    <row r="436" spans="15:42" ht="14.25" x14ac:dyDescent="0.45">
      <c r="O436" s="43" t="s">
        <v>32</v>
      </c>
      <c r="P436" s="43">
        <v>2</v>
      </c>
      <c r="Q436" s="43">
        <v>3</v>
      </c>
      <c r="R436" s="43">
        <v>3</v>
      </c>
      <c r="S436" s="45"/>
      <c r="T436" t="b">
        <f>(S434+S435+S436)=Q3</f>
        <v>0</v>
      </c>
      <c r="X436" s="1">
        <f t="shared" si="39"/>
        <v>0</v>
      </c>
      <c r="Y436" s="48">
        <v>0</v>
      </c>
      <c r="AA436" s="1">
        <v>11</v>
      </c>
      <c r="AB436" s="1" t="s">
        <v>15</v>
      </c>
      <c r="AC436" s="1" t="s">
        <v>21</v>
      </c>
      <c r="AD436" s="1">
        <v>10</v>
      </c>
      <c r="AE436" s="1">
        <v>7</v>
      </c>
      <c r="AF436" s="1">
        <v>0.76</v>
      </c>
      <c r="AG436" s="1">
        <v>0.84</v>
      </c>
      <c r="AH436" s="1">
        <v>0</v>
      </c>
      <c r="AI436" s="1">
        <v>0</v>
      </c>
      <c r="AJ436" s="1">
        <f t="shared" si="34"/>
        <v>0</v>
      </c>
      <c r="AK436" s="1">
        <f>E48</f>
        <v>0</v>
      </c>
      <c r="AL436" s="1">
        <f>E54</f>
        <v>0</v>
      </c>
      <c r="AM436" s="1">
        <f t="shared" si="35"/>
        <v>0</v>
      </c>
      <c r="AN436" s="1">
        <f t="shared" si="36"/>
        <v>0</v>
      </c>
      <c r="AO436" s="1">
        <f t="shared" si="37"/>
        <v>0</v>
      </c>
      <c r="AP436" t="b" cm="1">
        <f t="array" ref="AP436">INDEX($AU$8:$BB$25,6*(R436-1)+MATCH(AB436,$AS$8:$AS$13,0),MATCH(O436,$AU$7:$BB$7,0))</f>
        <v>1</v>
      </c>
    </row>
    <row r="437" spans="15:42" ht="14.25" x14ac:dyDescent="0.45">
      <c r="O437" s="43" t="s">
        <v>32</v>
      </c>
      <c r="P437" s="43">
        <v>2</v>
      </c>
      <c r="Q437" s="43">
        <v>4</v>
      </c>
      <c r="R437" s="43">
        <v>1</v>
      </c>
      <c r="S437" s="45"/>
      <c r="T437" t="b">
        <f>(S437+S438+S439)=Q3</f>
        <v>0</v>
      </c>
      <c r="X437" s="1">
        <f t="shared" si="39"/>
        <v>0</v>
      </c>
      <c r="Y437" s="48">
        <v>0</v>
      </c>
      <c r="AA437" s="1">
        <v>2</v>
      </c>
      <c r="AB437" s="1" t="s">
        <v>12</v>
      </c>
      <c r="AC437" s="1" t="s">
        <v>18</v>
      </c>
      <c r="AD437" s="1">
        <v>25</v>
      </c>
      <c r="AE437" s="1">
        <v>19</v>
      </c>
      <c r="AF437" s="1">
        <v>0.76</v>
      </c>
      <c r="AG437" s="1">
        <v>0.81</v>
      </c>
      <c r="AH437" s="1">
        <v>0</v>
      </c>
      <c r="AI437" s="1">
        <v>0</v>
      </c>
      <c r="AJ437" s="1">
        <f t="shared" si="34"/>
        <v>0</v>
      </c>
      <c r="AK437" s="1">
        <f>C45</f>
        <v>0</v>
      </c>
      <c r="AL437" s="1">
        <f>C51</f>
        <v>0</v>
      </c>
      <c r="AM437" s="1">
        <f t="shared" si="35"/>
        <v>0</v>
      </c>
      <c r="AN437" s="1">
        <f t="shared" si="36"/>
        <v>0</v>
      </c>
      <c r="AO437" s="1">
        <f t="shared" si="37"/>
        <v>0</v>
      </c>
      <c r="AP437" t="b" cm="1">
        <f t="array" ref="AP437">INDEX($AU$8:$BB$25,6*(R437-1)+MATCH(AB437,$AS$8:$AS$13,0),MATCH(O437,$AU$7:$BB$7,0))</f>
        <v>1</v>
      </c>
    </row>
    <row r="438" spans="15:42" ht="14.25" x14ac:dyDescent="0.45">
      <c r="O438" s="43" t="s">
        <v>32</v>
      </c>
      <c r="P438" s="43">
        <v>2</v>
      </c>
      <c r="Q438" s="43">
        <v>4</v>
      </c>
      <c r="R438" s="43">
        <v>2</v>
      </c>
      <c r="S438" s="45"/>
      <c r="T438" t="b">
        <f>(S437+S438+S439)=Q3</f>
        <v>0</v>
      </c>
      <c r="X438" s="1">
        <f t="shared" si="39"/>
        <v>0</v>
      </c>
      <c r="Y438" s="48">
        <v>0</v>
      </c>
      <c r="AA438" s="1">
        <v>2</v>
      </c>
      <c r="AB438" s="1" t="s">
        <v>12</v>
      </c>
      <c r="AC438" s="1" t="s">
        <v>18</v>
      </c>
      <c r="AD438" s="1">
        <v>25</v>
      </c>
      <c r="AE438" s="1">
        <v>19</v>
      </c>
      <c r="AF438" s="1">
        <v>0.76</v>
      </c>
      <c r="AG438" s="1">
        <v>0.81</v>
      </c>
      <c r="AH438" s="1">
        <v>0</v>
      </c>
      <c r="AI438" s="1">
        <v>0</v>
      </c>
      <c r="AJ438" s="1">
        <f t="shared" si="34"/>
        <v>0</v>
      </c>
      <c r="AK438" s="1">
        <f>D45</f>
        <v>0</v>
      </c>
      <c r="AL438" s="1">
        <f>D51</f>
        <v>0</v>
      </c>
      <c r="AM438" s="1">
        <f t="shared" si="35"/>
        <v>0</v>
      </c>
      <c r="AN438" s="1">
        <f t="shared" si="36"/>
        <v>0</v>
      </c>
      <c r="AO438" s="1">
        <f t="shared" si="37"/>
        <v>0</v>
      </c>
      <c r="AP438" t="b" cm="1">
        <f t="array" ref="AP438">INDEX($AU$8:$BB$25,6*(R438-1)+MATCH(AB438,$AS$8:$AS$13,0),MATCH(O438,$AU$7:$BB$7,0))</f>
        <v>1</v>
      </c>
    </row>
    <row r="439" spans="15:42" ht="14.25" x14ac:dyDescent="0.45">
      <c r="O439" s="43" t="s">
        <v>32</v>
      </c>
      <c r="P439" s="43">
        <v>2</v>
      </c>
      <c r="Q439" s="43">
        <v>4</v>
      </c>
      <c r="R439" s="43">
        <v>3</v>
      </c>
      <c r="S439" s="45"/>
      <c r="T439" t="b">
        <f>(S437+S438+S439)=Q3</f>
        <v>0</v>
      </c>
      <c r="X439" s="1">
        <f t="shared" si="39"/>
        <v>0</v>
      </c>
      <c r="Y439" s="48">
        <v>0</v>
      </c>
      <c r="AA439" s="1">
        <v>2</v>
      </c>
      <c r="AB439" s="1" t="s">
        <v>12</v>
      </c>
      <c r="AC439" s="1" t="s">
        <v>18</v>
      </c>
      <c r="AD439" s="1">
        <v>25</v>
      </c>
      <c r="AE439" s="1">
        <v>19</v>
      </c>
      <c r="AF439" s="1">
        <v>0.76</v>
      </c>
      <c r="AG439" s="1">
        <v>0.81</v>
      </c>
      <c r="AH439" s="1">
        <v>0</v>
      </c>
      <c r="AI439" s="1">
        <v>0</v>
      </c>
      <c r="AJ439" s="1">
        <f t="shared" si="34"/>
        <v>0</v>
      </c>
      <c r="AK439" s="1">
        <f>E45</f>
        <v>0</v>
      </c>
      <c r="AL439" s="1">
        <f>E51</f>
        <v>0</v>
      </c>
      <c r="AM439" s="1">
        <f t="shared" si="35"/>
        <v>0</v>
      </c>
      <c r="AN439" s="1">
        <f t="shared" si="36"/>
        <v>0</v>
      </c>
      <c r="AO439" s="1">
        <f t="shared" si="37"/>
        <v>0</v>
      </c>
      <c r="AP439" t="b" cm="1">
        <f t="array" ref="AP439">INDEX($AU$8:$BB$25,6*(R439-1)+MATCH(AB439,$AS$8:$AS$13,0),MATCH(O439,$AU$7:$BB$7,0))</f>
        <v>1</v>
      </c>
    </row>
    <row r="440" spans="15:42" ht="14.25" x14ac:dyDescent="0.45">
      <c r="O440" s="43" t="s">
        <v>32</v>
      </c>
      <c r="P440" s="43">
        <v>2</v>
      </c>
      <c r="Q440" s="43">
        <v>5</v>
      </c>
      <c r="R440" s="43">
        <v>1</v>
      </c>
      <c r="S440" s="45"/>
      <c r="T440" t="b">
        <f>(S440+S441+S442)=Q3</f>
        <v>0</v>
      </c>
      <c r="X440" s="1">
        <f t="shared" si="39"/>
        <v>0</v>
      </c>
      <c r="Y440" s="48">
        <v>0</v>
      </c>
      <c r="AA440" s="1">
        <v>3</v>
      </c>
      <c r="AB440" s="1" t="s">
        <v>12</v>
      </c>
      <c r="AC440" s="1" t="s">
        <v>18</v>
      </c>
      <c r="AD440" s="1">
        <v>15</v>
      </c>
      <c r="AE440" s="1">
        <v>11</v>
      </c>
      <c r="AF440" s="1">
        <v>0.76</v>
      </c>
      <c r="AG440" s="1">
        <v>0.81</v>
      </c>
      <c r="AH440" s="1">
        <v>0</v>
      </c>
      <c r="AI440" s="1">
        <v>0</v>
      </c>
      <c r="AJ440" s="1">
        <f t="shared" si="34"/>
        <v>0</v>
      </c>
      <c r="AK440" s="1">
        <f>C45</f>
        <v>0</v>
      </c>
      <c r="AL440" s="1">
        <f>C51</f>
        <v>0</v>
      </c>
      <c r="AM440" s="1">
        <f t="shared" si="35"/>
        <v>0</v>
      </c>
      <c r="AN440" s="1">
        <f t="shared" si="36"/>
        <v>0</v>
      </c>
      <c r="AO440" s="1">
        <f t="shared" si="37"/>
        <v>0</v>
      </c>
      <c r="AP440" t="b" cm="1">
        <f t="array" ref="AP440">INDEX($AU$8:$BB$25,6*(R440-1)+MATCH(AB440,$AS$8:$AS$13,0),MATCH(O440,$AU$7:$BB$7,0))</f>
        <v>1</v>
      </c>
    </row>
    <row r="441" spans="15:42" ht="14.25" x14ac:dyDescent="0.45">
      <c r="O441" s="43" t="s">
        <v>32</v>
      </c>
      <c r="P441" s="43">
        <v>2</v>
      </c>
      <c r="Q441" s="43">
        <v>5</v>
      </c>
      <c r="R441" s="43">
        <v>2</v>
      </c>
      <c r="S441" s="45"/>
      <c r="T441" t="b">
        <f>(S440+S441+S442)=Q3</f>
        <v>0</v>
      </c>
      <c r="X441" s="1">
        <f t="shared" si="39"/>
        <v>0</v>
      </c>
      <c r="Y441" s="48">
        <v>0</v>
      </c>
      <c r="AA441" s="1">
        <v>3</v>
      </c>
      <c r="AB441" s="1" t="s">
        <v>12</v>
      </c>
      <c r="AC441" s="1" t="s">
        <v>18</v>
      </c>
      <c r="AD441" s="1">
        <v>15</v>
      </c>
      <c r="AE441" s="1">
        <v>11</v>
      </c>
      <c r="AF441" s="1">
        <v>0.76</v>
      </c>
      <c r="AG441" s="1">
        <v>0.81</v>
      </c>
      <c r="AH441" s="1">
        <v>0</v>
      </c>
      <c r="AI441" s="1">
        <v>0</v>
      </c>
      <c r="AJ441" s="1">
        <f t="shared" si="34"/>
        <v>0</v>
      </c>
      <c r="AK441" s="1">
        <f>D45</f>
        <v>0</v>
      </c>
      <c r="AL441" s="1">
        <f>D51</f>
        <v>0</v>
      </c>
      <c r="AM441" s="1">
        <f t="shared" si="35"/>
        <v>0</v>
      </c>
      <c r="AN441" s="1">
        <f t="shared" si="36"/>
        <v>0</v>
      </c>
      <c r="AO441" s="1">
        <f t="shared" si="37"/>
        <v>0</v>
      </c>
      <c r="AP441" t="b" cm="1">
        <f t="array" ref="AP441">INDEX($AU$8:$BB$25,6*(R441-1)+MATCH(AB441,$AS$8:$AS$13,0),MATCH(O441,$AU$7:$BB$7,0))</f>
        <v>1</v>
      </c>
    </row>
    <row r="442" spans="15:42" ht="14.25" x14ac:dyDescent="0.45">
      <c r="O442" s="43" t="s">
        <v>32</v>
      </c>
      <c r="P442" s="43">
        <v>2</v>
      </c>
      <c r="Q442" s="43">
        <v>5</v>
      </c>
      <c r="R442" s="43">
        <v>3</v>
      </c>
      <c r="S442" s="45"/>
      <c r="T442" t="b">
        <f>(S440+S441+S442)=Q3</f>
        <v>0</v>
      </c>
      <c r="X442" s="1">
        <f t="shared" si="39"/>
        <v>0</v>
      </c>
      <c r="Y442" s="48">
        <v>0</v>
      </c>
      <c r="AA442" s="1">
        <v>3</v>
      </c>
      <c r="AB442" s="1" t="s">
        <v>12</v>
      </c>
      <c r="AC442" s="1" t="s">
        <v>18</v>
      </c>
      <c r="AD442" s="1">
        <v>15</v>
      </c>
      <c r="AE442" s="1">
        <v>11</v>
      </c>
      <c r="AF442" s="1">
        <v>0.76</v>
      </c>
      <c r="AG442" s="1">
        <v>0.81</v>
      </c>
      <c r="AH442" s="1">
        <v>0</v>
      </c>
      <c r="AI442" s="1">
        <v>0</v>
      </c>
      <c r="AJ442" s="1">
        <f t="shared" si="34"/>
        <v>0</v>
      </c>
      <c r="AK442" s="1">
        <f>E45</f>
        <v>0</v>
      </c>
      <c r="AL442" s="1">
        <f>E51</f>
        <v>0</v>
      </c>
      <c r="AM442" s="1">
        <f t="shared" si="35"/>
        <v>0</v>
      </c>
      <c r="AN442" s="1">
        <f t="shared" si="36"/>
        <v>0</v>
      </c>
      <c r="AO442" s="1">
        <f t="shared" si="37"/>
        <v>0</v>
      </c>
      <c r="AP442" t="b" cm="1">
        <f t="array" ref="AP442">INDEX($AU$8:$BB$25,6*(R442-1)+MATCH(AB442,$AS$8:$AS$13,0),MATCH(O442,$AU$7:$BB$7,0))</f>
        <v>1</v>
      </c>
    </row>
    <row r="443" spans="15:42" ht="14.25" x14ac:dyDescent="0.45">
      <c r="O443" s="43" t="s">
        <v>32</v>
      </c>
      <c r="P443" s="43">
        <v>2</v>
      </c>
      <c r="Q443" s="43">
        <v>6</v>
      </c>
      <c r="R443" s="43">
        <v>1</v>
      </c>
      <c r="S443" s="45"/>
      <c r="T443" t="b">
        <f>(S443+S444+S445)=Q3</f>
        <v>0</v>
      </c>
      <c r="X443" s="1">
        <f t="shared" si="39"/>
        <v>0</v>
      </c>
      <c r="Y443" s="48">
        <v>0</v>
      </c>
      <c r="AA443" s="1">
        <v>5</v>
      </c>
      <c r="AB443" s="1" t="s">
        <v>16</v>
      </c>
      <c r="AC443" s="1" t="s">
        <v>22</v>
      </c>
      <c r="AD443" s="1">
        <v>16</v>
      </c>
      <c r="AE443" s="1">
        <v>14</v>
      </c>
      <c r="AF443" s="1">
        <v>0.8</v>
      </c>
      <c r="AG443" s="1">
        <v>0.9</v>
      </c>
      <c r="AH443" s="1">
        <v>0</v>
      </c>
      <c r="AI443" s="1">
        <v>0</v>
      </c>
      <c r="AJ443" s="1">
        <f t="shared" si="34"/>
        <v>0</v>
      </c>
      <c r="AK443" s="1">
        <f>C49</f>
        <v>0</v>
      </c>
      <c r="AL443" s="1">
        <f>C55</f>
        <v>0</v>
      </c>
      <c r="AM443" s="1">
        <f t="shared" si="35"/>
        <v>0</v>
      </c>
      <c r="AN443" s="1">
        <f t="shared" si="36"/>
        <v>0</v>
      </c>
      <c r="AO443" s="1">
        <f t="shared" si="37"/>
        <v>0</v>
      </c>
      <c r="AP443" t="b" cm="1">
        <f t="array" ref="AP443">INDEX($AU$8:$BB$25,6*(R443-1)+MATCH(AB443,$AS$8:$AS$13,0),MATCH(O443,$AU$7:$BB$7,0))</f>
        <v>1</v>
      </c>
    </row>
    <row r="444" spans="15:42" ht="14.25" x14ac:dyDescent="0.45">
      <c r="O444" s="43" t="s">
        <v>32</v>
      </c>
      <c r="P444" s="43">
        <v>2</v>
      </c>
      <c r="Q444" s="43">
        <v>6</v>
      </c>
      <c r="R444" s="43">
        <v>2</v>
      </c>
      <c r="S444" s="45"/>
      <c r="T444" t="b">
        <f>(S443+S444+S445)=Q3</f>
        <v>0</v>
      </c>
      <c r="X444" s="1">
        <f t="shared" si="39"/>
        <v>0</v>
      </c>
      <c r="Y444" s="48">
        <v>0</v>
      </c>
      <c r="AA444" s="1">
        <v>5</v>
      </c>
      <c r="AB444" s="1" t="s">
        <v>16</v>
      </c>
      <c r="AC444" s="1" t="s">
        <v>22</v>
      </c>
      <c r="AD444" s="1">
        <v>16</v>
      </c>
      <c r="AE444" s="1">
        <v>14</v>
      </c>
      <c r="AF444" s="1">
        <v>0.8</v>
      </c>
      <c r="AG444" s="1">
        <v>0.9</v>
      </c>
      <c r="AH444" s="1">
        <v>0</v>
      </c>
      <c r="AI444" s="1">
        <v>0</v>
      </c>
      <c r="AJ444" s="1">
        <f t="shared" si="34"/>
        <v>0</v>
      </c>
      <c r="AK444" s="1">
        <f>D49</f>
        <v>0</v>
      </c>
      <c r="AL444" s="1">
        <f>D55</f>
        <v>0</v>
      </c>
      <c r="AM444" s="1">
        <f t="shared" si="35"/>
        <v>0</v>
      </c>
      <c r="AN444" s="1">
        <f t="shared" si="36"/>
        <v>0</v>
      </c>
      <c r="AO444" s="1">
        <f t="shared" si="37"/>
        <v>0</v>
      </c>
      <c r="AP444" t="b" cm="1">
        <f t="array" ref="AP444">INDEX($AU$8:$BB$25,6*(R444-1)+MATCH(AB444,$AS$8:$AS$13,0),MATCH(O444,$AU$7:$BB$7,0))</f>
        <v>1</v>
      </c>
    </row>
    <row r="445" spans="15:42" ht="14.25" x14ac:dyDescent="0.45">
      <c r="O445" s="43" t="s">
        <v>32</v>
      </c>
      <c r="P445" s="43">
        <v>2</v>
      </c>
      <c r="Q445" s="43">
        <v>6</v>
      </c>
      <c r="R445" s="43">
        <v>3</v>
      </c>
      <c r="S445" s="45"/>
      <c r="T445" t="b">
        <f>(S443+S444+S445)=Q3</f>
        <v>0</v>
      </c>
      <c r="X445" s="1">
        <f t="shared" si="39"/>
        <v>0</v>
      </c>
      <c r="Y445" s="48">
        <v>0</v>
      </c>
      <c r="AA445" s="1">
        <v>5</v>
      </c>
      <c r="AB445" s="1" t="s">
        <v>16</v>
      </c>
      <c r="AC445" s="1" t="s">
        <v>22</v>
      </c>
      <c r="AD445" s="1">
        <v>16</v>
      </c>
      <c r="AE445" s="1">
        <v>14</v>
      </c>
      <c r="AF445" s="1">
        <v>0.8</v>
      </c>
      <c r="AG445" s="1">
        <v>0.9</v>
      </c>
      <c r="AH445" s="1">
        <v>0</v>
      </c>
      <c r="AI445" s="1">
        <v>0</v>
      </c>
      <c r="AJ445" s="1">
        <f t="shared" si="34"/>
        <v>0</v>
      </c>
      <c r="AK445" s="1">
        <f>E49</f>
        <v>0</v>
      </c>
      <c r="AL445" s="1">
        <f>E55</f>
        <v>0</v>
      </c>
      <c r="AM445" s="1">
        <f t="shared" si="35"/>
        <v>0</v>
      </c>
      <c r="AN445" s="1">
        <f t="shared" si="36"/>
        <v>0</v>
      </c>
      <c r="AO445" s="1">
        <f t="shared" si="37"/>
        <v>0</v>
      </c>
      <c r="AP445" t="b" cm="1">
        <f t="array" ref="AP445">INDEX($AU$8:$BB$25,6*(R445-1)+MATCH(AB445,$AS$8:$AS$13,0),MATCH(O445,$AU$7:$BB$7,0))</f>
        <v>1</v>
      </c>
    </row>
    <row r="446" spans="15:42" ht="14.25" x14ac:dyDescent="0.45">
      <c r="O446" s="43" t="s">
        <v>32</v>
      </c>
      <c r="P446" s="43">
        <v>2</v>
      </c>
      <c r="Q446" s="43">
        <v>7</v>
      </c>
      <c r="R446" s="43">
        <v>1</v>
      </c>
      <c r="S446" s="45"/>
      <c r="T446" t="b">
        <f>(S446+S447+S448)=Q3</f>
        <v>0</v>
      </c>
      <c r="X446" s="1">
        <f t="shared" si="39"/>
        <v>0</v>
      </c>
      <c r="Y446" s="48">
        <v>0</v>
      </c>
      <c r="AA446" s="1">
        <v>4</v>
      </c>
      <c r="AB446" s="1" t="s">
        <v>16</v>
      </c>
      <c r="AC446" s="1" t="s">
        <v>22</v>
      </c>
      <c r="AD446" s="1">
        <v>17</v>
      </c>
      <c r="AE446" s="1">
        <v>15</v>
      </c>
      <c r="AF446" s="1">
        <v>0.8</v>
      </c>
      <c r="AG446" s="1">
        <v>0.9</v>
      </c>
      <c r="AH446" s="1">
        <v>0</v>
      </c>
      <c r="AI446" s="1">
        <v>0</v>
      </c>
      <c r="AJ446" s="1">
        <f t="shared" si="34"/>
        <v>0</v>
      </c>
      <c r="AK446" s="1">
        <f>C49</f>
        <v>0</v>
      </c>
      <c r="AL446" s="1">
        <f>C55</f>
        <v>0</v>
      </c>
      <c r="AM446" s="1">
        <f t="shared" si="35"/>
        <v>0</v>
      </c>
      <c r="AN446" s="1">
        <f t="shared" si="36"/>
        <v>0</v>
      </c>
      <c r="AO446" s="1">
        <f t="shared" si="37"/>
        <v>0</v>
      </c>
      <c r="AP446" t="b" cm="1">
        <f t="array" ref="AP446">INDEX($AU$8:$BB$25,6*(R446-1)+MATCH(AB446,$AS$8:$AS$13,0),MATCH(O446,$AU$7:$BB$7,0))</f>
        <v>1</v>
      </c>
    </row>
    <row r="447" spans="15:42" ht="14.25" x14ac:dyDescent="0.45">
      <c r="O447" s="43" t="s">
        <v>32</v>
      </c>
      <c r="P447" s="43">
        <v>2</v>
      </c>
      <c r="Q447" s="43">
        <v>7</v>
      </c>
      <c r="R447" s="43">
        <v>2</v>
      </c>
      <c r="S447" s="45"/>
      <c r="T447" t="b">
        <f>(S446+S447+S448)=Q3</f>
        <v>0</v>
      </c>
      <c r="X447" s="1">
        <f t="shared" si="39"/>
        <v>0</v>
      </c>
      <c r="Y447" s="48">
        <v>0</v>
      </c>
      <c r="AA447" s="1">
        <v>4</v>
      </c>
      <c r="AB447" s="1" t="s">
        <v>16</v>
      </c>
      <c r="AC447" s="1" t="s">
        <v>22</v>
      </c>
      <c r="AD447" s="1">
        <v>17</v>
      </c>
      <c r="AE447" s="1">
        <v>15</v>
      </c>
      <c r="AF447" s="1">
        <v>0.8</v>
      </c>
      <c r="AG447" s="1">
        <v>0.9</v>
      </c>
      <c r="AH447" s="1">
        <v>0</v>
      </c>
      <c r="AI447" s="1">
        <v>0</v>
      </c>
      <c r="AJ447" s="1">
        <f t="shared" si="34"/>
        <v>0</v>
      </c>
      <c r="AK447" s="1">
        <f>D49</f>
        <v>0</v>
      </c>
      <c r="AL447" s="1">
        <f>D55</f>
        <v>0</v>
      </c>
      <c r="AM447" s="1">
        <f t="shared" si="35"/>
        <v>0</v>
      </c>
      <c r="AN447" s="1">
        <f t="shared" si="36"/>
        <v>0</v>
      </c>
      <c r="AO447" s="1">
        <f t="shared" si="37"/>
        <v>0</v>
      </c>
      <c r="AP447" t="b" cm="1">
        <f t="array" ref="AP447">INDEX($AU$8:$BB$25,6*(R447-1)+MATCH(AB447,$AS$8:$AS$13,0),MATCH(O447,$AU$7:$BB$7,0))</f>
        <v>1</v>
      </c>
    </row>
    <row r="448" spans="15:42" ht="14.25" x14ac:dyDescent="0.45">
      <c r="O448" s="43" t="s">
        <v>32</v>
      </c>
      <c r="P448" s="43">
        <v>2</v>
      </c>
      <c r="Q448" s="43">
        <v>7</v>
      </c>
      <c r="R448" s="43">
        <v>3</v>
      </c>
      <c r="S448" s="45"/>
      <c r="T448" t="b">
        <f>(S446+S447+S448)=Q3</f>
        <v>0</v>
      </c>
      <c r="X448" s="1">
        <f t="shared" si="39"/>
        <v>0</v>
      </c>
      <c r="Y448" s="48">
        <v>0</v>
      </c>
      <c r="AA448" s="1">
        <v>4</v>
      </c>
      <c r="AB448" s="1" t="s">
        <v>16</v>
      </c>
      <c r="AC448" s="1" t="s">
        <v>22</v>
      </c>
      <c r="AD448" s="1">
        <v>17</v>
      </c>
      <c r="AE448" s="1">
        <v>15</v>
      </c>
      <c r="AF448" s="1">
        <v>0.8</v>
      </c>
      <c r="AG448" s="1">
        <v>0.9</v>
      </c>
      <c r="AH448" s="1">
        <v>0</v>
      </c>
      <c r="AI448" s="1">
        <v>0</v>
      </c>
      <c r="AJ448" s="1">
        <f t="shared" si="34"/>
        <v>0</v>
      </c>
      <c r="AK448" s="1">
        <f>E49</f>
        <v>0</v>
      </c>
      <c r="AL448" s="1">
        <f>E55</f>
        <v>0</v>
      </c>
      <c r="AM448" s="1">
        <f t="shared" si="35"/>
        <v>0</v>
      </c>
      <c r="AN448" s="1">
        <f t="shared" si="36"/>
        <v>0</v>
      </c>
      <c r="AO448" s="1">
        <f t="shared" si="37"/>
        <v>0</v>
      </c>
      <c r="AP448" t="b" cm="1">
        <f t="array" ref="AP448">INDEX($AU$8:$BB$25,6*(R448-1)+MATCH(AB448,$AS$8:$AS$13,0),MATCH(O448,$AU$7:$BB$7,0))</f>
        <v>1</v>
      </c>
    </row>
    <row r="449" spans="15:42" ht="14.25" x14ac:dyDescent="0.45">
      <c r="O449" s="43" t="s">
        <v>32</v>
      </c>
      <c r="P449" s="43">
        <v>2</v>
      </c>
      <c r="Q449" s="43">
        <v>8</v>
      </c>
      <c r="R449" s="43">
        <v>1</v>
      </c>
      <c r="S449" s="45"/>
      <c r="T449" t="b">
        <f>(S449+S450+S451)=Q3</f>
        <v>0</v>
      </c>
      <c r="X449" s="1">
        <f t="shared" si="39"/>
        <v>0</v>
      </c>
      <c r="Y449" s="48">
        <v>0</v>
      </c>
      <c r="AA449" s="1">
        <v>4</v>
      </c>
      <c r="AB449" s="1" t="s">
        <v>12</v>
      </c>
      <c r="AC449" s="1" t="s">
        <v>18</v>
      </c>
      <c r="AD449" s="1">
        <v>22</v>
      </c>
      <c r="AE449" s="1">
        <v>16</v>
      </c>
      <c r="AF449" s="1">
        <v>0.76</v>
      </c>
      <c r="AG449" s="1">
        <v>0.81</v>
      </c>
      <c r="AH449" s="1">
        <v>0</v>
      </c>
      <c r="AI449" s="1">
        <v>0</v>
      </c>
      <c r="AJ449" s="1">
        <f t="shared" si="34"/>
        <v>0</v>
      </c>
      <c r="AK449" s="1">
        <f>C45</f>
        <v>0</v>
      </c>
      <c r="AL449" s="1">
        <f>C51</f>
        <v>0</v>
      </c>
      <c r="AM449" s="1">
        <f t="shared" si="35"/>
        <v>0</v>
      </c>
      <c r="AN449" s="1">
        <f t="shared" si="36"/>
        <v>0</v>
      </c>
      <c r="AO449" s="1">
        <f t="shared" si="37"/>
        <v>0</v>
      </c>
      <c r="AP449" t="b" cm="1">
        <f t="array" ref="AP449">INDEX($AU$8:$BB$25,6*(R449-1)+MATCH(AB449,$AS$8:$AS$13,0),MATCH(O449,$AU$7:$BB$7,0))</f>
        <v>1</v>
      </c>
    </row>
    <row r="450" spans="15:42" ht="14.25" x14ac:dyDescent="0.45">
      <c r="O450" s="43" t="s">
        <v>32</v>
      </c>
      <c r="P450" s="43">
        <v>2</v>
      </c>
      <c r="Q450" s="43">
        <v>8</v>
      </c>
      <c r="R450" s="43">
        <v>2</v>
      </c>
      <c r="S450" s="45"/>
      <c r="T450" t="b">
        <f>(S449+S450+S451)=Q3</f>
        <v>0</v>
      </c>
      <c r="X450" s="1">
        <f t="shared" si="39"/>
        <v>0</v>
      </c>
      <c r="Y450" s="48">
        <v>0</v>
      </c>
      <c r="AA450" s="1">
        <v>4</v>
      </c>
      <c r="AB450" s="1" t="s">
        <v>12</v>
      </c>
      <c r="AC450" s="1" t="s">
        <v>18</v>
      </c>
      <c r="AD450" s="1">
        <v>22</v>
      </c>
      <c r="AE450" s="1">
        <v>16</v>
      </c>
      <c r="AF450" s="1">
        <v>0.76</v>
      </c>
      <c r="AG450" s="1">
        <v>0.81</v>
      </c>
      <c r="AH450" s="1">
        <v>0</v>
      </c>
      <c r="AI450" s="1">
        <v>0</v>
      </c>
      <c r="AJ450" s="1">
        <f t="shared" si="34"/>
        <v>0</v>
      </c>
      <c r="AK450" s="1">
        <f>D45</f>
        <v>0</v>
      </c>
      <c r="AL450" s="1">
        <f>D51</f>
        <v>0</v>
      </c>
      <c r="AM450" s="1">
        <f t="shared" si="35"/>
        <v>0</v>
      </c>
      <c r="AN450" s="1">
        <f t="shared" si="36"/>
        <v>0</v>
      </c>
      <c r="AO450" s="1">
        <f t="shared" si="37"/>
        <v>0</v>
      </c>
      <c r="AP450" t="b" cm="1">
        <f t="array" ref="AP450">INDEX($AU$8:$BB$25,6*(R450-1)+MATCH(AB450,$AS$8:$AS$13,0),MATCH(O450,$AU$7:$BB$7,0))</f>
        <v>1</v>
      </c>
    </row>
    <row r="451" spans="15:42" ht="14.25" x14ac:dyDescent="0.45">
      <c r="O451" s="43" t="s">
        <v>32</v>
      </c>
      <c r="P451" s="43">
        <v>2</v>
      </c>
      <c r="Q451" s="43">
        <v>8</v>
      </c>
      <c r="R451" s="43">
        <v>3</v>
      </c>
      <c r="S451" s="45"/>
      <c r="T451" t="b">
        <f>(S449+S450+S451)=Q3</f>
        <v>0</v>
      </c>
      <c r="X451" s="1">
        <f t="shared" si="39"/>
        <v>0</v>
      </c>
      <c r="Y451" s="48">
        <v>0</v>
      </c>
      <c r="AA451" s="1">
        <v>4</v>
      </c>
      <c r="AB451" s="1" t="s">
        <v>12</v>
      </c>
      <c r="AC451" s="1" t="s">
        <v>18</v>
      </c>
      <c r="AD451" s="1">
        <v>22</v>
      </c>
      <c r="AE451" s="1">
        <v>16</v>
      </c>
      <c r="AF451" s="1">
        <v>0.76</v>
      </c>
      <c r="AG451" s="1">
        <v>0.81</v>
      </c>
      <c r="AH451" s="1">
        <v>0</v>
      </c>
      <c r="AI451" s="1">
        <v>0</v>
      </c>
      <c r="AJ451" s="1">
        <f t="shared" si="34"/>
        <v>0</v>
      </c>
      <c r="AK451" s="1">
        <f>E45</f>
        <v>0</v>
      </c>
      <c r="AL451" s="1">
        <f>E51</f>
        <v>0</v>
      </c>
      <c r="AM451" s="1">
        <f t="shared" si="35"/>
        <v>0</v>
      </c>
      <c r="AN451" s="1">
        <f t="shared" si="36"/>
        <v>0</v>
      </c>
      <c r="AO451" s="1">
        <f t="shared" si="37"/>
        <v>0</v>
      </c>
      <c r="AP451" t="b" cm="1">
        <f t="array" ref="AP451">INDEX($AU$8:$BB$25,6*(R451-1)+MATCH(AB451,$AS$8:$AS$13,0),MATCH(O451,$AU$7:$BB$7,0))</f>
        <v>1</v>
      </c>
    </row>
    <row r="452" spans="15:42" ht="14.25" x14ac:dyDescent="0.45">
      <c r="O452" s="43" t="s">
        <v>32</v>
      </c>
      <c r="P452" s="43">
        <v>2</v>
      </c>
      <c r="Q452" s="43">
        <v>9</v>
      </c>
      <c r="R452" s="43">
        <v>1</v>
      </c>
      <c r="S452" s="45"/>
      <c r="T452" t="b">
        <f>(S452+S453+S454)=Q3</f>
        <v>0</v>
      </c>
      <c r="X452" s="1">
        <f t="shared" si="39"/>
        <v>0</v>
      </c>
      <c r="Y452" s="48">
        <v>0</v>
      </c>
      <c r="AA452" s="1">
        <v>4</v>
      </c>
      <c r="AB452" s="1" t="s">
        <v>15</v>
      </c>
      <c r="AC452" s="1" t="s">
        <v>21</v>
      </c>
      <c r="AD452" s="1">
        <v>7</v>
      </c>
      <c r="AE452" s="1">
        <v>6</v>
      </c>
      <c r="AF452" s="1">
        <v>0.76</v>
      </c>
      <c r="AG452" s="1">
        <v>0.84</v>
      </c>
      <c r="AH452" s="1">
        <v>0</v>
      </c>
      <c r="AI452" s="1">
        <v>0</v>
      </c>
      <c r="AJ452" s="1">
        <f t="shared" si="34"/>
        <v>0</v>
      </c>
      <c r="AK452" s="1">
        <f>C48</f>
        <v>0</v>
      </c>
      <c r="AL452" s="1">
        <f>C54</f>
        <v>0</v>
      </c>
      <c r="AM452" s="1">
        <f t="shared" si="35"/>
        <v>0</v>
      </c>
      <c r="AN452" s="1">
        <f t="shared" si="36"/>
        <v>0</v>
      </c>
      <c r="AO452" s="1">
        <f t="shared" si="37"/>
        <v>0</v>
      </c>
      <c r="AP452" t="b" cm="1">
        <f t="array" ref="AP452">INDEX($AU$8:$BB$25,6*(R452-1)+MATCH(AB452,$AS$8:$AS$13,0),MATCH(O452,$AU$7:$BB$7,0))</f>
        <v>1</v>
      </c>
    </row>
    <row r="453" spans="15:42" ht="14.25" x14ac:dyDescent="0.45">
      <c r="O453" s="43" t="s">
        <v>32</v>
      </c>
      <c r="P453" s="43">
        <v>2</v>
      </c>
      <c r="Q453" s="43">
        <v>9</v>
      </c>
      <c r="R453" s="43">
        <v>2</v>
      </c>
      <c r="S453" s="45"/>
      <c r="T453" t="b">
        <f>(S452+S453+S454)=Q3</f>
        <v>0</v>
      </c>
      <c r="X453" s="1">
        <f t="shared" si="39"/>
        <v>0</v>
      </c>
      <c r="Y453" s="48">
        <v>0</v>
      </c>
      <c r="AA453" s="1">
        <v>4</v>
      </c>
      <c r="AB453" s="1" t="s">
        <v>15</v>
      </c>
      <c r="AC453" s="1" t="s">
        <v>21</v>
      </c>
      <c r="AD453" s="1">
        <v>7</v>
      </c>
      <c r="AE453" s="1">
        <v>6</v>
      </c>
      <c r="AF453" s="1">
        <v>0.76</v>
      </c>
      <c r="AG453" s="1">
        <v>0.84</v>
      </c>
      <c r="AH453" s="1">
        <v>0</v>
      </c>
      <c r="AI453" s="1">
        <v>0</v>
      </c>
      <c r="AJ453" s="1">
        <f t="shared" si="34"/>
        <v>0</v>
      </c>
      <c r="AK453" s="1">
        <f>D48</f>
        <v>0</v>
      </c>
      <c r="AL453" s="1">
        <f>D54</f>
        <v>0</v>
      </c>
      <c r="AM453" s="1">
        <f t="shared" si="35"/>
        <v>0</v>
      </c>
      <c r="AN453" s="1">
        <f t="shared" si="36"/>
        <v>0</v>
      </c>
      <c r="AO453" s="1">
        <f t="shared" si="37"/>
        <v>0</v>
      </c>
      <c r="AP453" t="b" cm="1">
        <f t="array" ref="AP453">INDEX($AU$8:$BB$25,6*(R453-1)+MATCH(AB453,$AS$8:$AS$13,0),MATCH(O453,$AU$7:$BB$7,0))</f>
        <v>1</v>
      </c>
    </row>
    <row r="454" spans="15:42" ht="14.25" x14ac:dyDescent="0.45">
      <c r="O454" s="43" t="s">
        <v>32</v>
      </c>
      <c r="P454" s="43">
        <v>2</v>
      </c>
      <c r="Q454" s="43">
        <v>9</v>
      </c>
      <c r="R454" s="43">
        <v>3</v>
      </c>
      <c r="S454" s="45"/>
      <c r="T454" t="b">
        <f>(S452+S453+S454)=Q3</f>
        <v>0</v>
      </c>
      <c r="X454" s="1">
        <f t="shared" si="39"/>
        <v>0</v>
      </c>
      <c r="Y454" s="48">
        <v>0</v>
      </c>
      <c r="AA454" s="1">
        <v>4</v>
      </c>
      <c r="AB454" s="1" t="s">
        <v>15</v>
      </c>
      <c r="AC454" s="1" t="s">
        <v>21</v>
      </c>
      <c r="AD454" s="1">
        <v>7</v>
      </c>
      <c r="AE454" s="1">
        <v>6</v>
      </c>
      <c r="AF454" s="1">
        <v>0.76</v>
      </c>
      <c r="AG454" s="1">
        <v>0.84</v>
      </c>
      <c r="AH454" s="1">
        <v>0</v>
      </c>
      <c r="AI454" s="1">
        <v>0</v>
      </c>
      <c r="AJ454" s="1">
        <f t="shared" si="34"/>
        <v>0</v>
      </c>
      <c r="AK454" s="1">
        <f>E48</f>
        <v>0</v>
      </c>
      <c r="AL454" s="1">
        <f>E54</f>
        <v>0</v>
      </c>
      <c r="AM454" s="1">
        <f t="shared" si="35"/>
        <v>0</v>
      </c>
      <c r="AN454" s="1">
        <f t="shared" si="36"/>
        <v>0</v>
      </c>
      <c r="AO454" s="1">
        <f t="shared" si="37"/>
        <v>0</v>
      </c>
      <c r="AP454" t="b" cm="1">
        <f t="array" ref="AP454">INDEX($AU$8:$BB$25,6*(R454-1)+MATCH(AB454,$AS$8:$AS$13,0),MATCH(O454,$AU$7:$BB$7,0))</f>
        <v>1</v>
      </c>
    </row>
    <row r="455" spans="15:42" ht="14.25" x14ac:dyDescent="0.45">
      <c r="O455" s="43" t="s">
        <v>32</v>
      </c>
      <c r="P455" s="43">
        <v>2</v>
      </c>
      <c r="Q455" s="43">
        <v>10</v>
      </c>
      <c r="R455" s="43">
        <v>1</v>
      </c>
      <c r="S455" s="45"/>
      <c r="T455" t="b">
        <f>(S455+S456+S457)=Q3</f>
        <v>0</v>
      </c>
      <c r="X455" s="1">
        <f t="shared" si="39"/>
        <v>0</v>
      </c>
      <c r="Y455" s="48">
        <v>0</v>
      </c>
      <c r="AA455" s="1">
        <v>6</v>
      </c>
      <c r="AB455" s="1" t="s">
        <v>15</v>
      </c>
      <c r="AC455" s="1" t="s">
        <v>21</v>
      </c>
      <c r="AD455" s="1">
        <v>9</v>
      </c>
      <c r="AE455" s="1">
        <v>7</v>
      </c>
      <c r="AF455" s="1">
        <v>0.76</v>
      </c>
      <c r="AG455" s="1">
        <v>0.84</v>
      </c>
      <c r="AH455" s="1">
        <v>0</v>
      </c>
      <c r="AI455" s="1">
        <v>0</v>
      </c>
      <c r="AJ455" s="1">
        <f t="shared" si="34"/>
        <v>0</v>
      </c>
      <c r="AK455" s="1">
        <f>C48</f>
        <v>0</v>
      </c>
      <c r="AL455" s="1">
        <f>C54</f>
        <v>0</v>
      </c>
      <c r="AM455" s="1">
        <f t="shared" si="35"/>
        <v>0</v>
      </c>
      <c r="AN455" s="1">
        <f t="shared" si="36"/>
        <v>0</v>
      </c>
      <c r="AO455" s="1">
        <f t="shared" si="37"/>
        <v>0</v>
      </c>
      <c r="AP455" t="b" cm="1">
        <f t="array" ref="AP455">INDEX($AU$8:$BB$25,6*(R455-1)+MATCH(AB455,$AS$8:$AS$13,0),MATCH(O455,$AU$7:$BB$7,0))</f>
        <v>1</v>
      </c>
    </row>
    <row r="456" spans="15:42" ht="14.25" x14ac:dyDescent="0.45">
      <c r="O456" s="43" t="s">
        <v>32</v>
      </c>
      <c r="P456" s="43">
        <v>2</v>
      </c>
      <c r="Q456" s="43">
        <v>10</v>
      </c>
      <c r="R456" s="43">
        <v>2</v>
      </c>
      <c r="S456" s="45"/>
      <c r="T456" t="b">
        <f>(S455+S456+S457)=Q3</f>
        <v>0</v>
      </c>
      <c r="X456" s="1">
        <f t="shared" si="39"/>
        <v>0</v>
      </c>
      <c r="Y456" s="48">
        <v>0</v>
      </c>
      <c r="AA456" s="1">
        <v>6</v>
      </c>
      <c r="AB456" s="1" t="s">
        <v>15</v>
      </c>
      <c r="AC456" s="1" t="s">
        <v>21</v>
      </c>
      <c r="AD456" s="1">
        <v>9</v>
      </c>
      <c r="AE456" s="1">
        <v>7</v>
      </c>
      <c r="AF456" s="1">
        <v>0.76</v>
      </c>
      <c r="AG456" s="1">
        <v>0.84</v>
      </c>
      <c r="AH456" s="1">
        <v>0</v>
      </c>
      <c r="AI456" s="1">
        <v>0</v>
      </c>
      <c r="AJ456" s="1">
        <f t="shared" si="34"/>
        <v>0</v>
      </c>
      <c r="AK456" s="1">
        <f>D48</f>
        <v>0</v>
      </c>
      <c r="AL456" s="1">
        <f>D54</f>
        <v>0</v>
      </c>
      <c r="AM456" s="1">
        <f t="shared" si="35"/>
        <v>0</v>
      </c>
      <c r="AN456" s="1">
        <f t="shared" si="36"/>
        <v>0</v>
      </c>
      <c r="AO456" s="1">
        <f t="shared" si="37"/>
        <v>0</v>
      </c>
      <c r="AP456" t="b" cm="1">
        <f t="array" ref="AP456">INDEX($AU$8:$BB$25,6*(R456-1)+MATCH(AB456,$AS$8:$AS$13,0),MATCH(O456,$AU$7:$BB$7,0))</f>
        <v>1</v>
      </c>
    </row>
    <row r="457" spans="15:42" ht="14.25" x14ac:dyDescent="0.45">
      <c r="O457" s="43" t="s">
        <v>32</v>
      </c>
      <c r="P457" s="43">
        <v>2</v>
      </c>
      <c r="Q457" s="43">
        <v>10</v>
      </c>
      <c r="R457" s="43">
        <v>3</v>
      </c>
      <c r="S457" s="45"/>
      <c r="T457" t="b">
        <f>(S455+S456+S457)=Q3</f>
        <v>0</v>
      </c>
      <c r="X457" s="1">
        <f t="shared" si="39"/>
        <v>0</v>
      </c>
      <c r="Y457" s="48">
        <v>0</v>
      </c>
      <c r="AA457" s="1">
        <v>6</v>
      </c>
      <c r="AB457" s="1" t="s">
        <v>15</v>
      </c>
      <c r="AC457" s="1" t="s">
        <v>21</v>
      </c>
      <c r="AD457" s="1">
        <v>9</v>
      </c>
      <c r="AE457" s="1">
        <v>7</v>
      </c>
      <c r="AF457" s="1">
        <v>0.76</v>
      </c>
      <c r="AG457" s="1">
        <v>0.84</v>
      </c>
      <c r="AH457" s="1">
        <v>0</v>
      </c>
      <c r="AI457" s="1">
        <v>0</v>
      </c>
      <c r="AJ457" s="1">
        <f t="shared" ref="AJ457:AJ520" si="40">SUMIFS(AH$8:AH$1039,$O$8:$O$1039,O457,$AB$8:$AB$1039,AB457,$R$8:$R$1039,R457,$AA$8:$AA$1039,"&lt;="&amp;AA457)</f>
        <v>0</v>
      </c>
      <c r="AK457" s="1">
        <f>E48</f>
        <v>0</v>
      </c>
      <c r="AL457" s="1">
        <f>E54</f>
        <v>0</v>
      </c>
      <c r="AM457" s="1">
        <f t="shared" ref="AM457:AM520" si="41">MAX(0,AJ457-AK457)</f>
        <v>0</v>
      </c>
      <c r="AN457" s="1">
        <f t="shared" ref="AN457:AN520" si="42">IF(AM457=0,AH457,IF(AM457&gt;=AH457,0,AH457-AM457))</f>
        <v>0</v>
      </c>
      <c r="AO457" s="1">
        <f t="shared" ref="AO457:AO520" si="43">IF(AM457&gt;=AH457,AI457,AI457*AM457/AH457)</f>
        <v>0</v>
      </c>
      <c r="AP457" t="b" cm="1">
        <f t="array" ref="AP457">INDEX($AU$8:$BB$25,6*(R457-1)+MATCH(AB457,$AS$8:$AS$13,0),MATCH(O457,$AU$7:$BB$7,0))</f>
        <v>1</v>
      </c>
    </row>
    <row r="458" spans="15:42" ht="14.25" x14ac:dyDescent="0.45">
      <c r="O458" s="43" t="s">
        <v>32</v>
      </c>
      <c r="P458" s="43">
        <v>2</v>
      </c>
      <c r="Q458" s="43">
        <v>11</v>
      </c>
      <c r="R458" s="43">
        <v>1</v>
      </c>
      <c r="S458" s="45"/>
      <c r="T458" t="b">
        <f>(S458+S459+S460)=Q3</f>
        <v>0</v>
      </c>
      <c r="X458" s="1">
        <f t="shared" si="39"/>
        <v>0</v>
      </c>
      <c r="Y458" s="48">
        <v>0</v>
      </c>
      <c r="AA458" s="1">
        <v>2</v>
      </c>
      <c r="AB458" s="1" t="s">
        <v>15</v>
      </c>
      <c r="AC458" s="1" t="s">
        <v>21</v>
      </c>
      <c r="AD458" s="1">
        <v>20</v>
      </c>
      <c r="AE458" s="1">
        <v>19</v>
      </c>
      <c r="AF458" s="1">
        <v>0.76</v>
      </c>
      <c r="AG458" s="1">
        <v>0.84</v>
      </c>
      <c r="AH458" s="1">
        <v>0</v>
      </c>
      <c r="AI458" s="1">
        <v>0</v>
      </c>
      <c r="AJ458" s="1">
        <f t="shared" si="40"/>
        <v>0</v>
      </c>
      <c r="AK458" s="1">
        <f>C48</f>
        <v>0</v>
      </c>
      <c r="AL458" s="1">
        <f>C54</f>
        <v>0</v>
      </c>
      <c r="AM458" s="1">
        <f t="shared" si="41"/>
        <v>0</v>
      </c>
      <c r="AN458" s="1">
        <f t="shared" si="42"/>
        <v>0</v>
      </c>
      <c r="AO458" s="1">
        <f t="shared" si="43"/>
        <v>0</v>
      </c>
      <c r="AP458" t="b" cm="1">
        <f t="array" ref="AP458">INDEX($AU$8:$BB$25,6*(R458-1)+MATCH(AB458,$AS$8:$AS$13,0),MATCH(O458,$AU$7:$BB$7,0))</f>
        <v>1</v>
      </c>
    </row>
    <row r="459" spans="15:42" ht="14.25" x14ac:dyDescent="0.45">
      <c r="O459" s="43" t="s">
        <v>32</v>
      </c>
      <c r="P459" s="43">
        <v>2</v>
      </c>
      <c r="Q459" s="43">
        <v>11</v>
      </c>
      <c r="R459" s="43">
        <v>2</v>
      </c>
      <c r="S459" s="45"/>
      <c r="T459" t="b">
        <f>(S458+S459+S460)=Q3</f>
        <v>0</v>
      </c>
      <c r="X459" s="1">
        <f t="shared" si="39"/>
        <v>0</v>
      </c>
      <c r="Y459" s="48">
        <v>0</v>
      </c>
      <c r="AA459" s="1">
        <v>2</v>
      </c>
      <c r="AB459" s="1" t="s">
        <v>15</v>
      </c>
      <c r="AC459" s="1" t="s">
        <v>21</v>
      </c>
      <c r="AD459" s="1">
        <v>20</v>
      </c>
      <c r="AE459" s="1">
        <v>19</v>
      </c>
      <c r="AF459" s="1">
        <v>0.76</v>
      </c>
      <c r="AG459" s="1">
        <v>0.84</v>
      </c>
      <c r="AH459" s="1">
        <v>0</v>
      </c>
      <c r="AI459" s="1">
        <v>0</v>
      </c>
      <c r="AJ459" s="1">
        <f t="shared" si="40"/>
        <v>0</v>
      </c>
      <c r="AK459" s="1">
        <f>D48</f>
        <v>0</v>
      </c>
      <c r="AL459" s="1">
        <f>D54</f>
        <v>0</v>
      </c>
      <c r="AM459" s="1">
        <f t="shared" si="41"/>
        <v>0</v>
      </c>
      <c r="AN459" s="1">
        <f t="shared" si="42"/>
        <v>0</v>
      </c>
      <c r="AO459" s="1">
        <f t="shared" si="43"/>
        <v>0</v>
      </c>
      <c r="AP459" t="b" cm="1">
        <f t="array" ref="AP459">INDEX($AU$8:$BB$25,6*(R459-1)+MATCH(AB459,$AS$8:$AS$13,0),MATCH(O459,$AU$7:$BB$7,0))</f>
        <v>1</v>
      </c>
    </row>
    <row r="460" spans="15:42" ht="14.25" x14ac:dyDescent="0.45">
      <c r="O460" s="43" t="s">
        <v>32</v>
      </c>
      <c r="P460" s="43">
        <v>2</v>
      </c>
      <c r="Q460" s="43">
        <v>11</v>
      </c>
      <c r="R460" s="43">
        <v>3</v>
      </c>
      <c r="S460" s="45"/>
      <c r="T460" t="b">
        <f>(S458+S459+S460)=Q3</f>
        <v>0</v>
      </c>
      <c r="X460" s="1">
        <f t="shared" si="39"/>
        <v>0</v>
      </c>
      <c r="Y460" s="48">
        <v>0</v>
      </c>
      <c r="AA460" s="1">
        <v>2</v>
      </c>
      <c r="AB460" s="1" t="s">
        <v>15</v>
      </c>
      <c r="AC460" s="1" t="s">
        <v>21</v>
      </c>
      <c r="AD460" s="1">
        <v>20</v>
      </c>
      <c r="AE460" s="1">
        <v>19</v>
      </c>
      <c r="AF460" s="1">
        <v>0.76</v>
      </c>
      <c r="AG460" s="1">
        <v>0.84</v>
      </c>
      <c r="AH460" s="1">
        <v>0</v>
      </c>
      <c r="AI460" s="1">
        <v>0</v>
      </c>
      <c r="AJ460" s="1">
        <f t="shared" si="40"/>
        <v>0</v>
      </c>
      <c r="AK460" s="1">
        <f>E48</f>
        <v>0</v>
      </c>
      <c r="AL460" s="1">
        <f>E54</f>
        <v>0</v>
      </c>
      <c r="AM460" s="1">
        <f t="shared" si="41"/>
        <v>0</v>
      </c>
      <c r="AN460" s="1">
        <f t="shared" si="42"/>
        <v>0</v>
      </c>
      <c r="AO460" s="1">
        <f t="shared" si="43"/>
        <v>0</v>
      </c>
      <c r="AP460" t="b" cm="1">
        <f t="array" ref="AP460">INDEX($AU$8:$BB$25,6*(R460-1)+MATCH(AB460,$AS$8:$AS$13,0),MATCH(O460,$AU$7:$BB$7,0))</f>
        <v>1</v>
      </c>
    </row>
    <row r="461" spans="15:42" ht="14.25" x14ac:dyDescent="0.45">
      <c r="O461" s="43" t="s">
        <v>32</v>
      </c>
      <c r="P461" s="43">
        <v>2</v>
      </c>
      <c r="Q461" s="43">
        <v>12</v>
      </c>
      <c r="R461" s="43">
        <v>1</v>
      </c>
      <c r="S461" s="45"/>
      <c r="T461" t="b">
        <f>(S461+S462+S463)=Q3</f>
        <v>0</v>
      </c>
      <c r="X461" s="1">
        <f t="shared" si="39"/>
        <v>0</v>
      </c>
      <c r="Y461" s="48">
        <v>0</v>
      </c>
      <c r="AA461" s="1">
        <v>7</v>
      </c>
      <c r="AB461" s="1" t="s">
        <v>16</v>
      </c>
      <c r="AC461" s="1" t="s">
        <v>22</v>
      </c>
      <c r="AD461" s="1">
        <v>21</v>
      </c>
      <c r="AE461" s="1">
        <v>18</v>
      </c>
      <c r="AF461" s="1">
        <v>0.8</v>
      </c>
      <c r="AG461" s="1">
        <v>0.9</v>
      </c>
      <c r="AH461" s="1">
        <v>0</v>
      </c>
      <c r="AI461" s="1">
        <v>0</v>
      </c>
      <c r="AJ461" s="1">
        <f t="shared" si="40"/>
        <v>0</v>
      </c>
      <c r="AK461" s="1">
        <f>C49</f>
        <v>0</v>
      </c>
      <c r="AL461" s="1">
        <f>C55</f>
        <v>0</v>
      </c>
      <c r="AM461" s="1">
        <f t="shared" si="41"/>
        <v>0</v>
      </c>
      <c r="AN461" s="1">
        <f t="shared" si="42"/>
        <v>0</v>
      </c>
      <c r="AO461" s="1">
        <f t="shared" si="43"/>
        <v>0</v>
      </c>
      <c r="AP461" t="b" cm="1">
        <f t="array" ref="AP461">INDEX($AU$8:$BB$25,6*(R461-1)+MATCH(AB461,$AS$8:$AS$13,0),MATCH(O461,$AU$7:$BB$7,0))</f>
        <v>1</v>
      </c>
    </row>
    <row r="462" spans="15:42" ht="14.25" x14ac:dyDescent="0.45">
      <c r="O462" s="43" t="s">
        <v>32</v>
      </c>
      <c r="P462" s="43">
        <v>2</v>
      </c>
      <c r="Q462" s="43">
        <v>12</v>
      </c>
      <c r="R462" s="43">
        <v>2</v>
      </c>
      <c r="S462" s="45"/>
      <c r="T462" t="b">
        <f>(S461+S462+S463)=Q3</f>
        <v>0</v>
      </c>
      <c r="X462" s="1">
        <f t="shared" si="39"/>
        <v>0</v>
      </c>
      <c r="Y462" s="48">
        <v>0</v>
      </c>
      <c r="AA462" s="1">
        <v>7</v>
      </c>
      <c r="AB462" s="1" t="s">
        <v>16</v>
      </c>
      <c r="AC462" s="1" t="s">
        <v>22</v>
      </c>
      <c r="AD462" s="1">
        <v>21</v>
      </c>
      <c r="AE462" s="1">
        <v>18</v>
      </c>
      <c r="AF462" s="1">
        <v>0.8</v>
      </c>
      <c r="AG462" s="1">
        <v>0.9</v>
      </c>
      <c r="AH462" s="1">
        <v>0</v>
      </c>
      <c r="AI462" s="1">
        <v>0</v>
      </c>
      <c r="AJ462" s="1">
        <f t="shared" si="40"/>
        <v>0</v>
      </c>
      <c r="AK462" s="1">
        <f>D49</f>
        <v>0</v>
      </c>
      <c r="AL462" s="1">
        <f>D55</f>
        <v>0</v>
      </c>
      <c r="AM462" s="1">
        <f t="shared" si="41"/>
        <v>0</v>
      </c>
      <c r="AN462" s="1">
        <f t="shared" si="42"/>
        <v>0</v>
      </c>
      <c r="AO462" s="1">
        <f t="shared" si="43"/>
        <v>0</v>
      </c>
      <c r="AP462" t="b" cm="1">
        <f t="array" ref="AP462">INDEX($AU$8:$BB$25,6*(R462-1)+MATCH(AB462,$AS$8:$AS$13,0),MATCH(O462,$AU$7:$BB$7,0))</f>
        <v>1</v>
      </c>
    </row>
    <row r="463" spans="15:42" ht="14.25" x14ac:dyDescent="0.45">
      <c r="O463" s="43" t="s">
        <v>32</v>
      </c>
      <c r="P463" s="43">
        <v>2</v>
      </c>
      <c r="Q463" s="43">
        <v>12</v>
      </c>
      <c r="R463" s="43">
        <v>3</v>
      </c>
      <c r="S463" s="45"/>
      <c r="T463" t="b">
        <f>(S461+S462+S463)=Q3</f>
        <v>0</v>
      </c>
      <c r="X463" s="1">
        <f t="shared" si="39"/>
        <v>0</v>
      </c>
      <c r="Y463" s="48">
        <v>0</v>
      </c>
      <c r="AA463" s="1">
        <v>7</v>
      </c>
      <c r="AB463" s="1" t="s">
        <v>16</v>
      </c>
      <c r="AC463" s="1" t="s">
        <v>22</v>
      </c>
      <c r="AD463" s="1">
        <v>21</v>
      </c>
      <c r="AE463" s="1">
        <v>18</v>
      </c>
      <c r="AF463" s="1">
        <v>0.8</v>
      </c>
      <c r="AG463" s="1">
        <v>0.9</v>
      </c>
      <c r="AH463" s="1">
        <v>0</v>
      </c>
      <c r="AI463" s="1">
        <v>0</v>
      </c>
      <c r="AJ463" s="1">
        <f t="shared" si="40"/>
        <v>0</v>
      </c>
      <c r="AK463" s="1">
        <f>E49</f>
        <v>0</v>
      </c>
      <c r="AL463" s="1">
        <f>E55</f>
        <v>0</v>
      </c>
      <c r="AM463" s="1">
        <f t="shared" si="41"/>
        <v>0</v>
      </c>
      <c r="AN463" s="1">
        <f t="shared" si="42"/>
        <v>0</v>
      </c>
      <c r="AO463" s="1">
        <f t="shared" si="43"/>
        <v>0</v>
      </c>
      <c r="AP463" t="b" cm="1">
        <f t="array" ref="AP463">INDEX($AU$8:$BB$25,6*(R463-1)+MATCH(AB463,$AS$8:$AS$13,0),MATCH(O463,$AU$7:$BB$7,0))</f>
        <v>1</v>
      </c>
    </row>
    <row r="464" spans="15:42" ht="14.25" x14ac:dyDescent="0.45">
      <c r="O464" s="43" t="s">
        <v>32</v>
      </c>
      <c r="P464" s="43">
        <v>2</v>
      </c>
      <c r="Q464" s="43">
        <v>13</v>
      </c>
      <c r="R464" s="43">
        <v>1</v>
      </c>
      <c r="S464" s="45"/>
      <c r="T464" t="b">
        <f>(S464+S465+S466)=Q3</f>
        <v>0</v>
      </c>
      <c r="X464" s="1">
        <f t="shared" si="39"/>
        <v>0</v>
      </c>
      <c r="Y464" s="48">
        <v>0</v>
      </c>
      <c r="AA464" s="1">
        <v>8</v>
      </c>
      <c r="AB464" s="1" t="s">
        <v>15</v>
      </c>
      <c r="AC464" s="1" t="s">
        <v>21</v>
      </c>
      <c r="AD464" s="1">
        <v>12</v>
      </c>
      <c r="AE464" s="1">
        <v>9</v>
      </c>
      <c r="AF464" s="1">
        <v>0.76</v>
      </c>
      <c r="AG464" s="1">
        <v>0.84</v>
      </c>
      <c r="AH464" s="1">
        <v>0</v>
      </c>
      <c r="AI464" s="1">
        <v>0</v>
      </c>
      <c r="AJ464" s="1">
        <f t="shared" si="40"/>
        <v>0</v>
      </c>
      <c r="AK464" s="1">
        <f>C48</f>
        <v>0</v>
      </c>
      <c r="AL464" s="1">
        <f>C54</f>
        <v>0</v>
      </c>
      <c r="AM464" s="1">
        <f t="shared" si="41"/>
        <v>0</v>
      </c>
      <c r="AN464" s="1">
        <f t="shared" si="42"/>
        <v>0</v>
      </c>
      <c r="AO464" s="1">
        <f t="shared" si="43"/>
        <v>0</v>
      </c>
      <c r="AP464" t="b" cm="1">
        <f t="array" ref="AP464">INDEX($AU$8:$BB$25,6*(R464-1)+MATCH(AB464,$AS$8:$AS$13,0),MATCH(O464,$AU$7:$BB$7,0))</f>
        <v>1</v>
      </c>
    </row>
    <row r="465" spans="15:42" ht="14.25" x14ac:dyDescent="0.45">
      <c r="O465" s="43" t="s">
        <v>32</v>
      </c>
      <c r="P465" s="43">
        <v>2</v>
      </c>
      <c r="Q465" s="43">
        <v>13</v>
      </c>
      <c r="R465" s="43">
        <v>2</v>
      </c>
      <c r="S465" s="45"/>
      <c r="T465" t="b">
        <f>(S464+S465+S466)=Q3</f>
        <v>0</v>
      </c>
      <c r="X465" s="1">
        <f t="shared" si="39"/>
        <v>0</v>
      </c>
      <c r="Y465" s="48">
        <v>0</v>
      </c>
      <c r="AA465" s="1">
        <v>8</v>
      </c>
      <c r="AB465" s="1" t="s">
        <v>15</v>
      </c>
      <c r="AC465" s="1" t="s">
        <v>21</v>
      </c>
      <c r="AD465" s="1">
        <v>12</v>
      </c>
      <c r="AE465" s="1">
        <v>9</v>
      </c>
      <c r="AF465" s="1">
        <v>0.76</v>
      </c>
      <c r="AG465" s="1">
        <v>0.84</v>
      </c>
      <c r="AH465" s="1">
        <v>0</v>
      </c>
      <c r="AI465" s="1">
        <v>0</v>
      </c>
      <c r="AJ465" s="1">
        <f t="shared" si="40"/>
        <v>0</v>
      </c>
      <c r="AK465" s="1">
        <f>D48</f>
        <v>0</v>
      </c>
      <c r="AL465" s="1">
        <f>D54</f>
        <v>0</v>
      </c>
      <c r="AM465" s="1">
        <f t="shared" si="41"/>
        <v>0</v>
      </c>
      <c r="AN465" s="1">
        <f t="shared" si="42"/>
        <v>0</v>
      </c>
      <c r="AO465" s="1">
        <f t="shared" si="43"/>
        <v>0</v>
      </c>
      <c r="AP465" t="b" cm="1">
        <f t="array" ref="AP465">INDEX($AU$8:$BB$25,6*(R465-1)+MATCH(AB465,$AS$8:$AS$13,0),MATCH(O465,$AU$7:$BB$7,0))</f>
        <v>1</v>
      </c>
    </row>
    <row r="466" spans="15:42" ht="14.25" x14ac:dyDescent="0.45">
      <c r="O466" s="43" t="s">
        <v>32</v>
      </c>
      <c r="P466" s="43">
        <v>2</v>
      </c>
      <c r="Q466" s="43">
        <v>13</v>
      </c>
      <c r="R466" s="43">
        <v>3</v>
      </c>
      <c r="S466" s="45"/>
      <c r="T466" t="b">
        <f>(S464+S465+S466)=Q3</f>
        <v>0</v>
      </c>
      <c r="X466" s="1">
        <f t="shared" si="39"/>
        <v>0</v>
      </c>
      <c r="Y466" s="48">
        <v>0</v>
      </c>
      <c r="AA466" s="1">
        <v>8</v>
      </c>
      <c r="AB466" s="1" t="s">
        <v>15</v>
      </c>
      <c r="AC466" s="1" t="s">
        <v>21</v>
      </c>
      <c r="AD466" s="1">
        <v>12</v>
      </c>
      <c r="AE466" s="1">
        <v>9</v>
      </c>
      <c r="AF466" s="1">
        <v>0.76</v>
      </c>
      <c r="AG466" s="1">
        <v>0.84</v>
      </c>
      <c r="AH466" s="1">
        <v>0</v>
      </c>
      <c r="AI466" s="1">
        <v>0</v>
      </c>
      <c r="AJ466" s="1">
        <f t="shared" si="40"/>
        <v>0</v>
      </c>
      <c r="AK466" s="1">
        <f>E48</f>
        <v>0</v>
      </c>
      <c r="AL466" s="1">
        <f>E54</f>
        <v>0</v>
      </c>
      <c r="AM466" s="1">
        <f t="shared" si="41"/>
        <v>0</v>
      </c>
      <c r="AN466" s="1">
        <f t="shared" si="42"/>
        <v>0</v>
      </c>
      <c r="AO466" s="1">
        <f t="shared" si="43"/>
        <v>0</v>
      </c>
      <c r="AP466" t="b" cm="1">
        <f t="array" ref="AP466">INDEX($AU$8:$BB$25,6*(R466-1)+MATCH(AB466,$AS$8:$AS$13,0),MATCH(O466,$AU$7:$BB$7,0))</f>
        <v>1</v>
      </c>
    </row>
    <row r="467" spans="15:42" ht="14.25" x14ac:dyDescent="0.45">
      <c r="O467" s="43" t="s">
        <v>32</v>
      </c>
      <c r="P467" s="43">
        <v>2</v>
      </c>
      <c r="Q467" s="43">
        <v>14</v>
      </c>
      <c r="R467" s="43">
        <v>1</v>
      </c>
      <c r="S467" s="45"/>
      <c r="T467" t="b">
        <f>(S467+S468+S469)=Q3</f>
        <v>0</v>
      </c>
      <c r="X467" s="1">
        <f t="shared" si="39"/>
        <v>0</v>
      </c>
      <c r="Y467" s="48">
        <v>0</v>
      </c>
      <c r="AA467" s="1">
        <v>5</v>
      </c>
      <c r="AB467" s="1" t="s">
        <v>15</v>
      </c>
      <c r="AC467" s="1" t="s">
        <v>21</v>
      </c>
      <c r="AD467" s="1">
        <v>15</v>
      </c>
      <c r="AE467" s="1">
        <v>12</v>
      </c>
      <c r="AF467" s="1">
        <v>0.76</v>
      </c>
      <c r="AG467" s="1">
        <v>0.84</v>
      </c>
      <c r="AH467" s="1">
        <v>0</v>
      </c>
      <c r="AI467" s="1">
        <v>0</v>
      </c>
      <c r="AJ467" s="1">
        <f t="shared" si="40"/>
        <v>0</v>
      </c>
      <c r="AK467" s="1">
        <f>C48</f>
        <v>0</v>
      </c>
      <c r="AL467" s="1">
        <f>C54</f>
        <v>0</v>
      </c>
      <c r="AM467" s="1">
        <f t="shared" si="41"/>
        <v>0</v>
      </c>
      <c r="AN467" s="1">
        <f t="shared" si="42"/>
        <v>0</v>
      </c>
      <c r="AO467" s="1">
        <f t="shared" si="43"/>
        <v>0</v>
      </c>
      <c r="AP467" t="b" cm="1">
        <f t="array" ref="AP467">INDEX($AU$8:$BB$25,6*(R467-1)+MATCH(AB467,$AS$8:$AS$13,0),MATCH(O467,$AU$7:$BB$7,0))</f>
        <v>1</v>
      </c>
    </row>
    <row r="468" spans="15:42" ht="14.25" x14ac:dyDescent="0.45">
      <c r="O468" s="43" t="s">
        <v>32</v>
      </c>
      <c r="P468" s="43">
        <v>2</v>
      </c>
      <c r="Q468" s="43">
        <v>14</v>
      </c>
      <c r="R468" s="43">
        <v>2</v>
      </c>
      <c r="S468" s="45"/>
      <c r="T468" t="b">
        <f>(S467+S468+S469)=Q3</f>
        <v>0</v>
      </c>
      <c r="X468" s="1">
        <f t="shared" si="39"/>
        <v>0</v>
      </c>
      <c r="Y468" s="48">
        <v>0</v>
      </c>
      <c r="AA468" s="1">
        <v>5</v>
      </c>
      <c r="AB468" s="1" t="s">
        <v>15</v>
      </c>
      <c r="AC468" s="1" t="s">
        <v>21</v>
      </c>
      <c r="AD468" s="1">
        <v>15</v>
      </c>
      <c r="AE468" s="1">
        <v>12</v>
      </c>
      <c r="AF468" s="1">
        <v>0.76</v>
      </c>
      <c r="AG468" s="1">
        <v>0.84</v>
      </c>
      <c r="AH468" s="1">
        <v>0</v>
      </c>
      <c r="AI468" s="1">
        <v>0</v>
      </c>
      <c r="AJ468" s="1">
        <f t="shared" si="40"/>
        <v>0</v>
      </c>
      <c r="AK468" s="1">
        <f>D48</f>
        <v>0</v>
      </c>
      <c r="AL468" s="1">
        <f>D54</f>
        <v>0</v>
      </c>
      <c r="AM468" s="1">
        <f t="shared" si="41"/>
        <v>0</v>
      </c>
      <c r="AN468" s="1">
        <f t="shared" si="42"/>
        <v>0</v>
      </c>
      <c r="AO468" s="1">
        <f t="shared" si="43"/>
        <v>0</v>
      </c>
      <c r="AP468" t="b" cm="1">
        <f t="array" ref="AP468">INDEX($AU$8:$BB$25,6*(R468-1)+MATCH(AB468,$AS$8:$AS$13,0),MATCH(O468,$AU$7:$BB$7,0))</f>
        <v>1</v>
      </c>
    </row>
    <row r="469" spans="15:42" ht="14.25" x14ac:dyDescent="0.45">
      <c r="O469" s="43" t="s">
        <v>32</v>
      </c>
      <c r="P469" s="43">
        <v>2</v>
      </c>
      <c r="Q469" s="43">
        <v>14</v>
      </c>
      <c r="R469" s="43">
        <v>3</v>
      </c>
      <c r="S469" s="45"/>
      <c r="T469" t="b">
        <f>(S467+S468+S469)=Q3</f>
        <v>0</v>
      </c>
      <c r="X469" s="1">
        <f t="shared" si="39"/>
        <v>0</v>
      </c>
      <c r="Y469" s="48">
        <v>0</v>
      </c>
      <c r="AA469" s="1">
        <v>5</v>
      </c>
      <c r="AB469" s="1" t="s">
        <v>15</v>
      </c>
      <c r="AC469" s="1" t="s">
        <v>21</v>
      </c>
      <c r="AD469" s="1">
        <v>15</v>
      </c>
      <c r="AE469" s="1">
        <v>12</v>
      </c>
      <c r="AF469" s="1">
        <v>0.76</v>
      </c>
      <c r="AG469" s="1">
        <v>0.84</v>
      </c>
      <c r="AH469" s="1">
        <v>0</v>
      </c>
      <c r="AI469" s="1">
        <v>0</v>
      </c>
      <c r="AJ469" s="1">
        <f t="shared" si="40"/>
        <v>0</v>
      </c>
      <c r="AK469" s="1">
        <f>E48</f>
        <v>0</v>
      </c>
      <c r="AL469" s="1">
        <f>E54</f>
        <v>0</v>
      </c>
      <c r="AM469" s="1">
        <f t="shared" si="41"/>
        <v>0</v>
      </c>
      <c r="AN469" s="1">
        <f t="shared" si="42"/>
        <v>0</v>
      </c>
      <c r="AO469" s="1">
        <f t="shared" si="43"/>
        <v>0</v>
      </c>
      <c r="AP469" t="b" cm="1">
        <f t="array" ref="AP469">INDEX($AU$8:$BB$25,6*(R469-1)+MATCH(AB469,$AS$8:$AS$13,0),MATCH(O469,$AU$7:$BB$7,0))</f>
        <v>1</v>
      </c>
    </row>
    <row r="470" spans="15:42" ht="14.25" x14ac:dyDescent="0.45">
      <c r="O470" s="43" t="s">
        <v>32</v>
      </c>
      <c r="P470" s="43">
        <v>2</v>
      </c>
      <c r="Q470" s="43">
        <v>15</v>
      </c>
      <c r="R470" s="43">
        <v>1</v>
      </c>
      <c r="S470" s="45"/>
      <c r="T470" t="b">
        <f>(S470+S471+S472)=Q3</f>
        <v>0</v>
      </c>
      <c r="X470" s="1">
        <f t="shared" si="39"/>
        <v>0</v>
      </c>
      <c r="Y470" s="48">
        <v>0</v>
      </c>
      <c r="AA470" s="1">
        <v>7</v>
      </c>
      <c r="AB470" s="1" t="s">
        <v>15</v>
      </c>
      <c r="AC470" s="1" t="s">
        <v>21</v>
      </c>
      <c r="AD470" s="1">
        <v>13</v>
      </c>
      <c r="AE470" s="1">
        <v>10</v>
      </c>
      <c r="AF470" s="1">
        <v>0.76</v>
      </c>
      <c r="AG470" s="1">
        <v>0.84</v>
      </c>
      <c r="AH470" s="1">
        <v>0</v>
      </c>
      <c r="AI470" s="1">
        <v>0</v>
      </c>
      <c r="AJ470" s="1">
        <f t="shared" si="40"/>
        <v>0</v>
      </c>
      <c r="AK470" s="1">
        <f>C48</f>
        <v>0</v>
      </c>
      <c r="AL470" s="1">
        <f>C54</f>
        <v>0</v>
      </c>
      <c r="AM470" s="1">
        <f t="shared" si="41"/>
        <v>0</v>
      </c>
      <c r="AN470" s="1">
        <f t="shared" si="42"/>
        <v>0</v>
      </c>
      <c r="AO470" s="1">
        <f t="shared" si="43"/>
        <v>0</v>
      </c>
      <c r="AP470" t="b" cm="1">
        <f t="array" ref="AP470">INDEX($AU$8:$BB$25,6*(R470-1)+MATCH(AB470,$AS$8:$AS$13,0),MATCH(O470,$AU$7:$BB$7,0))</f>
        <v>1</v>
      </c>
    </row>
    <row r="471" spans="15:42" ht="14.25" x14ac:dyDescent="0.45">
      <c r="O471" s="43" t="s">
        <v>32</v>
      </c>
      <c r="P471" s="43">
        <v>2</v>
      </c>
      <c r="Q471" s="43">
        <v>15</v>
      </c>
      <c r="R471" s="43">
        <v>2</v>
      </c>
      <c r="S471" s="45"/>
      <c r="T471" t="b">
        <f>(S470+S471+S472)=Q3</f>
        <v>0</v>
      </c>
      <c r="X471" s="1">
        <f t="shared" si="39"/>
        <v>0</v>
      </c>
      <c r="Y471" s="48">
        <v>0</v>
      </c>
      <c r="AA471" s="1">
        <v>7</v>
      </c>
      <c r="AB471" s="1" t="s">
        <v>15</v>
      </c>
      <c r="AC471" s="1" t="s">
        <v>21</v>
      </c>
      <c r="AD471" s="1">
        <v>13</v>
      </c>
      <c r="AE471" s="1">
        <v>10</v>
      </c>
      <c r="AF471" s="1">
        <v>0.76</v>
      </c>
      <c r="AG471" s="1">
        <v>0.84</v>
      </c>
      <c r="AH471" s="1">
        <v>0</v>
      </c>
      <c r="AI471" s="1">
        <v>0</v>
      </c>
      <c r="AJ471" s="1">
        <f t="shared" si="40"/>
        <v>0</v>
      </c>
      <c r="AK471" s="1">
        <f>D48</f>
        <v>0</v>
      </c>
      <c r="AL471" s="1">
        <f>D54</f>
        <v>0</v>
      </c>
      <c r="AM471" s="1">
        <f t="shared" si="41"/>
        <v>0</v>
      </c>
      <c r="AN471" s="1">
        <f t="shared" si="42"/>
        <v>0</v>
      </c>
      <c r="AO471" s="1">
        <f t="shared" si="43"/>
        <v>0</v>
      </c>
      <c r="AP471" t="b" cm="1">
        <f t="array" ref="AP471">INDEX($AU$8:$BB$25,6*(R471-1)+MATCH(AB471,$AS$8:$AS$13,0),MATCH(O471,$AU$7:$BB$7,0))</f>
        <v>1</v>
      </c>
    </row>
    <row r="472" spans="15:42" ht="14.25" x14ac:dyDescent="0.45">
      <c r="O472" s="43" t="s">
        <v>32</v>
      </c>
      <c r="P472" s="43">
        <v>2</v>
      </c>
      <c r="Q472" s="43">
        <v>15</v>
      </c>
      <c r="R472" s="43">
        <v>3</v>
      </c>
      <c r="S472" s="45"/>
      <c r="T472" t="b">
        <f>(S470+S471+S472)=Q3</f>
        <v>0</v>
      </c>
      <c r="X472" s="1">
        <f t="shared" si="39"/>
        <v>0</v>
      </c>
      <c r="Y472" s="48">
        <v>0</v>
      </c>
      <c r="AA472" s="1">
        <v>7</v>
      </c>
      <c r="AB472" s="1" t="s">
        <v>15</v>
      </c>
      <c r="AC472" s="1" t="s">
        <v>21</v>
      </c>
      <c r="AD472" s="1">
        <v>13</v>
      </c>
      <c r="AE472" s="1">
        <v>10</v>
      </c>
      <c r="AF472" s="1">
        <v>0.76</v>
      </c>
      <c r="AG472" s="1">
        <v>0.84</v>
      </c>
      <c r="AH472" s="1">
        <v>0</v>
      </c>
      <c r="AI472" s="1">
        <v>0</v>
      </c>
      <c r="AJ472" s="1">
        <f t="shared" si="40"/>
        <v>0</v>
      </c>
      <c r="AK472" s="1">
        <f>E48</f>
        <v>0</v>
      </c>
      <c r="AL472" s="1">
        <f>E54</f>
        <v>0</v>
      </c>
      <c r="AM472" s="1">
        <f t="shared" si="41"/>
        <v>0</v>
      </c>
      <c r="AN472" s="1">
        <f t="shared" si="42"/>
        <v>0</v>
      </c>
      <c r="AO472" s="1">
        <f t="shared" si="43"/>
        <v>0</v>
      </c>
      <c r="AP472" t="b" cm="1">
        <f t="array" ref="AP472">INDEX($AU$8:$BB$25,6*(R472-1)+MATCH(AB472,$AS$8:$AS$13,0),MATCH(O472,$AU$7:$BB$7,0))</f>
        <v>1</v>
      </c>
    </row>
    <row r="473" spans="15:42" ht="14.25" x14ac:dyDescent="0.45">
      <c r="O473" s="43" t="s">
        <v>32</v>
      </c>
      <c r="P473" s="43">
        <v>3</v>
      </c>
      <c r="Q473" s="43">
        <v>1</v>
      </c>
      <c r="R473" s="43">
        <v>1</v>
      </c>
      <c r="S473" s="45"/>
      <c r="T473" t="b">
        <f>(S473+S474+S475)=Q4</f>
        <v>0</v>
      </c>
      <c r="X473" s="1">
        <v>0</v>
      </c>
      <c r="Y473" s="48">
        <v>0</v>
      </c>
      <c r="AA473" s="1">
        <v>1</v>
      </c>
      <c r="AB473" s="1" t="s">
        <v>13</v>
      </c>
      <c r="AC473" s="1" t="s">
        <v>19</v>
      </c>
      <c r="AD473" s="1">
        <v>21</v>
      </c>
      <c r="AE473" s="1">
        <v>20</v>
      </c>
      <c r="AF473" s="1">
        <v>0.8</v>
      </c>
      <c r="AG473" s="1">
        <v>0.86</v>
      </c>
      <c r="AH473" s="1">
        <v>0</v>
      </c>
      <c r="AI473" s="1">
        <v>0</v>
      </c>
      <c r="AJ473" s="1">
        <f t="shared" si="40"/>
        <v>0</v>
      </c>
      <c r="AK473" s="1">
        <f>C46</f>
        <v>0</v>
      </c>
      <c r="AL473" s="1">
        <f>C52</f>
        <v>0</v>
      </c>
      <c r="AM473" s="1">
        <f t="shared" si="41"/>
        <v>0</v>
      </c>
      <c r="AN473" s="1">
        <f t="shared" si="42"/>
        <v>0</v>
      </c>
      <c r="AO473" s="1">
        <f t="shared" si="43"/>
        <v>0</v>
      </c>
      <c r="AP473" t="b" cm="1">
        <f t="array" ref="AP473">INDEX($AU$8:$BB$25,6*(R473-1)+MATCH(AB473,$AS$8:$AS$13,0),MATCH(O473,$AU$7:$BB$7,0))</f>
        <v>1</v>
      </c>
    </row>
    <row r="474" spans="15:42" ht="14.25" x14ac:dyDescent="0.45">
      <c r="O474" s="43" t="s">
        <v>32</v>
      </c>
      <c r="P474" s="43">
        <v>3</v>
      </c>
      <c r="Q474" s="43">
        <v>1</v>
      </c>
      <c r="R474" s="43">
        <v>2</v>
      </c>
      <c r="S474" s="45"/>
      <c r="T474" t="b">
        <f>(S473+S474+S475)=Q4</f>
        <v>0</v>
      </c>
      <c r="X474" s="1">
        <v>0</v>
      </c>
      <c r="Y474" s="48">
        <v>0</v>
      </c>
      <c r="AA474" s="1">
        <v>1</v>
      </c>
      <c r="AB474" s="1" t="s">
        <v>13</v>
      </c>
      <c r="AC474" s="1" t="s">
        <v>19</v>
      </c>
      <c r="AD474" s="1">
        <v>21</v>
      </c>
      <c r="AE474" s="1">
        <v>20</v>
      </c>
      <c r="AF474" s="1">
        <v>0.8</v>
      </c>
      <c r="AG474" s="1">
        <v>0.86</v>
      </c>
      <c r="AH474" s="1">
        <v>0</v>
      </c>
      <c r="AI474" s="1">
        <v>0</v>
      </c>
      <c r="AJ474" s="1">
        <f t="shared" si="40"/>
        <v>0</v>
      </c>
      <c r="AK474" s="1">
        <f>D46</f>
        <v>0</v>
      </c>
      <c r="AL474" s="1">
        <f>D52</f>
        <v>0</v>
      </c>
      <c r="AM474" s="1">
        <f t="shared" si="41"/>
        <v>0</v>
      </c>
      <c r="AN474" s="1">
        <f t="shared" si="42"/>
        <v>0</v>
      </c>
      <c r="AO474" s="1">
        <f t="shared" si="43"/>
        <v>0</v>
      </c>
      <c r="AP474" t="b" cm="1">
        <f t="array" ref="AP474">INDEX($AU$8:$BB$25,6*(R474-1)+MATCH(AB474,$AS$8:$AS$13,0),MATCH(O474,$AU$7:$BB$7,0))</f>
        <v>1</v>
      </c>
    </row>
    <row r="475" spans="15:42" ht="14.25" x14ac:dyDescent="0.45">
      <c r="O475" s="43" t="s">
        <v>32</v>
      </c>
      <c r="P475" s="43">
        <v>3</v>
      </c>
      <c r="Q475" s="43">
        <v>1</v>
      </c>
      <c r="R475" s="43">
        <v>3</v>
      </c>
      <c r="S475" s="45"/>
      <c r="T475" t="b">
        <f>(S473+S474+S475)=Q4</f>
        <v>0</v>
      </c>
      <c r="X475" s="1">
        <v>0</v>
      </c>
      <c r="Y475" s="48">
        <v>0</v>
      </c>
      <c r="AA475" s="1">
        <v>1</v>
      </c>
      <c r="AB475" s="1" t="s">
        <v>13</v>
      </c>
      <c r="AC475" s="1" t="s">
        <v>19</v>
      </c>
      <c r="AD475" s="1">
        <v>21</v>
      </c>
      <c r="AE475" s="1">
        <v>20</v>
      </c>
      <c r="AF475" s="1">
        <v>0.8</v>
      </c>
      <c r="AG475" s="1">
        <v>0.86</v>
      </c>
      <c r="AH475" s="1">
        <v>0</v>
      </c>
      <c r="AI475" s="1">
        <v>0</v>
      </c>
      <c r="AJ475" s="1">
        <f t="shared" si="40"/>
        <v>0</v>
      </c>
      <c r="AK475" s="1">
        <f>E46</f>
        <v>0</v>
      </c>
      <c r="AL475" s="1">
        <f>E52</f>
        <v>0</v>
      </c>
      <c r="AM475" s="1">
        <f t="shared" si="41"/>
        <v>0</v>
      </c>
      <c r="AN475" s="1">
        <f t="shared" si="42"/>
        <v>0</v>
      </c>
      <c r="AO475" s="1">
        <f t="shared" si="43"/>
        <v>0</v>
      </c>
      <c r="AP475" t="b" cm="1">
        <f t="array" ref="AP475">INDEX($AU$8:$BB$25,6*(R475-1)+MATCH(AB475,$AS$8:$AS$13,0),MATCH(O475,$AU$7:$BB$7,0))</f>
        <v>1</v>
      </c>
    </row>
    <row r="476" spans="15:42" ht="14.25" x14ac:dyDescent="0.45">
      <c r="O476" s="43" t="s">
        <v>32</v>
      </c>
      <c r="P476" s="43">
        <v>3</v>
      </c>
      <c r="Q476" s="43">
        <v>2</v>
      </c>
      <c r="R476" s="43">
        <v>1</v>
      </c>
      <c r="S476" s="45"/>
      <c r="T476" t="b">
        <f>(S476+S477+S478)=Q4</f>
        <v>0</v>
      </c>
      <c r="X476" s="1">
        <f t="shared" ref="X476:X523" si="44">MAX(S473-S476,0)</f>
        <v>0</v>
      </c>
      <c r="Y476" s="48">
        <v>0</v>
      </c>
      <c r="AA476" s="1">
        <v>8</v>
      </c>
      <c r="AB476" s="1" t="s">
        <v>14</v>
      </c>
      <c r="AC476" s="1" t="s">
        <v>20</v>
      </c>
      <c r="AD476" s="1">
        <v>9</v>
      </c>
      <c r="AE476" s="1">
        <v>7</v>
      </c>
      <c r="AF476" s="1">
        <v>0.8</v>
      </c>
      <c r="AG476" s="1">
        <v>0.88</v>
      </c>
      <c r="AH476" s="1">
        <v>0</v>
      </c>
      <c r="AI476" s="1">
        <v>0</v>
      </c>
      <c r="AJ476" s="1">
        <f t="shared" si="40"/>
        <v>0</v>
      </c>
      <c r="AK476" s="1">
        <f>C47</f>
        <v>0</v>
      </c>
      <c r="AL476" s="1">
        <f>C53</f>
        <v>0</v>
      </c>
      <c r="AM476" s="1">
        <f t="shared" si="41"/>
        <v>0</v>
      </c>
      <c r="AN476" s="1">
        <f t="shared" si="42"/>
        <v>0</v>
      </c>
      <c r="AO476" s="1">
        <f t="shared" si="43"/>
        <v>0</v>
      </c>
      <c r="AP476" t="b" cm="1">
        <f t="array" ref="AP476">INDEX($AU$8:$BB$25,6*(R476-1)+MATCH(AB476,$AS$8:$AS$13,0),MATCH(O476,$AU$7:$BB$7,0))</f>
        <v>1</v>
      </c>
    </row>
    <row r="477" spans="15:42" ht="14.25" x14ac:dyDescent="0.45">
      <c r="O477" s="43" t="s">
        <v>32</v>
      </c>
      <c r="P477" s="43">
        <v>3</v>
      </c>
      <c r="Q477" s="43">
        <v>2</v>
      </c>
      <c r="R477" s="43">
        <v>2</v>
      </c>
      <c r="S477" s="45"/>
      <c r="T477" t="b">
        <f>(S476+S477+S478)=Q4</f>
        <v>0</v>
      </c>
      <c r="X477" s="1">
        <f t="shared" si="44"/>
        <v>0</v>
      </c>
      <c r="Y477" s="48">
        <v>0</v>
      </c>
      <c r="AA477" s="1">
        <v>8</v>
      </c>
      <c r="AB477" s="1" t="s">
        <v>14</v>
      </c>
      <c r="AC477" s="1" t="s">
        <v>20</v>
      </c>
      <c r="AD477" s="1">
        <v>9</v>
      </c>
      <c r="AE477" s="1">
        <v>7</v>
      </c>
      <c r="AF477" s="1">
        <v>0.8</v>
      </c>
      <c r="AG477" s="1">
        <v>0.88</v>
      </c>
      <c r="AH477" s="1">
        <v>0</v>
      </c>
      <c r="AI477" s="1">
        <v>0</v>
      </c>
      <c r="AJ477" s="1">
        <f t="shared" si="40"/>
        <v>0</v>
      </c>
      <c r="AK477" s="1">
        <f>D47</f>
        <v>0</v>
      </c>
      <c r="AL477" s="1">
        <f>D53</f>
        <v>0</v>
      </c>
      <c r="AM477" s="1">
        <f t="shared" si="41"/>
        <v>0</v>
      </c>
      <c r="AN477" s="1">
        <f t="shared" si="42"/>
        <v>0</v>
      </c>
      <c r="AO477" s="1">
        <f t="shared" si="43"/>
        <v>0</v>
      </c>
      <c r="AP477" t="b" cm="1">
        <f t="array" ref="AP477">INDEX($AU$8:$BB$25,6*(R477-1)+MATCH(AB477,$AS$8:$AS$13,0),MATCH(O477,$AU$7:$BB$7,0))</f>
        <v>1</v>
      </c>
    </row>
    <row r="478" spans="15:42" ht="14.25" x14ac:dyDescent="0.45">
      <c r="O478" s="43" t="s">
        <v>32</v>
      </c>
      <c r="P478" s="43">
        <v>3</v>
      </c>
      <c r="Q478" s="43">
        <v>2</v>
      </c>
      <c r="R478" s="43">
        <v>3</v>
      </c>
      <c r="S478" s="45"/>
      <c r="T478" t="b">
        <f>(S476+S477+S478)=Q4</f>
        <v>0</v>
      </c>
      <c r="X478" s="1">
        <f t="shared" si="44"/>
        <v>0</v>
      </c>
      <c r="Y478" s="48">
        <v>0</v>
      </c>
      <c r="AA478" s="1">
        <v>8</v>
      </c>
      <c r="AB478" s="1" t="s">
        <v>14</v>
      </c>
      <c r="AC478" s="1" t="s">
        <v>20</v>
      </c>
      <c r="AD478" s="1">
        <v>9</v>
      </c>
      <c r="AE478" s="1">
        <v>7</v>
      </c>
      <c r="AF478" s="1">
        <v>0.8</v>
      </c>
      <c r="AG478" s="1">
        <v>0.88</v>
      </c>
      <c r="AH478" s="1">
        <v>0</v>
      </c>
      <c r="AI478" s="1">
        <v>0</v>
      </c>
      <c r="AJ478" s="1">
        <f t="shared" si="40"/>
        <v>0</v>
      </c>
      <c r="AK478" s="1">
        <f>E47</f>
        <v>0</v>
      </c>
      <c r="AL478" s="1">
        <f>E53</f>
        <v>0</v>
      </c>
      <c r="AM478" s="1">
        <f t="shared" si="41"/>
        <v>0</v>
      </c>
      <c r="AN478" s="1">
        <f t="shared" si="42"/>
        <v>0</v>
      </c>
      <c r="AO478" s="1">
        <f t="shared" si="43"/>
        <v>0</v>
      </c>
      <c r="AP478" t="b" cm="1">
        <f t="array" ref="AP478">INDEX($AU$8:$BB$25,6*(R478-1)+MATCH(AB478,$AS$8:$AS$13,0),MATCH(O478,$AU$7:$BB$7,0))</f>
        <v>1</v>
      </c>
    </row>
    <row r="479" spans="15:42" ht="14.25" x14ac:dyDescent="0.45">
      <c r="O479" s="43" t="s">
        <v>32</v>
      </c>
      <c r="P479" s="43">
        <v>3</v>
      </c>
      <c r="Q479" s="43">
        <v>3</v>
      </c>
      <c r="R479" s="43">
        <v>1</v>
      </c>
      <c r="S479" s="45"/>
      <c r="T479" t="b">
        <f>(S479+S480+S481)=Q4</f>
        <v>0</v>
      </c>
      <c r="X479" s="1">
        <f t="shared" si="44"/>
        <v>0</v>
      </c>
      <c r="Y479" s="48">
        <v>0</v>
      </c>
      <c r="AA479" s="1">
        <v>1</v>
      </c>
      <c r="AB479" s="1" t="s">
        <v>15</v>
      </c>
      <c r="AC479" s="1" t="s">
        <v>21</v>
      </c>
      <c r="AD479" s="1">
        <v>24</v>
      </c>
      <c r="AE479" s="1">
        <v>23</v>
      </c>
      <c r="AF479" s="1">
        <v>0.76</v>
      </c>
      <c r="AG479" s="1">
        <v>0.84</v>
      </c>
      <c r="AH479" s="1">
        <v>0</v>
      </c>
      <c r="AI479" s="1">
        <v>0</v>
      </c>
      <c r="AJ479" s="1">
        <f t="shared" si="40"/>
        <v>0</v>
      </c>
      <c r="AK479" s="1">
        <f>C48</f>
        <v>0</v>
      </c>
      <c r="AL479" s="1">
        <f>C54</f>
        <v>0</v>
      </c>
      <c r="AM479" s="1">
        <f t="shared" si="41"/>
        <v>0</v>
      </c>
      <c r="AN479" s="1">
        <f t="shared" si="42"/>
        <v>0</v>
      </c>
      <c r="AO479" s="1">
        <f t="shared" si="43"/>
        <v>0</v>
      </c>
      <c r="AP479" t="b" cm="1">
        <f t="array" ref="AP479">INDEX($AU$8:$BB$25,6*(R479-1)+MATCH(AB479,$AS$8:$AS$13,0),MATCH(O479,$AU$7:$BB$7,0))</f>
        <v>1</v>
      </c>
    </row>
    <row r="480" spans="15:42" ht="14.25" x14ac:dyDescent="0.45">
      <c r="O480" s="43" t="s">
        <v>32</v>
      </c>
      <c r="P480" s="43">
        <v>3</v>
      </c>
      <c r="Q480" s="43">
        <v>3</v>
      </c>
      <c r="R480" s="43">
        <v>2</v>
      </c>
      <c r="S480" s="45"/>
      <c r="T480" t="b">
        <f>(S479+S480+S481)=Q4</f>
        <v>0</v>
      </c>
      <c r="X480" s="1">
        <f t="shared" si="44"/>
        <v>0</v>
      </c>
      <c r="Y480" s="48">
        <v>0</v>
      </c>
      <c r="AA480" s="1">
        <v>1</v>
      </c>
      <c r="AB480" s="1" t="s">
        <v>15</v>
      </c>
      <c r="AC480" s="1" t="s">
        <v>21</v>
      </c>
      <c r="AD480" s="1">
        <v>24</v>
      </c>
      <c r="AE480" s="1">
        <v>23</v>
      </c>
      <c r="AF480" s="1">
        <v>0.76</v>
      </c>
      <c r="AG480" s="1">
        <v>0.84</v>
      </c>
      <c r="AH480" s="1">
        <v>0</v>
      </c>
      <c r="AI480" s="1">
        <v>0</v>
      </c>
      <c r="AJ480" s="1">
        <f t="shared" si="40"/>
        <v>0</v>
      </c>
      <c r="AK480" s="1">
        <f>D48</f>
        <v>0</v>
      </c>
      <c r="AL480" s="1">
        <f>D54</f>
        <v>0</v>
      </c>
      <c r="AM480" s="1">
        <f t="shared" si="41"/>
        <v>0</v>
      </c>
      <c r="AN480" s="1">
        <f t="shared" si="42"/>
        <v>0</v>
      </c>
      <c r="AO480" s="1">
        <f t="shared" si="43"/>
        <v>0</v>
      </c>
      <c r="AP480" t="b" cm="1">
        <f t="array" ref="AP480">INDEX($AU$8:$BB$25,6*(R480-1)+MATCH(AB480,$AS$8:$AS$13,0),MATCH(O480,$AU$7:$BB$7,0))</f>
        <v>1</v>
      </c>
    </row>
    <row r="481" spans="15:42" ht="14.25" x14ac:dyDescent="0.45">
      <c r="O481" s="43" t="s">
        <v>32</v>
      </c>
      <c r="P481" s="43">
        <v>3</v>
      </c>
      <c r="Q481" s="43">
        <v>3</v>
      </c>
      <c r="R481" s="43">
        <v>3</v>
      </c>
      <c r="S481" s="45"/>
      <c r="T481" t="b">
        <f>(S479+S480+S481)=Q4</f>
        <v>0</v>
      </c>
      <c r="X481" s="1">
        <f t="shared" si="44"/>
        <v>0</v>
      </c>
      <c r="Y481" s="48">
        <v>0</v>
      </c>
      <c r="AA481" s="1">
        <v>1</v>
      </c>
      <c r="AB481" s="1" t="s">
        <v>15</v>
      </c>
      <c r="AC481" s="1" t="s">
        <v>21</v>
      </c>
      <c r="AD481" s="1">
        <v>24</v>
      </c>
      <c r="AE481" s="1">
        <v>23</v>
      </c>
      <c r="AF481" s="1">
        <v>0.76</v>
      </c>
      <c r="AG481" s="1">
        <v>0.84</v>
      </c>
      <c r="AH481" s="1">
        <v>0</v>
      </c>
      <c r="AI481" s="1">
        <v>0</v>
      </c>
      <c r="AJ481" s="1">
        <f t="shared" si="40"/>
        <v>0</v>
      </c>
      <c r="AK481" s="1">
        <f>E48</f>
        <v>0</v>
      </c>
      <c r="AL481" s="1">
        <f>E54</f>
        <v>0</v>
      </c>
      <c r="AM481" s="1">
        <f t="shared" si="41"/>
        <v>0</v>
      </c>
      <c r="AN481" s="1">
        <f t="shared" si="42"/>
        <v>0</v>
      </c>
      <c r="AO481" s="1">
        <f t="shared" si="43"/>
        <v>0</v>
      </c>
      <c r="AP481" t="b" cm="1">
        <f t="array" ref="AP481">INDEX($AU$8:$BB$25,6*(R481-1)+MATCH(AB481,$AS$8:$AS$13,0),MATCH(O481,$AU$7:$BB$7,0))</f>
        <v>1</v>
      </c>
    </row>
    <row r="482" spans="15:42" ht="14.25" x14ac:dyDescent="0.45">
      <c r="O482" s="43" t="s">
        <v>32</v>
      </c>
      <c r="P482" s="43">
        <v>3</v>
      </c>
      <c r="Q482" s="43">
        <v>4</v>
      </c>
      <c r="R482" s="43">
        <v>1</v>
      </c>
      <c r="S482" s="45"/>
      <c r="T482" t="b">
        <f>(S482+S483+S484)=Q4</f>
        <v>0</v>
      </c>
      <c r="X482" s="1">
        <f t="shared" si="44"/>
        <v>0</v>
      </c>
      <c r="Y482" s="48">
        <v>0</v>
      </c>
      <c r="AA482" s="1">
        <v>9</v>
      </c>
      <c r="AB482" s="1" t="s">
        <v>15</v>
      </c>
      <c r="AC482" s="1" t="s">
        <v>21</v>
      </c>
      <c r="AD482" s="1">
        <v>15</v>
      </c>
      <c r="AE482" s="1">
        <v>11</v>
      </c>
      <c r="AF482" s="1">
        <v>0.76</v>
      </c>
      <c r="AG482" s="1">
        <v>0.84</v>
      </c>
      <c r="AH482" s="1">
        <v>0</v>
      </c>
      <c r="AI482" s="1">
        <v>0</v>
      </c>
      <c r="AJ482" s="1">
        <f t="shared" si="40"/>
        <v>0</v>
      </c>
      <c r="AK482" s="1">
        <f>C48</f>
        <v>0</v>
      </c>
      <c r="AL482" s="1">
        <f>C54</f>
        <v>0</v>
      </c>
      <c r="AM482" s="1">
        <f t="shared" si="41"/>
        <v>0</v>
      </c>
      <c r="AN482" s="1">
        <f t="shared" si="42"/>
        <v>0</v>
      </c>
      <c r="AO482" s="1">
        <f t="shared" si="43"/>
        <v>0</v>
      </c>
      <c r="AP482" t="b" cm="1">
        <f t="array" ref="AP482">INDEX($AU$8:$BB$25,6*(R482-1)+MATCH(AB482,$AS$8:$AS$13,0),MATCH(O482,$AU$7:$BB$7,0))</f>
        <v>1</v>
      </c>
    </row>
    <row r="483" spans="15:42" ht="14.25" x14ac:dyDescent="0.45">
      <c r="O483" s="43" t="s">
        <v>32</v>
      </c>
      <c r="P483" s="43">
        <v>3</v>
      </c>
      <c r="Q483" s="43">
        <v>4</v>
      </c>
      <c r="R483" s="43">
        <v>2</v>
      </c>
      <c r="S483" s="45"/>
      <c r="T483" t="b">
        <f>(S482+S483+S484)=Q4</f>
        <v>0</v>
      </c>
      <c r="X483" s="1">
        <f t="shared" si="44"/>
        <v>0</v>
      </c>
      <c r="Y483" s="48">
        <v>0</v>
      </c>
      <c r="AA483" s="1">
        <v>9</v>
      </c>
      <c r="AB483" s="1" t="s">
        <v>15</v>
      </c>
      <c r="AC483" s="1" t="s">
        <v>21</v>
      </c>
      <c r="AD483" s="1">
        <v>15</v>
      </c>
      <c r="AE483" s="1">
        <v>11</v>
      </c>
      <c r="AF483" s="1">
        <v>0.76</v>
      </c>
      <c r="AG483" s="1">
        <v>0.84</v>
      </c>
      <c r="AH483" s="1">
        <v>0</v>
      </c>
      <c r="AI483" s="1">
        <v>0</v>
      </c>
      <c r="AJ483" s="1">
        <f t="shared" si="40"/>
        <v>0</v>
      </c>
      <c r="AK483" s="1">
        <f>D48</f>
        <v>0</v>
      </c>
      <c r="AL483" s="1">
        <f>D54</f>
        <v>0</v>
      </c>
      <c r="AM483" s="1">
        <f t="shared" si="41"/>
        <v>0</v>
      </c>
      <c r="AN483" s="1">
        <f t="shared" si="42"/>
        <v>0</v>
      </c>
      <c r="AO483" s="1">
        <f t="shared" si="43"/>
        <v>0</v>
      </c>
      <c r="AP483" t="b" cm="1">
        <f t="array" ref="AP483">INDEX($AU$8:$BB$25,6*(R483-1)+MATCH(AB483,$AS$8:$AS$13,0),MATCH(O483,$AU$7:$BB$7,0))</f>
        <v>1</v>
      </c>
    </row>
    <row r="484" spans="15:42" ht="14.25" x14ac:dyDescent="0.45">
      <c r="O484" s="43" t="s">
        <v>32</v>
      </c>
      <c r="P484" s="43">
        <v>3</v>
      </c>
      <c r="Q484" s="43">
        <v>4</v>
      </c>
      <c r="R484" s="43">
        <v>3</v>
      </c>
      <c r="S484" s="45"/>
      <c r="T484" t="b">
        <f>(S482+S483+S484)=Q4</f>
        <v>0</v>
      </c>
      <c r="X484" s="1">
        <f t="shared" si="44"/>
        <v>0</v>
      </c>
      <c r="Y484" s="48">
        <v>0</v>
      </c>
      <c r="AA484" s="1">
        <v>9</v>
      </c>
      <c r="AB484" s="1" t="s">
        <v>15</v>
      </c>
      <c r="AC484" s="1" t="s">
        <v>21</v>
      </c>
      <c r="AD484" s="1">
        <v>15</v>
      </c>
      <c r="AE484" s="1">
        <v>11</v>
      </c>
      <c r="AF484" s="1">
        <v>0.76</v>
      </c>
      <c r="AG484" s="1">
        <v>0.84</v>
      </c>
      <c r="AH484" s="1">
        <v>0</v>
      </c>
      <c r="AI484" s="1">
        <v>0</v>
      </c>
      <c r="AJ484" s="1">
        <f t="shared" si="40"/>
        <v>0</v>
      </c>
      <c r="AK484" s="1">
        <f>E48</f>
        <v>0</v>
      </c>
      <c r="AL484" s="1">
        <f>E54</f>
        <v>0</v>
      </c>
      <c r="AM484" s="1">
        <f t="shared" si="41"/>
        <v>0</v>
      </c>
      <c r="AN484" s="1">
        <f t="shared" si="42"/>
        <v>0</v>
      </c>
      <c r="AO484" s="1">
        <f t="shared" si="43"/>
        <v>0</v>
      </c>
      <c r="AP484" t="b" cm="1">
        <f t="array" ref="AP484">INDEX($AU$8:$BB$25,6*(R484-1)+MATCH(AB484,$AS$8:$AS$13,0),MATCH(O484,$AU$7:$BB$7,0))</f>
        <v>1</v>
      </c>
    </row>
    <row r="485" spans="15:42" ht="14.25" x14ac:dyDescent="0.45">
      <c r="O485" s="43" t="s">
        <v>32</v>
      </c>
      <c r="P485" s="43">
        <v>3</v>
      </c>
      <c r="Q485" s="43">
        <v>5</v>
      </c>
      <c r="R485" s="43">
        <v>1</v>
      </c>
      <c r="S485" s="45"/>
      <c r="T485" t="b">
        <f>(S485+S486+S487)=Q4</f>
        <v>0</v>
      </c>
      <c r="X485" s="1">
        <f t="shared" si="44"/>
        <v>0</v>
      </c>
      <c r="Y485" s="48">
        <v>0</v>
      </c>
      <c r="AA485" s="1">
        <v>6</v>
      </c>
      <c r="AB485" s="1" t="s">
        <v>16</v>
      </c>
      <c r="AC485" s="1" t="s">
        <v>22</v>
      </c>
      <c r="AD485" s="1">
        <v>16</v>
      </c>
      <c r="AE485" s="1">
        <v>14</v>
      </c>
      <c r="AF485" s="1">
        <v>0.8</v>
      </c>
      <c r="AG485" s="1">
        <v>0.9</v>
      </c>
      <c r="AH485" s="1">
        <v>0</v>
      </c>
      <c r="AI485" s="1">
        <v>0</v>
      </c>
      <c r="AJ485" s="1">
        <f t="shared" si="40"/>
        <v>0</v>
      </c>
      <c r="AK485" s="1">
        <f>C49</f>
        <v>0</v>
      </c>
      <c r="AL485" s="1">
        <f>C55</f>
        <v>0</v>
      </c>
      <c r="AM485" s="1">
        <f t="shared" si="41"/>
        <v>0</v>
      </c>
      <c r="AN485" s="1">
        <f t="shared" si="42"/>
        <v>0</v>
      </c>
      <c r="AO485" s="1">
        <f t="shared" si="43"/>
        <v>0</v>
      </c>
      <c r="AP485" t="b" cm="1">
        <f t="array" ref="AP485">INDEX($AU$8:$BB$25,6*(R485-1)+MATCH(AB485,$AS$8:$AS$13,0),MATCH(O485,$AU$7:$BB$7,0))</f>
        <v>1</v>
      </c>
    </row>
    <row r="486" spans="15:42" ht="14.25" x14ac:dyDescent="0.45">
      <c r="O486" s="43" t="s">
        <v>32</v>
      </c>
      <c r="P486" s="43">
        <v>3</v>
      </c>
      <c r="Q486" s="43">
        <v>5</v>
      </c>
      <c r="R486" s="43">
        <v>2</v>
      </c>
      <c r="S486" s="45"/>
      <c r="T486" t="b">
        <f>(S485+S486+S487)=Q4</f>
        <v>0</v>
      </c>
      <c r="X486" s="1">
        <f t="shared" si="44"/>
        <v>0</v>
      </c>
      <c r="Y486" s="48">
        <v>0</v>
      </c>
      <c r="AA486" s="1">
        <v>6</v>
      </c>
      <c r="AB486" s="1" t="s">
        <v>16</v>
      </c>
      <c r="AC486" s="1" t="s">
        <v>22</v>
      </c>
      <c r="AD486" s="1">
        <v>16</v>
      </c>
      <c r="AE486" s="1">
        <v>14</v>
      </c>
      <c r="AF486" s="1">
        <v>0.8</v>
      </c>
      <c r="AG486" s="1">
        <v>0.9</v>
      </c>
      <c r="AH486" s="1">
        <v>0</v>
      </c>
      <c r="AI486" s="1">
        <v>0</v>
      </c>
      <c r="AJ486" s="1">
        <f t="shared" si="40"/>
        <v>0</v>
      </c>
      <c r="AK486" s="1">
        <f>D49</f>
        <v>0</v>
      </c>
      <c r="AL486" s="1">
        <f>D55</f>
        <v>0</v>
      </c>
      <c r="AM486" s="1">
        <f t="shared" si="41"/>
        <v>0</v>
      </c>
      <c r="AN486" s="1">
        <f t="shared" si="42"/>
        <v>0</v>
      </c>
      <c r="AO486" s="1">
        <f t="shared" si="43"/>
        <v>0</v>
      </c>
      <c r="AP486" t="b" cm="1">
        <f t="array" ref="AP486">INDEX($AU$8:$BB$25,6*(R486-1)+MATCH(AB486,$AS$8:$AS$13,0),MATCH(O486,$AU$7:$BB$7,0))</f>
        <v>1</v>
      </c>
    </row>
    <row r="487" spans="15:42" ht="14.25" x14ac:dyDescent="0.45">
      <c r="O487" s="43" t="s">
        <v>32</v>
      </c>
      <c r="P487" s="43">
        <v>3</v>
      </c>
      <c r="Q487" s="43">
        <v>5</v>
      </c>
      <c r="R487" s="43">
        <v>3</v>
      </c>
      <c r="S487" s="45"/>
      <c r="T487" t="b">
        <f>(S485+S486+S487)=Q4</f>
        <v>0</v>
      </c>
      <c r="X487" s="1">
        <f t="shared" si="44"/>
        <v>0</v>
      </c>
      <c r="Y487" s="48">
        <v>0</v>
      </c>
      <c r="AA487" s="1">
        <v>6</v>
      </c>
      <c r="AB487" s="1" t="s">
        <v>16</v>
      </c>
      <c r="AC487" s="1" t="s">
        <v>22</v>
      </c>
      <c r="AD487" s="1">
        <v>16</v>
      </c>
      <c r="AE487" s="1">
        <v>14</v>
      </c>
      <c r="AF487" s="1">
        <v>0.8</v>
      </c>
      <c r="AG487" s="1">
        <v>0.9</v>
      </c>
      <c r="AH487" s="1">
        <v>0</v>
      </c>
      <c r="AI487" s="1">
        <v>0</v>
      </c>
      <c r="AJ487" s="1">
        <f t="shared" si="40"/>
        <v>0</v>
      </c>
      <c r="AK487" s="1">
        <f>E49</f>
        <v>0</v>
      </c>
      <c r="AL487" s="1">
        <f>E55</f>
        <v>0</v>
      </c>
      <c r="AM487" s="1">
        <f t="shared" si="41"/>
        <v>0</v>
      </c>
      <c r="AN487" s="1">
        <f t="shared" si="42"/>
        <v>0</v>
      </c>
      <c r="AO487" s="1">
        <f t="shared" si="43"/>
        <v>0</v>
      </c>
      <c r="AP487" t="b" cm="1">
        <f t="array" ref="AP487">INDEX($AU$8:$BB$25,6*(R487-1)+MATCH(AB487,$AS$8:$AS$13,0),MATCH(O487,$AU$7:$BB$7,0))</f>
        <v>1</v>
      </c>
    </row>
    <row r="488" spans="15:42" ht="14.25" x14ac:dyDescent="0.45">
      <c r="O488" s="43" t="s">
        <v>32</v>
      </c>
      <c r="P488" s="43">
        <v>3</v>
      </c>
      <c r="Q488" s="43">
        <v>6</v>
      </c>
      <c r="R488" s="43">
        <v>1</v>
      </c>
      <c r="S488" s="45"/>
      <c r="T488" t="b">
        <f>(S488+S489+S490)=Q4</f>
        <v>0</v>
      </c>
      <c r="X488" s="1">
        <f t="shared" si="44"/>
        <v>0</v>
      </c>
      <c r="Y488" s="48">
        <v>0</v>
      </c>
      <c r="AA488" s="1">
        <v>1</v>
      </c>
      <c r="AB488" s="1" t="s">
        <v>14</v>
      </c>
      <c r="AC488" s="1" t="s">
        <v>20</v>
      </c>
      <c r="AD488" s="1">
        <v>12</v>
      </c>
      <c r="AE488" s="1">
        <v>11</v>
      </c>
      <c r="AF488" s="1">
        <v>0.8</v>
      </c>
      <c r="AG488" s="1">
        <v>0.88</v>
      </c>
      <c r="AH488" s="1">
        <v>0</v>
      </c>
      <c r="AI488" s="1">
        <v>0</v>
      </c>
      <c r="AJ488" s="1">
        <f t="shared" si="40"/>
        <v>0</v>
      </c>
      <c r="AK488" s="1">
        <f>C47</f>
        <v>0</v>
      </c>
      <c r="AL488" s="1">
        <f>C53</f>
        <v>0</v>
      </c>
      <c r="AM488" s="1">
        <f t="shared" si="41"/>
        <v>0</v>
      </c>
      <c r="AN488" s="1">
        <f t="shared" si="42"/>
        <v>0</v>
      </c>
      <c r="AO488" s="1">
        <f t="shared" si="43"/>
        <v>0</v>
      </c>
      <c r="AP488" t="b" cm="1">
        <f t="array" ref="AP488">INDEX($AU$8:$BB$25,6*(R488-1)+MATCH(AB488,$AS$8:$AS$13,0),MATCH(O488,$AU$7:$BB$7,0))</f>
        <v>1</v>
      </c>
    </row>
    <row r="489" spans="15:42" ht="14.25" x14ac:dyDescent="0.45">
      <c r="O489" s="43" t="s">
        <v>32</v>
      </c>
      <c r="P489" s="43">
        <v>3</v>
      </c>
      <c r="Q489" s="43">
        <v>6</v>
      </c>
      <c r="R489" s="43">
        <v>2</v>
      </c>
      <c r="S489" s="45"/>
      <c r="T489" t="b">
        <f>(S488+S489+S490)=Q4</f>
        <v>0</v>
      </c>
      <c r="X489" s="1">
        <f t="shared" si="44"/>
        <v>0</v>
      </c>
      <c r="Y489" s="48">
        <v>0</v>
      </c>
      <c r="AA489" s="1">
        <v>1</v>
      </c>
      <c r="AB489" s="1" t="s">
        <v>14</v>
      </c>
      <c r="AC489" s="1" t="s">
        <v>20</v>
      </c>
      <c r="AD489" s="1">
        <v>12</v>
      </c>
      <c r="AE489" s="1">
        <v>11</v>
      </c>
      <c r="AF489" s="1">
        <v>0.8</v>
      </c>
      <c r="AG489" s="1">
        <v>0.88</v>
      </c>
      <c r="AH489" s="1">
        <v>0</v>
      </c>
      <c r="AI489" s="1">
        <v>0</v>
      </c>
      <c r="AJ489" s="1">
        <f t="shared" si="40"/>
        <v>0</v>
      </c>
      <c r="AK489" s="1">
        <f>D47</f>
        <v>0</v>
      </c>
      <c r="AL489" s="1">
        <f>D53</f>
        <v>0</v>
      </c>
      <c r="AM489" s="1">
        <f t="shared" si="41"/>
        <v>0</v>
      </c>
      <c r="AN489" s="1">
        <f t="shared" si="42"/>
        <v>0</v>
      </c>
      <c r="AO489" s="1">
        <f t="shared" si="43"/>
        <v>0</v>
      </c>
      <c r="AP489" t="b" cm="1">
        <f t="array" ref="AP489">INDEX($AU$8:$BB$25,6*(R489-1)+MATCH(AB489,$AS$8:$AS$13,0),MATCH(O489,$AU$7:$BB$7,0))</f>
        <v>1</v>
      </c>
    </row>
    <row r="490" spans="15:42" ht="14.25" x14ac:dyDescent="0.45">
      <c r="O490" s="43" t="s">
        <v>32</v>
      </c>
      <c r="P490" s="43">
        <v>3</v>
      </c>
      <c r="Q490" s="43">
        <v>6</v>
      </c>
      <c r="R490" s="43">
        <v>3</v>
      </c>
      <c r="S490" s="45"/>
      <c r="T490" t="b">
        <f>(S488+S489+S490)=Q4</f>
        <v>0</v>
      </c>
      <c r="X490" s="1">
        <f t="shared" si="44"/>
        <v>0</v>
      </c>
      <c r="Y490" s="48">
        <v>0</v>
      </c>
      <c r="AA490" s="1">
        <v>1</v>
      </c>
      <c r="AB490" s="1" t="s">
        <v>14</v>
      </c>
      <c r="AC490" s="1" t="s">
        <v>20</v>
      </c>
      <c r="AD490" s="1">
        <v>12</v>
      </c>
      <c r="AE490" s="1">
        <v>11</v>
      </c>
      <c r="AF490" s="1">
        <v>0.8</v>
      </c>
      <c r="AG490" s="1">
        <v>0.88</v>
      </c>
      <c r="AH490" s="1">
        <v>0</v>
      </c>
      <c r="AI490" s="1">
        <v>0</v>
      </c>
      <c r="AJ490" s="1">
        <f t="shared" si="40"/>
        <v>0</v>
      </c>
      <c r="AK490" s="1">
        <f>E47</f>
        <v>0</v>
      </c>
      <c r="AL490" s="1">
        <f>E53</f>
        <v>0</v>
      </c>
      <c r="AM490" s="1">
        <f t="shared" si="41"/>
        <v>0</v>
      </c>
      <c r="AN490" s="1">
        <f t="shared" si="42"/>
        <v>0</v>
      </c>
      <c r="AO490" s="1">
        <f t="shared" si="43"/>
        <v>0</v>
      </c>
      <c r="AP490" t="b" cm="1">
        <f t="array" ref="AP490">INDEX($AU$8:$BB$25,6*(R490-1)+MATCH(AB490,$AS$8:$AS$13,0),MATCH(O490,$AU$7:$BB$7,0))</f>
        <v>1</v>
      </c>
    </row>
    <row r="491" spans="15:42" ht="14.25" x14ac:dyDescent="0.45">
      <c r="O491" s="43" t="s">
        <v>32</v>
      </c>
      <c r="P491" s="43">
        <v>3</v>
      </c>
      <c r="Q491" s="43">
        <v>7</v>
      </c>
      <c r="R491" s="43">
        <v>1</v>
      </c>
      <c r="S491" s="45"/>
      <c r="T491" t="b">
        <f>(S491+S492+S493)=Q4</f>
        <v>0</v>
      </c>
      <c r="X491" s="1">
        <f t="shared" si="44"/>
        <v>0</v>
      </c>
      <c r="Y491" s="48">
        <v>0</v>
      </c>
      <c r="AA491" s="1">
        <v>3</v>
      </c>
      <c r="AB491" s="1" t="s">
        <v>13</v>
      </c>
      <c r="AC491" s="1" t="s">
        <v>19</v>
      </c>
      <c r="AD491" s="1">
        <v>24</v>
      </c>
      <c r="AE491" s="1">
        <v>21</v>
      </c>
      <c r="AF491" s="1">
        <v>0.8</v>
      </c>
      <c r="AG491" s="1">
        <v>0.86</v>
      </c>
      <c r="AH491" s="1">
        <v>0</v>
      </c>
      <c r="AI491" s="1">
        <v>0</v>
      </c>
      <c r="AJ491" s="1">
        <f t="shared" si="40"/>
        <v>0</v>
      </c>
      <c r="AK491" s="1">
        <f>C46</f>
        <v>0</v>
      </c>
      <c r="AL491" s="1">
        <f>C52</f>
        <v>0</v>
      </c>
      <c r="AM491" s="1">
        <f t="shared" si="41"/>
        <v>0</v>
      </c>
      <c r="AN491" s="1">
        <f t="shared" si="42"/>
        <v>0</v>
      </c>
      <c r="AO491" s="1">
        <f t="shared" si="43"/>
        <v>0</v>
      </c>
      <c r="AP491" t="b" cm="1">
        <f t="array" ref="AP491">INDEX($AU$8:$BB$25,6*(R491-1)+MATCH(AB491,$AS$8:$AS$13,0),MATCH(O491,$AU$7:$BB$7,0))</f>
        <v>1</v>
      </c>
    </row>
    <row r="492" spans="15:42" ht="14.25" x14ac:dyDescent="0.45">
      <c r="O492" s="43" t="s">
        <v>32</v>
      </c>
      <c r="P492" s="43">
        <v>3</v>
      </c>
      <c r="Q492" s="43">
        <v>7</v>
      </c>
      <c r="R492" s="43">
        <v>2</v>
      </c>
      <c r="S492" s="45"/>
      <c r="T492" t="b">
        <f>(S491+S492+S493)=Q4</f>
        <v>0</v>
      </c>
      <c r="X492" s="1">
        <f t="shared" si="44"/>
        <v>0</v>
      </c>
      <c r="Y492" s="48">
        <v>0</v>
      </c>
      <c r="AA492" s="1">
        <v>3</v>
      </c>
      <c r="AB492" s="1" t="s">
        <v>13</v>
      </c>
      <c r="AC492" s="1" t="s">
        <v>19</v>
      </c>
      <c r="AD492" s="1">
        <v>24</v>
      </c>
      <c r="AE492" s="1">
        <v>21</v>
      </c>
      <c r="AF492" s="1">
        <v>0.8</v>
      </c>
      <c r="AG492" s="1">
        <v>0.86</v>
      </c>
      <c r="AH492" s="1">
        <v>0</v>
      </c>
      <c r="AI492" s="1">
        <v>0</v>
      </c>
      <c r="AJ492" s="1">
        <f t="shared" si="40"/>
        <v>0</v>
      </c>
      <c r="AK492" s="1">
        <f>D46</f>
        <v>0</v>
      </c>
      <c r="AL492" s="1">
        <f>D52</f>
        <v>0</v>
      </c>
      <c r="AM492" s="1">
        <f t="shared" si="41"/>
        <v>0</v>
      </c>
      <c r="AN492" s="1">
        <f t="shared" si="42"/>
        <v>0</v>
      </c>
      <c r="AO492" s="1">
        <f t="shared" si="43"/>
        <v>0</v>
      </c>
      <c r="AP492" t="b" cm="1">
        <f t="array" ref="AP492">INDEX($AU$8:$BB$25,6*(R492-1)+MATCH(AB492,$AS$8:$AS$13,0),MATCH(O492,$AU$7:$BB$7,0))</f>
        <v>1</v>
      </c>
    </row>
    <row r="493" spans="15:42" ht="14.25" x14ac:dyDescent="0.45">
      <c r="O493" s="43" t="s">
        <v>32</v>
      </c>
      <c r="P493" s="43">
        <v>3</v>
      </c>
      <c r="Q493" s="43">
        <v>7</v>
      </c>
      <c r="R493" s="43">
        <v>3</v>
      </c>
      <c r="S493" s="45"/>
      <c r="T493" t="b">
        <f>(S491+S492+S493)=Q4</f>
        <v>0</v>
      </c>
      <c r="X493" s="1">
        <f t="shared" si="44"/>
        <v>0</v>
      </c>
      <c r="Y493" s="48">
        <v>0</v>
      </c>
      <c r="AA493" s="1">
        <v>3</v>
      </c>
      <c r="AB493" s="1" t="s">
        <v>13</v>
      </c>
      <c r="AC493" s="1" t="s">
        <v>19</v>
      </c>
      <c r="AD493" s="1">
        <v>24</v>
      </c>
      <c r="AE493" s="1">
        <v>21</v>
      </c>
      <c r="AF493" s="1">
        <v>0.8</v>
      </c>
      <c r="AG493" s="1">
        <v>0.86</v>
      </c>
      <c r="AH493" s="1">
        <v>0</v>
      </c>
      <c r="AI493" s="1">
        <v>0</v>
      </c>
      <c r="AJ493" s="1">
        <f t="shared" si="40"/>
        <v>0</v>
      </c>
      <c r="AK493" s="1">
        <f>E46</f>
        <v>0</v>
      </c>
      <c r="AL493" s="1">
        <f>E52</f>
        <v>0</v>
      </c>
      <c r="AM493" s="1">
        <f t="shared" si="41"/>
        <v>0</v>
      </c>
      <c r="AN493" s="1">
        <f t="shared" si="42"/>
        <v>0</v>
      </c>
      <c r="AO493" s="1">
        <f t="shared" si="43"/>
        <v>0</v>
      </c>
      <c r="AP493" t="b" cm="1">
        <f t="array" ref="AP493">INDEX($AU$8:$BB$25,6*(R493-1)+MATCH(AB493,$AS$8:$AS$13,0),MATCH(O493,$AU$7:$BB$7,0))</f>
        <v>1</v>
      </c>
    </row>
    <row r="494" spans="15:42" ht="14.25" x14ac:dyDescent="0.45">
      <c r="O494" s="43" t="s">
        <v>32</v>
      </c>
      <c r="P494" s="43">
        <v>3</v>
      </c>
      <c r="Q494" s="43">
        <v>8</v>
      </c>
      <c r="R494" s="43">
        <v>1</v>
      </c>
      <c r="S494" s="45"/>
      <c r="T494" t="b">
        <f>(S494+S495+S496)=Q4</f>
        <v>0</v>
      </c>
      <c r="X494" s="1">
        <f t="shared" si="44"/>
        <v>0</v>
      </c>
      <c r="Y494" s="48">
        <v>0</v>
      </c>
      <c r="AA494" s="1">
        <v>5</v>
      </c>
      <c r="AB494" s="1" t="s">
        <v>13</v>
      </c>
      <c r="AC494" s="1" t="s">
        <v>19</v>
      </c>
      <c r="AD494" s="1">
        <v>19</v>
      </c>
      <c r="AE494" s="1">
        <v>13</v>
      </c>
      <c r="AF494" s="1">
        <v>0.8</v>
      </c>
      <c r="AG494" s="1">
        <v>0.86</v>
      </c>
      <c r="AH494" s="1">
        <v>0</v>
      </c>
      <c r="AI494" s="1">
        <v>0</v>
      </c>
      <c r="AJ494" s="1">
        <f t="shared" si="40"/>
        <v>0</v>
      </c>
      <c r="AK494" s="1">
        <f>C46</f>
        <v>0</v>
      </c>
      <c r="AL494" s="1">
        <f>C52</f>
        <v>0</v>
      </c>
      <c r="AM494" s="1">
        <f t="shared" si="41"/>
        <v>0</v>
      </c>
      <c r="AN494" s="1">
        <f t="shared" si="42"/>
        <v>0</v>
      </c>
      <c r="AO494" s="1">
        <f t="shared" si="43"/>
        <v>0</v>
      </c>
      <c r="AP494" t="b" cm="1">
        <f t="array" ref="AP494">INDEX($AU$8:$BB$25,6*(R494-1)+MATCH(AB494,$AS$8:$AS$13,0),MATCH(O494,$AU$7:$BB$7,0))</f>
        <v>1</v>
      </c>
    </row>
    <row r="495" spans="15:42" ht="14.25" x14ac:dyDescent="0.45">
      <c r="O495" s="43" t="s">
        <v>32</v>
      </c>
      <c r="P495" s="43">
        <v>3</v>
      </c>
      <c r="Q495" s="43">
        <v>8</v>
      </c>
      <c r="R495" s="43">
        <v>2</v>
      </c>
      <c r="S495" s="45"/>
      <c r="T495" t="b">
        <f>(S494+S495+S496)=Q4</f>
        <v>0</v>
      </c>
      <c r="X495" s="1">
        <f t="shared" si="44"/>
        <v>0</v>
      </c>
      <c r="Y495" s="48">
        <v>0</v>
      </c>
      <c r="AA495" s="1">
        <v>5</v>
      </c>
      <c r="AB495" s="1" t="s">
        <v>13</v>
      </c>
      <c r="AC495" s="1" t="s">
        <v>19</v>
      </c>
      <c r="AD495" s="1">
        <v>19</v>
      </c>
      <c r="AE495" s="1">
        <v>13</v>
      </c>
      <c r="AF495" s="1">
        <v>0.8</v>
      </c>
      <c r="AG495" s="1">
        <v>0.86</v>
      </c>
      <c r="AH495" s="1">
        <v>0</v>
      </c>
      <c r="AI495" s="1">
        <v>0</v>
      </c>
      <c r="AJ495" s="1">
        <f t="shared" si="40"/>
        <v>0</v>
      </c>
      <c r="AK495" s="1">
        <f>D46</f>
        <v>0</v>
      </c>
      <c r="AL495" s="1">
        <f>D52</f>
        <v>0</v>
      </c>
      <c r="AM495" s="1">
        <f t="shared" si="41"/>
        <v>0</v>
      </c>
      <c r="AN495" s="1">
        <f t="shared" si="42"/>
        <v>0</v>
      </c>
      <c r="AO495" s="1">
        <f t="shared" si="43"/>
        <v>0</v>
      </c>
      <c r="AP495" t="b" cm="1">
        <f t="array" ref="AP495">INDEX($AU$8:$BB$25,6*(R495-1)+MATCH(AB495,$AS$8:$AS$13,0),MATCH(O495,$AU$7:$BB$7,0))</f>
        <v>1</v>
      </c>
    </row>
    <row r="496" spans="15:42" ht="14.25" x14ac:dyDescent="0.45">
      <c r="O496" s="43" t="s">
        <v>32</v>
      </c>
      <c r="P496" s="43">
        <v>3</v>
      </c>
      <c r="Q496" s="43">
        <v>8</v>
      </c>
      <c r="R496" s="43">
        <v>3</v>
      </c>
      <c r="S496" s="45"/>
      <c r="T496" t="b">
        <f>(S494+S495+S496)=Q4</f>
        <v>0</v>
      </c>
      <c r="X496" s="1">
        <f t="shared" si="44"/>
        <v>0</v>
      </c>
      <c r="Y496" s="48">
        <v>0</v>
      </c>
      <c r="AA496" s="1">
        <v>5</v>
      </c>
      <c r="AB496" s="1" t="s">
        <v>13</v>
      </c>
      <c r="AC496" s="1" t="s">
        <v>19</v>
      </c>
      <c r="AD496" s="1">
        <v>19</v>
      </c>
      <c r="AE496" s="1">
        <v>13</v>
      </c>
      <c r="AF496" s="1">
        <v>0.8</v>
      </c>
      <c r="AG496" s="1">
        <v>0.86</v>
      </c>
      <c r="AH496" s="1">
        <v>0</v>
      </c>
      <c r="AI496" s="1">
        <v>0</v>
      </c>
      <c r="AJ496" s="1">
        <f t="shared" si="40"/>
        <v>0</v>
      </c>
      <c r="AK496" s="1">
        <f>E46</f>
        <v>0</v>
      </c>
      <c r="AL496" s="1">
        <f>E52</f>
        <v>0</v>
      </c>
      <c r="AM496" s="1">
        <f t="shared" si="41"/>
        <v>0</v>
      </c>
      <c r="AN496" s="1">
        <f t="shared" si="42"/>
        <v>0</v>
      </c>
      <c r="AO496" s="1">
        <f t="shared" si="43"/>
        <v>0</v>
      </c>
      <c r="AP496" t="b" cm="1">
        <f t="array" ref="AP496">INDEX($AU$8:$BB$25,6*(R496-1)+MATCH(AB496,$AS$8:$AS$13,0),MATCH(O496,$AU$7:$BB$7,0))</f>
        <v>1</v>
      </c>
    </row>
    <row r="497" spans="15:42" ht="14.25" x14ac:dyDescent="0.45">
      <c r="O497" s="43" t="s">
        <v>32</v>
      </c>
      <c r="P497" s="43">
        <v>3</v>
      </c>
      <c r="Q497" s="43">
        <v>9</v>
      </c>
      <c r="R497" s="43">
        <v>1</v>
      </c>
      <c r="S497" s="45"/>
      <c r="T497" t="b">
        <f>(S497+S498+S499)=Q4</f>
        <v>0</v>
      </c>
      <c r="X497" s="1">
        <f t="shared" si="44"/>
        <v>0</v>
      </c>
      <c r="Y497" s="48">
        <v>0</v>
      </c>
      <c r="AA497" s="1">
        <v>3</v>
      </c>
      <c r="AB497" s="1" t="s">
        <v>14</v>
      </c>
      <c r="AC497" s="1" t="s">
        <v>20</v>
      </c>
      <c r="AD497" s="1">
        <v>15</v>
      </c>
      <c r="AE497" s="1">
        <v>13</v>
      </c>
      <c r="AF497" s="1">
        <v>0.8</v>
      </c>
      <c r="AG497" s="1">
        <v>0.88</v>
      </c>
      <c r="AH497" s="1">
        <v>0</v>
      </c>
      <c r="AI497" s="1">
        <v>0</v>
      </c>
      <c r="AJ497" s="1">
        <f t="shared" si="40"/>
        <v>0</v>
      </c>
      <c r="AK497" s="1">
        <f>C47</f>
        <v>0</v>
      </c>
      <c r="AL497" s="1">
        <f>C53</f>
        <v>0</v>
      </c>
      <c r="AM497" s="1">
        <f t="shared" si="41"/>
        <v>0</v>
      </c>
      <c r="AN497" s="1">
        <f t="shared" si="42"/>
        <v>0</v>
      </c>
      <c r="AO497" s="1">
        <f t="shared" si="43"/>
        <v>0</v>
      </c>
      <c r="AP497" t="b" cm="1">
        <f t="array" ref="AP497">INDEX($AU$8:$BB$25,6*(R497-1)+MATCH(AB497,$AS$8:$AS$13,0),MATCH(O497,$AU$7:$BB$7,0))</f>
        <v>1</v>
      </c>
    </row>
    <row r="498" spans="15:42" ht="14.25" x14ac:dyDescent="0.45">
      <c r="O498" s="43" t="s">
        <v>32</v>
      </c>
      <c r="P498" s="43">
        <v>3</v>
      </c>
      <c r="Q498" s="43">
        <v>9</v>
      </c>
      <c r="R498" s="43">
        <v>2</v>
      </c>
      <c r="S498" s="45"/>
      <c r="T498" t="b">
        <f>(S497+S498+S499)=Q4</f>
        <v>0</v>
      </c>
      <c r="X498" s="1">
        <f t="shared" si="44"/>
        <v>0</v>
      </c>
      <c r="Y498" s="48">
        <v>0</v>
      </c>
      <c r="AA498" s="1">
        <v>3</v>
      </c>
      <c r="AB498" s="1" t="s">
        <v>14</v>
      </c>
      <c r="AC498" s="1" t="s">
        <v>20</v>
      </c>
      <c r="AD498" s="1">
        <v>15</v>
      </c>
      <c r="AE498" s="1">
        <v>13</v>
      </c>
      <c r="AF498" s="1">
        <v>0.8</v>
      </c>
      <c r="AG498" s="1">
        <v>0.88</v>
      </c>
      <c r="AH498" s="1">
        <v>0</v>
      </c>
      <c r="AI498" s="1">
        <v>0</v>
      </c>
      <c r="AJ498" s="1">
        <f t="shared" si="40"/>
        <v>0</v>
      </c>
      <c r="AK498" s="1">
        <f>D47</f>
        <v>0</v>
      </c>
      <c r="AL498" s="1">
        <f>D53</f>
        <v>0</v>
      </c>
      <c r="AM498" s="1">
        <f t="shared" si="41"/>
        <v>0</v>
      </c>
      <c r="AN498" s="1">
        <f t="shared" si="42"/>
        <v>0</v>
      </c>
      <c r="AO498" s="1">
        <f t="shared" si="43"/>
        <v>0</v>
      </c>
      <c r="AP498" t="b" cm="1">
        <f t="array" ref="AP498">INDEX($AU$8:$BB$25,6*(R498-1)+MATCH(AB498,$AS$8:$AS$13,0),MATCH(O498,$AU$7:$BB$7,0))</f>
        <v>1</v>
      </c>
    </row>
    <row r="499" spans="15:42" ht="14.25" x14ac:dyDescent="0.45">
      <c r="O499" s="43" t="s">
        <v>32</v>
      </c>
      <c r="P499" s="43">
        <v>3</v>
      </c>
      <c r="Q499" s="43">
        <v>9</v>
      </c>
      <c r="R499" s="43">
        <v>3</v>
      </c>
      <c r="S499" s="45"/>
      <c r="T499" t="b">
        <f>(S497+S498+S499)=Q4</f>
        <v>0</v>
      </c>
      <c r="X499" s="1">
        <f t="shared" si="44"/>
        <v>0</v>
      </c>
      <c r="Y499" s="48">
        <v>0</v>
      </c>
      <c r="AA499" s="1">
        <v>3</v>
      </c>
      <c r="AB499" s="1" t="s">
        <v>14</v>
      </c>
      <c r="AC499" s="1" t="s">
        <v>20</v>
      </c>
      <c r="AD499" s="1">
        <v>15</v>
      </c>
      <c r="AE499" s="1">
        <v>13</v>
      </c>
      <c r="AF499" s="1">
        <v>0.8</v>
      </c>
      <c r="AG499" s="1">
        <v>0.88</v>
      </c>
      <c r="AH499" s="1">
        <v>0</v>
      </c>
      <c r="AI499" s="1">
        <v>0</v>
      </c>
      <c r="AJ499" s="1">
        <f t="shared" si="40"/>
        <v>0</v>
      </c>
      <c r="AK499" s="1">
        <f>E47</f>
        <v>0</v>
      </c>
      <c r="AL499" s="1">
        <f>E53</f>
        <v>0</v>
      </c>
      <c r="AM499" s="1">
        <f t="shared" si="41"/>
        <v>0</v>
      </c>
      <c r="AN499" s="1">
        <f t="shared" si="42"/>
        <v>0</v>
      </c>
      <c r="AO499" s="1">
        <f t="shared" si="43"/>
        <v>0</v>
      </c>
      <c r="AP499" t="b" cm="1">
        <f t="array" ref="AP499">INDEX($AU$8:$BB$25,6*(R499-1)+MATCH(AB499,$AS$8:$AS$13,0),MATCH(O499,$AU$7:$BB$7,0))</f>
        <v>1</v>
      </c>
    </row>
    <row r="500" spans="15:42" ht="14.25" x14ac:dyDescent="0.45">
      <c r="O500" s="43" t="s">
        <v>32</v>
      </c>
      <c r="P500" s="43">
        <v>3</v>
      </c>
      <c r="Q500" s="43">
        <v>10</v>
      </c>
      <c r="R500" s="43">
        <v>1</v>
      </c>
      <c r="S500" s="45"/>
      <c r="T500" t="b">
        <f>(S500+S501+S502)=Q4</f>
        <v>0</v>
      </c>
      <c r="X500" s="1">
        <f t="shared" si="44"/>
        <v>0</v>
      </c>
      <c r="Y500" s="48">
        <v>0</v>
      </c>
      <c r="AA500" s="1">
        <v>5</v>
      </c>
      <c r="AB500" s="1" t="s">
        <v>14</v>
      </c>
      <c r="AC500" s="1" t="s">
        <v>20</v>
      </c>
      <c r="AD500" s="1">
        <v>24</v>
      </c>
      <c r="AE500" s="1">
        <v>20</v>
      </c>
      <c r="AF500" s="1">
        <v>0.8</v>
      </c>
      <c r="AG500" s="1">
        <v>0.88</v>
      </c>
      <c r="AH500" s="1">
        <v>0</v>
      </c>
      <c r="AI500" s="1">
        <v>0</v>
      </c>
      <c r="AJ500" s="1">
        <f t="shared" si="40"/>
        <v>0</v>
      </c>
      <c r="AK500" s="1">
        <f>C47</f>
        <v>0</v>
      </c>
      <c r="AL500" s="1">
        <f>C53</f>
        <v>0</v>
      </c>
      <c r="AM500" s="1">
        <f t="shared" si="41"/>
        <v>0</v>
      </c>
      <c r="AN500" s="1">
        <f t="shared" si="42"/>
        <v>0</v>
      </c>
      <c r="AO500" s="1">
        <f t="shared" si="43"/>
        <v>0</v>
      </c>
      <c r="AP500" t="b" cm="1">
        <f t="array" ref="AP500">INDEX($AU$8:$BB$25,6*(R500-1)+MATCH(AB500,$AS$8:$AS$13,0),MATCH(O500,$AU$7:$BB$7,0))</f>
        <v>1</v>
      </c>
    </row>
    <row r="501" spans="15:42" ht="14.25" x14ac:dyDescent="0.45">
      <c r="O501" s="43" t="s">
        <v>32</v>
      </c>
      <c r="P501" s="43">
        <v>3</v>
      </c>
      <c r="Q501" s="43">
        <v>10</v>
      </c>
      <c r="R501" s="43">
        <v>2</v>
      </c>
      <c r="S501" s="45"/>
      <c r="T501" t="b">
        <f>(S500+S501+S502)=Q4</f>
        <v>0</v>
      </c>
      <c r="X501" s="1">
        <f t="shared" si="44"/>
        <v>0</v>
      </c>
      <c r="Y501" s="48">
        <v>0</v>
      </c>
      <c r="AA501" s="1">
        <v>5</v>
      </c>
      <c r="AB501" s="1" t="s">
        <v>14</v>
      </c>
      <c r="AC501" s="1" t="s">
        <v>20</v>
      </c>
      <c r="AD501" s="1">
        <v>24</v>
      </c>
      <c r="AE501" s="1">
        <v>20</v>
      </c>
      <c r="AF501" s="1">
        <v>0.8</v>
      </c>
      <c r="AG501" s="1">
        <v>0.88</v>
      </c>
      <c r="AH501" s="1">
        <v>0</v>
      </c>
      <c r="AI501" s="1">
        <v>0</v>
      </c>
      <c r="AJ501" s="1">
        <f t="shared" si="40"/>
        <v>0</v>
      </c>
      <c r="AK501" s="1">
        <f>D47</f>
        <v>0</v>
      </c>
      <c r="AL501" s="1">
        <f>D53</f>
        <v>0</v>
      </c>
      <c r="AM501" s="1">
        <f t="shared" si="41"/>
        <v>0</v>
      </c>
      <c r="AN501" s="1">
        <f t="shared" si="42"/>
        <v>0</v>
      </c>
      <c r="AO501" s="1">
        <f t="shared" si="43"/>
        <v>0</v>
      </c>
      <c r="AP501" t="b" cm="1">
        <f t="array" ref="AP501">INDEX($AU$8:$BB$25,6*(R501-1)+MATCH(AB501,$AS$8:$AS$13,0),MATCH(O501,$AU$7:$BB$7,0))</f>
        <v>1</v>
      </c>
    </row>
    <row r="502" spans="15:42" ht="14.25" x14ac:dyDescent="0.45">
      <c r="O502" s="43" t="s">
        <v>32</v>
      </c>
      <c r="P502" s="43">
        <v>3</v>
      </c>
      <c r="Q502" s="43">
        <v>10</v>
      </c>
      <c r="R502" s="43">
        <v>3</v>
      </c>
      <c r="S502" s="45"/>
      <c r="T502" t="b">
        <f>(S500+S501+S502)=Q4</f>
        <v>0</v>
      </c>
      <c r="X502" s="1">
        <f t="shared" si="44"/>
        <v>0</v>
      </c>
      <c r="Y502" s="48">
        <v>0</v>
      </c>
      <c r="AA502" s="1">
        <v>5</v>
      </c>
      <c r="AB502" s="1" t="s">
        <v>14</v>
      </c>
      <c r="AC502" s="1" t="s">
        <v>20</v>
      </c>
      <c r="AD502" s="1">
        <v>24</v>
      </c>
      <c r="AE502" s="1">
        <v>20</v>
      </c>
      <c r="AF502" s="1">
        <v>0.8</v>
      </c>
      <c r="AG502" s="1">
        <v>0.88</v>
      </c>
      <c r="AH502" s="1">
        <v>0</v>
      </c>
      <c r="AI502" s="1">
        <v>0</v>
      </c>
      <c r="AJ502" s="1">
        <f t="shared" si="40"/>
        <v>0</v>
      </c>
      <c r="AK502" s="1">
        <f>E47</f>
        <v>0</v>
      </c>
      <c r="AL502" s="1">
        <f>E53</f>
        <v>0</v>
      </c>
      <c r="AM502" s="1">
        <f t="shared" si="41"/>
        <v>0</v>
      </c>
      <c r="AN502" s="1">
        <f t="shared" si="42"/>
        <v>0</v>
      </c>
      <c r="AO502" s="1">
        <f t="shared" si="43"/>
        <v>0</v>
      </c>
      <c r="AP502" t="b" cm="1">
        <f t="array" ref="AP502">INDEX($AU$8:$BB$25,6*(R502-1)+MATCH(AB502,$AS$8:$AS$13,0),MATCH(O502,$AU$7:$BB$7,0))</f>
        <v>1</v>
      </c>
    </row>
    <row r="503" spans="15:42" ht="14.25" x14ac:dyDescent="0.45">
      <c r="O503" s="43" t="s">
        <v>32</v>
      </c>
      <c r="P503" s="43">
        <v>3</v>
      </c>
      <c r="Q503" s="43">
        <v>11</v>
      </c>
      <c r="R503" s="43">
        <v>1</v>
      </c>
      <c r="S503" s="45"/>
      <c r="T503" t="b">
        <f>(S503+S504+S505)=Q4</f>
        <v>0</v>
      </c>
      <c r="X503" s="1">
        <f t="shared" si="44"/>
        <v>0</v>
      </c>
      <c r="Y503" s="48">
        <v>0</v>
      </c>
      <c r="AA503" s="1">
        <v>3</v>
      </c>
      <c r="AB503" s="1" t="s">
        <v>15</v>
      </c>
      <c r="AC503" s="1" t="s">
        <v>21</v>
      </c>
      <c r="AD503" s="1">
        <v>17</v>
      </c>
      <c r="AE503" s="1">
        <v>15</v>
      </c>
      <c r="AF503" s="1">
        <v>0.76</v>
      </c>
      <c r="AG503" s="1">
        <v>0.84</v>
      </c>
      <c r="AH503" s="1">
        <v>0</v>
      </c>
      <c r="AI503" s="1">
        <v>0</v>
      </c>
      <c r="AJ503" s="1">
        <f t="shared" si="40"/>
        <v>0</v>
      </c>
      <c r="AK503" s="1">
        <f>C48</f>
        <v>0</v>
      </c>
      <c r="AL503" s="1">
        <f>C54</f>
        <v>0</v>
      </c>
      <c r="AM503" s="1">
        <f t="shared" si="41"/>
        <v>0</v>
      </c>
      <c r="AN503" s="1">
        <f t="shared" si="42"/>
        <v>0</v>
      </c>
      <c r="AO503" s="1">
        <f t="shared" si="43"/>
        <v>0</v>
      </c>
      <c r="AP503" t="b" cm="1">
        <f t="array" ref="AP503">INDEX($AU$8:$BB$25,6*(R503-1)+MATCH(AB503,$AS$8:$AS$13,0),MATCH(O503,$AU$7:$BB$7,0))</f>
        <v>1</v>
      </c>
    </row>
    <row r="504" spans="15:42" ht="14.25" x14ac:dyDescent="0.45">
      <c r="O504" s="43" t="s">
        <v>32</v>
      </c>
      <c r="P504" s="43">
        <v>3</v>
      </c>
      <c r="Q504" s="43">
        <v>11</v>
      </c>
      <c r="R504" s="43">
        <v>2</v>
      </c>
      <c r="S504" s="45"/>
      <c r="T504" t="b">
        <f>(S503+S504+S505)=Q4</f>
        <v>0</v>
      </c>
      <c r="X504" s="1">
        <f t="shared" si="44"/>
        <v>0</v>
      </c>
      <c r="Y504" s="48">
        <v>0</v>
      </c>
      <c r="AA504" s="1">
        <v>3</v>
      </c>
      <c r="AB504" s="1" t="s">
        <v>15</v>
      </c>
      <c r="AC504" s="1" t="s">
        <v>21</v>
      </c>
      <c r="AD504" s="1">
        <v>17</v>
      </c>
      <c r="AE504" s="1">
        <v>15</v>
      </c>
      <c r="AF504" s="1">
        <v>0.76</v>
      </c>
      <c r="AG504" s="1">
        <v>0.84</v>
      </c>
      <c r="AH504" s="1">
        <v>0</v>
      </c>
      <c r="AI504" s="1">
        <v>0</v>
      </c>
      <c r="AJ504" s="1">
        <f t="shared" si="40"/>
        <v>0</v>
      </c>
      <c r="AK504" s="1">
        <f>D48</f>
        <v>0</v>
      </c>
      <c r="AL504" s="1">
        <f>D54</f>
        <v>0</v>
      </c>
      <c r="AM504" s="1">
        <f t="shared" si="41"/>
        <v>0</v>
      </c>
      <c r="AN504" s="1">
        <f t="shared" si="42"/>
        <v>0</v>
      </c>
      <c r="AO504" s="1">
        <f t="shared" si="43"/>
        <v>0</v>
      </c>
      <c r="AP504" t="b" cm="1">
        <f t="array" ref="AP504">INDEX($AU$8:$BB$25,6*(R504-1)+MATCH(AB504,$AS$8:$AS$13,0),MATCH(O504,$AU$7:$BB$7,0))</f>
        <v>1</v>
      </c>
    </row>
    <row r="505" spans="15:42" ht="14.25" x14ac:dyDescent="0.45">
      <c r="O505" s="43" t="s">
        <v>32</v>
      </c>
      <c r="P505" s="43">
        <v>3</v>
      </c>
      <c r="Q505" s="43">
        <v>11</v>
      </c>
      <c r="R505" s="43">
        <v>3</v>
      </c>
      <c r="S505" s="45"/>
      <c r="T505" t="b">
        <f>(S503+S504+S505)=Q4</f>
        <v>0</v>
      </c>
      <c r="X505" s="1">
        <f t="shared" si="44"/>
        <v>0</v>
      </c>
      <c r="Y505" s="48">
        <v>0</v>
      </c>
      <c r="AA505" s="1">
        <v>3</v>
      </c>
      <c r="AB505" s="1" t="s">
        <v>15</v>
      </c>
      <c r="AC505" s="1" t="s">
        <v>21</v>
      </c>
      <c r="AD505" s="1">
        <v>17</v>
      </c>
      <c r="AE505" s="1">
        <v>15</v>
      </c>
      <c r="AF505" s="1">
        <v>0.76</v>
      </c>
      <c r="AG505" s="1">
        <v>0.84</v>
      </c>
      <c r="AH505" s="1">
        <v>0</v>
      </c>
      <c r="AI505" s="1">
        <v>0</v>
      </c>
      <c r="AJ505" s="1">
        <f t="shared" si="40"/>
        <v>0</v>
      </c>
      <c r="AK505" s="1">
        <f>E48</f>
        <v>0</v>
      </c>
      <c r="AL505" s="1">
        <f>E54</f>
        <v>0</v>
      </c>
      <c r="AM505" s="1">
        <f t="shared" si="41"/>
        <v>0</v>
      </c>
      <c r="AN505" s="1">
        <f t="shared" si="42"/>
        <v>0</v>
      </c>
      <c r="AO505" s="1">
        <f t="shared" si="43"/>
        <v>0</v>
      </c>
      <c r="AP505" t="b" cm="1">
        <f t="array" ref="AP505">INDEX($AU$8:$BB$25,6*(R505-1)+MATCH(AB505,$AS$8:$AS$13,0),MATCH(O505,$AU$7:$BB$7,0))</f>
        <v>1</v>
      </c>
    </row>
    <row r="506" spans="15:42" ht="14.25" x14ac:dyDescent="0.45">
      <c r="O506" s="43" t="s">
        <v>32</v>
      </c>
      <c r="P506" s="43">
        <v>3</v>
      </c>
      <c r="Q506" s="43">
        <v>12</v>
      </c>
      <c r="R506" s="43">
        <v>1</v>
      </c>
      <c r="S506" s="45"/>
      <c r="T506" t="b">
        <f>(S506+S507+S508)=Q4</f>
        <v>0</v>
      </c>
      <c r="X506" s="1">
        <f t="shared" si="44"/>
        <v>0</v>
      </c>
      <c r="Y506" s="48">
        <v>0</v>
      </c>
      <c r="AA506" s="1">
        <v>10</v>
      </c>
      <c r="AB506" s="1" t="s">
        <v>15</v>
      </c>
      <c r="AC506" s="1" t="s">
        <v>21</v>
      </c>
      <c r="AD506" s="1">
        <v>18</v>
      </c>
      <c r="AE506" s="1">
        <v>13</v>
      </c>
      <c r="AF506" s="1">
        <v>0.76</v>
      </c>
      <c r="AG506" s="1">
        <v>0.84</v>
      </c>
      <c r="AH506" s="1">
        <v>0</v>
      </c>
      <c r="AI506" s="1">
        <v>0</v>
      </c>
      <c r="AJ506" s="1">
        <f t="shared" si="40"/>
        <v>0</v>
      </c>
      <c r="AK506" s="1">
        <f>C48</f>
        <v>0</v>
      </c>
      <c r="AL506" s="1">
        <f>C54</f>
        <v>0</v>
      </c>
      <c r="AM506" s="1">
        <f t="shared" si="41"/>
        <v>0</v>
      </c>
      <c r="AN506" s="1">
        <f t="shared" si="42"/>
        <v>0</v>
      </c>
      <c r="AO506" s="1">
        <f t="shared" si="43"/>
        <v>0</v>
      </c>
      <c r="AP506" t="b" cm="1">
        <f t="array" ref="AP506">INDEX($AU$8:$BB$25,6*(R506-1)+MATCH(AB506,$AS$8:$AS$13,0),MATCH(O506,$AU$7:$BB$7,0))</f>
        <v>1</v>
      </c>
    </row>
    <row r="507" spans="15:42" ht="14.25" x14ac:dyDescent="0.45">
      <c r="O507" s="43" t="s">
        <v>32</v>
      </c>
      <c r="P507" s="43">
        <v>3</v>
      </c>
      <c r="Q507" s="43">
        <v>12</v>
      </c>
      <c r="R507" s="43">
        <v>2</v>
      </c>
      <c r="S507" s="45"/>
      <c r="T507" t="b">
        <f>(S506+S507+S508)=Q4</f>
        <v>0</v>
      </c>
      <c r="X507" s="1">
        <f t="shared" si="44"/>
        <v>0</v>
      </c>
      <c r="Y507" s="48">
        <v>0</v>
      </c>
      <c r="AA507" s="1">
        <v>10</v>
      </c>
      <c r="AB507" s="1" t="s">
        <v>15</v>
      </c>
      <c r="AC507" s="1" t="s">
        <v>21</v>
      </c>
      <c r="AD507" s="1">
        <v>18</v>
      </c>
      <c r="AE507" s="1">
        <v>13</v>
      </c>
      <c r="AF507" s="1">
        <v>0.76</v>
      </c>
      <c r="AG507" s="1">
        <v>0.84</v>
      </c>
      <c r="AH507" s="1">
        <v>0</v>
      </c>
      <c r="AI507" s="1">
        <v>0</v>
      </c>
      <c r="AJ507" s="1">
        <f t="shared" si="40"/>
        <v>0</v>
      </c>
      <c r="AK507" s="1">
        <f>D48</f>
        <v>0</v>
      </c>
      <c r="AL507" s="1">
        <f>D54</f>
        <v>0</v>
      </c>
      <c r="AM507" s="1">
        <f t="shared" si="41"/>
        <v>0</v>
      </c>
      <c r="AN507" s="1">
        <f t="shared" si="42"/>
        <v>0</v>
      </c>
      <c r="AO507" s="1">
        <f t="shared" si="43"/>
        <v>0</v>
      </c>
      <c r="AP507" t="b" cm="1">
        <f t="array" ref="AP507">INDEX($AU$8:$BB$25,6*(R507-1)+MATCH(AB507,$AS$8:$AS$13,0),MATCH(O507,$AU$7:$BB$7,0))</f>
        <v>1</v>
      </c>
    </row>
    <row r="508" spans="15:42" ht="14.25" x14ac:dyDescent="0.45">
      <c r="O508" s="43" t="s">
        <v>32</v>
      </c>
      <c r="P508" s="43">
        <v>3</v>
      </c>
      <c r="Q508" s="43">
        <v>12</v>
      </c>
      <c r="R508" s="43">
        <v>3</v>
      </c>
      <c r="S508" s="45"/>
      <c r="T508" t="b">
        <f>(S506+S507+S508)=Q4</f>
        <v>0</v>
      </c>
      <c r="X508" s="1">
        <f t="shared" si="44"/>
        <v>0</v>
      </c>
      <c r="Y508" s="48">
        <v>0</v>
      </c>
      <c r="AA508" s="1">
        <v>10</v>
      </c>
      <c r="AB508" s="1" t="s">
        <v>15</v>
      </c>
      <c r="AC508" s="1" t="s">
        <v>21</v>
      </c>
      <c r="AD508" s="1">
        <v>18</v>
      </c>
      <c r="AE508" s="1">
        <v>13</v>
      </c>
      <c r="AF508" s="1">
        <v>0.76</v>
      </c>
      <c r="AG508" s="1">
        <v>0.84</v>
      </c>
      <c r="AH508" s="1">
        <v>0</v>
      </c>
      <c r="AI508" s="1">
        <v>0</v>
      </c>
      <c r="AJ508" s="1">
        <f t="shared" si="40"/>
        <v>0</v>
      </c>
      <c r="AK508" s="1">
        <f>E48</f>
        <v>0</v>
      </c>
      <c r="AL508" s="1">
        <f>E54</f>
        <v>0</v>
      </c>
      <c r="AM508" s="1">
        <f t="shared" si="41"/>
        <v>0</v>
      </c>
      <c r="AN508" s="1">
        <f t="shared" si="42"/>
        <v>0</v>
      </c>
      <c r="AO508" s="1">
        <f t="shared" si="43"/>
        <v>0</v>
      </c>
      <c r="AP508" t="b" cm="1">
        <f t="array" ref="AP508">INDEX($AU$8:$BB$25,6*(R508-1)+MATCH(AB508,$AS$8:$AS$13,0),MATCH(O508,$AU$7:$BB$7,0))</f>
        <v>1</v>
      </c>
    </row>
    <row r="509" spans="15:42" ht="14.25" x14ac:dyDescent="0.45">
      <c r="O509" s="43" t="s">
        <v>32</v>
      </c>
      <c r="P509" s="43">
        <v>3</v>
      </c>
      <c r="Q509" s="43">
        <v>13</v>
      </c>
      <c r="R509" s="43">
        <v>1</v>
      </c>
      <c r="S509" s="45"/>
      <c r="T509" t="b">
        <f>(S509+S510+S511)=Q4</f>
        <v>0</v>
      </c>
      <c r="X509" s="1">
        <f t="shared" si="44"/>
        <v>0</v>
      </c>
      <c r="Y509" s="48">
        <v>0</v>
      </c>
      <c r="AA509" s="1">
        <v>2</v>
      </c>
      <c r="AB509" s="1" t="s">
        <v>16</v>
      </c>
      <c r="AC509" s="1" t="s">
        <v>22</v>
      </c>
      <c r="AD509" s="1">
        <v>20</v>
      </c>
      <c r="AE509" s="1">
        <v>18</v>
      </c>
      <c r="AF509" s="1">
        <v>0.8</v>
      </c>
      <c r="AG509" s="1">
        <v>0.9</v>
      </c>
      <c r="AH509" s="1">
        <v>0</v>
      </c>
      <c r="AI509" s="1">
        <v>0</v>
      </c>
      <c r="AJ509" s="1">
        <f t="shared" si="40"/>
        <v>0</v>
      </c>
      <c r="AK509" s="1">
        <f>C49</f>
        <v>0</v>
      </c>
      <c r="AL509" s="1">
        <f>C55</f>
        <v>0</v>
      </c>
      <c r="AM509" s="1">
        <f t="shared" si="41"/>
        <v>0</v>
      </c>
      <c r="AN509" s="1">
        <f t="shared" si="42"/>
        <v>0</v>
      </c>
      <c r="AO509" s="1">
        <f t="shared" si="43"/>
        <v>0</v>
      </c>
      <c r="AP509" t="b" cm="1">
        <f t="array" ref="AP509">INDEX($AU$8:$BB$25,6*(R509-1)+MATCH(AB509,$AS$8:$AS$13,0),MATCH(O509,$AU$7:$BB$7,0))</f>
        <v>1</v>
      </c>
    </row>
    <row r="510" spans="15:42" ht="14.25" x14ac:dyDescent="0.45">
      <c r="O510" s="43" t="s">
        <v>32</v>
      </c>
      <c r="P510" s="43">
        <v>3</v>
      </c>
      <c r="Q510" s="43">
        <v>13</v>
      </c>
      <c r="R510" s="43">
        <v>2</v>
      </c>
      <c r="S510" s="45"/>
      <c r="T510" t="b">
        <f>(S509+S510+S511)=Q4</f>
        <v>0</v>
      </c>
      <c r="X510" s="1">
        <f t="shared" si="44"/>
        <v>0</v>
      </c>
      <c r="Y510" s="48">
        <v>0</v>
      </c>
      <c r="AA510" s="1">
        <v>2</v>
      </c>
      <c r="AB510" s="1" t="s">
        <v>16</v>
      </c>
      <c r="AC510" s="1" t="s">
        <v>22</v>
      </c>
      <c r="AD510" s="1">
        <v>20</v>
      </c>
      <c r="AE510" s="1">
        <v>18</v>
      </c>
      <c r="AF510" s="1">
        <v>0.8</v>
      </c>
      <c r="AG510" s="1">
        <v>0.9</v>
      </c>
      <c r="AH510" s="1">
        <v>0</v>
      </c>
      <c r="AI510" s="1">
        <v>0</v>
      </c>
      <c r="AJ510" s="1">
        <f t="shared" si="40"/>
        <v>0</v>
      </c>
      <c r="AK510" s="1">
        <f>D49</f>
        <v>0</v>
      </c>
      <c r="AL510" s="1">
        <f>D55</f>
        <v>0</v>
      </c>
      <c r="AM510" s="1">
        <f t="shared" si="41"/>
        <v>0</v>
      </c>
      <c r="AN510" s="1">
        <f t="shared" si="42"/>
        <v>0</v>
      </c>
      <c r="AO510" s="1">
        <f t="shared" si="43"/>
        <v>0</v>
      </c>
      <c r="AP510" t="b" cm="1">
        <f t="array" ref="AP510">INDEX($AU$8:$BB$25,6*(R510-1)+MATCH(AB510,$AS$8:$AS$13,0),MATCH(O510,$AU$7:$BB$7,0))</f>
        <v>1</v>
      </c>
    </row>
    <row r="511" spans="15:42" ht="14.25" x14ac:dyDescent="0.45">
      <c r="O511" s="43" t="s">
        <v>32</v>
      </c>
      <c r="P511" s="43">
        <v>3</v>
      </c>
      <c r="Q511" s="43">
        <v>13</v>
      </c>
      <c r="R511" s="43">
        <v>3</v>
      </c>
      <c r="S511" s="45"/>
      <c r="T511" t="b">
        <f>(S509+S510+S511)=Q4</f>
        <v>0</v>
      </c>
      <c r="X511" s="1">
        <f t="shared" si="44"/>
        <v>0</v>
      </c>
      <c r="Y511" s="48">
        <v>0</v>
      </c>
      <c r="AA511" s="1">
        <v>2</v>
      </c>
      <c r="AB511" s="1" t="s">
        <v>16</v>
      </c>
      <c r="AC511" s="1" t="s">
        <v>22</v>
      </c>
      <c r="AD511" s="1">
        <v>20</v>
      </c>
      <c r="AE511" s="1">
        <v>18</v>
      </c>
      <c r="AF511" s="1">
        <v>0.8</v>
      </c>
      <c r="AG511" s="1">
        <v>0.9</v>
      </c>
      <c r="AH511" s="1">
        <v>0</v>
      </c>
      <c r="AI511" s="1">
        <v>0</v>
      </c>
      <c r="AJ511" s="1">
        <f t="shared" si="40"/>
        <v>0</v>
      </c>
      <c r="AK511" s="1">
        <f>E49</f>
        <v>0</v>
      </c>
      <c r="AL511" s="1">
        <f>E55</f>
        <v>0</v>
      </c>
      <c r="AM511" s="1">
        <f t="shared" si="41"/>
        <v>0</v>
      </c>
      <c r="AN511" s="1">
        <f t="shared" si="42"/>
        <v>0</v>
      </c>
      <c r="AO511" s="1">
        <f t="shared" si="43"/>
        <v>0</v>
      </c>
      <c r="AP511" t="b" cm="1">
        <f t="array" ref="AP511">INDEX($AU$8:$BB$25,6*(R511-1)+MATCH(AB511,$AS$8:$AS$13,0),MATCH(O511,$AU$7:$BB$7,0))</f>
        <v>1</v>
      </c>
    </row>
    <row r="512" spans="15:42" ht="14.25" x14ac:dyDescent="0.45">
      <c r="O512" s="43" t="s">
        <v>32</v>
      </c>
      <c r="P512" s="43">
        <v>3</v>
      </c>
      <c r="Q512" s="43">
        <v>14</v>
      </c>
      <c r="R512" s="43">
        <v>1</v>
      </c>
      <c r="S512" s="45"/>
      <c r="T512" t="b">
        <f>(S512+S513+S514)=Q4</f>
        <v>0</v>
      </c>
      <c r="X512" s="1">
        <f t="shared" si="44"/>
        <v>0</v>
      </c>
      <c r="Y512" s="48">
        <v>0</v>
      </c>
      <c r="AA512" s="1">
        <v>2</v>
      </c>
      <c r="AB512" s="1" t="s">
        <v>13</v>
      </c>
      <c r="AC512" s="1" t="s">
        <v>19</v>
      </c>
      <c r="AD512" s="1">
        <v>12</v>
      </c>
      <c r="AE512" s="1">
        <v>11</v>
      </c>
      <c r="AF512" s="1">
        <v>0.8</v>
      </c>
      <c r="AG512" s="1">
        <v>0.86</v>
      </c>
      <c r="AH512" s="1">
        <v>0</v>
      </c>
      <c r="AI512" s="1">
        <v>0</v>
      </c>
      <c r="AJ512" s="1">
        <f t="shared" si="40"/>
        <v>0</v>
      </c>
      <c r="AK512" s="1">
        <f>C46</f>
        <v>0</v>
      </c>
      <c r="AL512" s="1">
        <f>C52</f>
        <v>0</v>
      </c>
      <c r="AM512" s="1">
        <f t="shared" si="41"/>
        <v>0</v>
      </c>
      <c r="AN512" s="1">
        <f t="shared" si="42"/>
        <v>0</v>
      </c>
      <c r="AO512" s="1">
        <f t="shared" si="43"/>
        <v>0</v>
      </c>
      <c r="AP512" t="b" cm="1">
        <f t="array" ref="AP512">INDEX($AU$8:$BB$25,6*(R512-1)+MATCH(AB512,$AS$8:$AS$13,0),MATCH(O512,$AU$7:$BB$7,0))</f>
        <v>1</v>
      </c>
    </row>
    <row r="513" spans="15:42" ht="14.25" x14ac:dyDescent="0.45">
      <c r="O513" s="43" t="s">
        <v>32</v>
      </c>
      <c r="P513" s="43">
        <v>3</v>
      </c>
      <c r="Q513" s="43">
        <v>14</v>
      </c>
      <c r="R513" s="43">
        <v>2</v>
      </c>
      <c r="S513" s="45"/>
      <c r="T513" t="b">
        <f>(S512+S513+S514)=Q4</f>
        <v>0</v>
      </c>
      <c r="X513" s="1">
        <f t="shared" si="44"/>
        <v>0</v>
      </c>
      <c r="Y513" s="48">
        <v>0</v>
      </c>
      <c r="AA513" s="1">
        <v>2</v>
      </c>
      <c r="AB513" s="1" t="s">
        <v>13</v>
      </c>
      <c r="AC513" s="1" t="s">
        <v>19</v>
      </c>
      <c r="AD513" s="1">
        <v>12</v>
      </c>
      <c r="AE513" s="1">
        <v>11</v>
      </c>
      <c r="AF513" s="1">
        <v>0.8</v>
      </c>
      <c r="AG513" s="1">
        <v>0.86</v>
      </c>
      <c r="AH513" s="1">
        <v>0</v>
      </c>
      <c r="AI513" s="1">
        <v>0</v>
      </c>
      <c r="AJ513" s="1">
        <f t="shared" si="40"/>
        <v>0</v>
      </c>
      <c r="AK513" s="1">
        <f>D46</f>
        <v>0</v>
      </c>
      <c r="AL513" s="1">
        <f>D52</f>
        <v>0</v>
      </c>
      <c r="AM513" s="1">
        <f t="shared" si="41"/>
        <v>0</v>
      </c>
      <c r="AN513" s="1">
        <f t="shared" si="42"/>
        <v>0</v>
      </c>
      <c r="AO513" s="1">
        <f t="shared" si="43"/>
        <v>0</v>
      </c>
      <c r="AP513" t="b" cm="1">
        <f t="array" ref="AP513">INDEX($AU$8:$BB$25,6*(R513-1)+MATCH(AB513,$AS$8:$AS$13,0),MATCH(O513,$AU$7:$BB$7,0))</f>
        <v>1</v>
      </c>
    </row>
    <row r="514" spans="15:42" ht="14.25" x14ac:dyDescent="0.45">
      <c r="O514" s="43" t="s">
        <v>32</v>
      </c>
      <c r="P514" s="43">
        <v>3</v>
      </c>
      <c r="Q514" s="43">
        <v>14</v>
      </c>
      <c r="R514" s="43">
        <v>3</v>
      </c>
      <c r="S514" s="45"/>
      <c r="T514" t="b">
        <f>(S512+S513+S514)=Q4</f>
        <v>0</v>
      </c>
      <c r="X514" s="1">
        <f t="shared" si="44"/>
        <v>0</v>
      </c>
      <c r="Y514" s="48">
        <v>0</v>
      </c>
      <c r="AA514" s="1">
        <v>2</v>
      </c>
      <c r="AB514" s="1" t="s">
        <v>13</v>
      </c>
      <c r="AC514" s="1" t="s">
        <v>19</v>
      </c>
      <c r="AD514" s="1">
        <v>12</v>
      </c>
      <c r="AE514" s="1">
        <v>11</v>
      </c>
      <c r="AF514" s="1">
        <v>0.8</v>
      </c>
      <c r="AG514" s="1">
        <v>0.86</v>
      </c>
      <c r="AH514" s="1">
        <v>0</v>
      </c>
      <c r="AI514" s="1">
        <v>0</v>
      </c>
      <c r="AJ514" s="1">
        <f t="shared" si="40"/>
        <v>0</v>
      </c>
      <c r="AK514" s="1">
        <f>E46</f>
        <v>0</v>
      </c>
      <c r="AL514" s="1">
        <f>E52</f>
        <v>0</v>
      </c>
      <c r="AM514" s="1">
        <f t="shared" si="41"/>
        <v>0</v>
      </c>
      <c r="AN514" s="1">
        <f t="shared" si="42"/>
        <v>0</v>
      </c>
      <c r="AO514" s="1">
        <f t="shared" si="43"/>
        <v>0</v>
      </c>
      <c r="AP514" t="b" cm="1">
        <f t="array" ref="AP514">INDEX($AU$8:$BB$25,6*(R514-1)+MATCH(AB514,$AS$8:$AS$13,0),MATCH(O514,$AU$7:$BB$7,0))</f>
        <v>1</v>
      </c>
    </row>
    <row r="515" spans="15:42" ht="14.25" x14ac:dyDescent="0.45">
      <c r="O515" s="43" t="s">
        <v>32</v>
      </c>
      <c r="P515" s="43">
        <v>3</v>
      </c>
      <c r="Q515" s="43">
        <v>15</v>
      </c>
      <c r="R515" s="43">
        <v>1</v>
      </c>
      <c r="S515" s="45"/>
      <c r="T515" t="b">
        <f>(S515+S516+S517)=Q4</f>
        <v>0</v>
      </c>
      <c r="X515" s="1">
        <f t="shared" si="44"/>
        <v>0</v>
      </c>
      <c r="Y515" s="48">
        <v>0</v>
      </c>
      <c r="AA515" s="1">
        <v>2</v>
      </c>
      <c r="AB515" s="1" t="s">
        <v>14</v>
      </c>
      <c r="AC515" s="1" t="s">
        <v>20</v>
      </c>
      <c r="AD515" s="1">
        <v>11</v>
      </c>
      <c r="AE515" s="1">
        <v>10</v>
      </c>
      <c r="AF515" s="1">
        <v>0.8</v>
      </c>
      <c r="AG515" s="1">
        <v>0.88</v>
      </c>
      <c r="AH515" s="1">
        <v>0</v>
      </c>
      <c r="AI515" s="1">
        <v>0</v>
      </c>
      <c r="AJ515" s="1">
        <f t="shared" si="40"/>
        <v>0</v>
      </c>
      <c r="AK515" s="1">
        <f>C47</f>
        <v>0</v>
      </c>
      <c r="AL515" s="1">
        <f>C53</f>
        <v>0</v>
      </c>
      <c r="AM515" s="1">
        <f t="shared" si="41"/>
        <v>0</v>
      </c>
      <c r="AN515" s="1">
        <f t="shared" si="42"/>
        <v>0</v>
      </c>
      <c r="AO515" s="1">
        <f t="shared" si="43"/>
        <v>0</v>
      </c>
      <c r="AP515" t="b" cm="1">
        <f t="array" ref="AP515">INDEX($AU$8:$BB$25,6*(R515-1)+MATCH(AB515,$AS$8:$AS$13,0),MATCH(O515,$AU$7:$BB$7,0))</f>
        <v>1</v>
      </c>
    </row>
    <row r="516" spans="15:42" ht="14.25" x14ac:dyDescent="0.45">
      <c r="O516" s="43" t="s">
        <v>32</v>
      </c>
      <c r="P516" s="43">
        <v>3</v>
      </c>
      <c r="Q516" s="43">
        <v>15</v>
      </c>
      <c r="R516" s="43">
        <v>2</v>
      </c>
      <c r="S516" s="45"/>
      <c r="T516" t="b">
        <f>(S515+S516+S517)=Q4</f>
        <v>0</v>
      </c>
      <c r="X516" s="1">
        <f t="shared" si="44"/>
        <v>0</v>
      </c>
      <c r="Y516" s="48">
        <v>0</v>
      </c>
      <c r="AA516" s="1">
        <v>2</v>
      </c>
      <c r="AB516" s="1" t="s">
        <v>14</v>
      </c>
      <c r="AC516" s="1" t="s">
        <v>20</v>
      </c>
      <c r="AD516" s="1">
        <v>11</v>
      </c>
      <c r="AE516" s="1">
        <v>10</v>
      </c>
      <c r="AF516" s="1">
        <v>0.8</v>
      </c>
      <c r="AG516" s="1">
        <v>0.88</v>
      </c>
      <c r="AH516" s="1">
        <v>0</v>
      </c>
      <c r="AI516" s="1">
        <v>0</v>
      </c>
      <c r="AJ516" s="1">
        <f t="shared" si="40"/>
        <v>0</v>
      </c>
      <c r="AK516" s="1">
        <f>D47</f>
        <v>0</v>
      </c>
      <c r="AL516" s="1">
        <f>D53</f>
        <v>0</v>
      </c>
      <c r="AM516" s="1">
        <f t="shared" si="41"/>
        <v>0</v>
      </c>
      <c r="AN516" s="1">
        <f t="shared" si="42"/>
        <v>0</v>
      </c>
      <c r="AO516" s="1">
        <f t="shared" si="43"/>
        <v>0</v>
      </c>
      <c r="AP516" t="b" cm="1">
        <f t="array" ref="AP516">INDEX($AU$8:$BB$25,6*(R516-1)+MATCH(AB516,$AS$8:$AS$13,0),MATCH(O516,$AU$7:$BB$7,0))</f>
        <v>1</v>
      </c>
    </row>
    <row r="517" spans="15:42" ht="14.25" x14ac:dyDescent="0.45">
      <c r="O517" s="43" t="s">
        <v>32</v>
      </c>
      <c r="P517" s="43">
        <v>3</v>
      </c>
      <c r="Q517" s="43">
        <v>15</v>
      </c>
      <c r="R517" s="43">
        <v>3</v>
      </c>
      <c r="S517" s="45"/>
      <c r="T517" t="b">
        <f>(S515+S516+S517)=Q4</f>
        <v>0</v>
      </c>
      <c r="X517" s="1">
        <f t="shared" si="44"/>
        <v>0</v>
      </c>
      <c r="Y517" s="48">
        <v>0</v>
      </c>
      <c r="AA517" s="1">
        <v>2</v>
      </c>
      <c r="AB517" s="1" t="s">
        <v>14</v>
      </c>
      <c r="AC517" s="1" t="s">
        <v>20</v>
      </c>
      <c r="AD517" s="1">
        <v>11</v>
      </c>
      <c r="AE517" s="1">
        <v>10</v>
      </c>
      <c r="AF517" s="1">
        <v>0.8</v>
      </c>
      <c r="AG517" s="1">
        <v>0.88</v>
      </c>
      <c r="AH517" s="1">
        <v>0</v>
      </c>
      <c r="AI517" s="1">
        <v>0</v>
      </c>
      <c r="AJ517" s="1">
        <f t="shared" si="40"/>
        <v>0</v>
      </c>
      <c r="AK517" s="1">
        <f>E47</f>
        <v>0</v>
      </c>
      <c r="AL517" s="1">
        <f>E53</f>
        <v>0</v>
      </c>
      <c r="AM517" s="1">
        <f t="shared" si="41"/>
        <v>0</v>
      </c>
      <c r="AN517" s="1">
        <f t="shared" si="42"/>
        <v>0</v>
      </c>
      <c r="AO517" s="1">
        <f t="shared" si="43"/>
        <v>0</v>
      </c>
      <c r="AP517" t="b" cm="1">
        <f t="array" ref="AP517">INDEX($AU$8:$BB$25,6*(R517-1)+MATCH(AB517,$AS$8:$AS$13,0),MATCH(O517,$AU$7:$BB$7,0))</f>
        <v>1</v>
      </c>
    </row>
    <row r="518" spans="15:42" ht="14.25" x14ac:dyDescent="0.45">
      <c r="O518" s="43" t="s">
        <v>32</v>
      </c>
      <c r="P518" s="43">
        <v>3</v>
      </c>
      <c r="Q518" s="43">
        <v>16</v>
      </c>
      <c r="R518" s="43">
        <v>1</v>
      </c>
      <c r="S518" s="45"/>
      <c r="T518" t="b">
        <f>(S518+S519+S520)=Q4</f>
        <v>0</v>
      </c>
      <c r="X518" s="1">
        <f t="shared" si="44"/>
        <v>0</v>
      </c>
      <c r="Y518" s="48">
        <v>0</v>
      </c>
      <c r="AA518" s="1">
        <v>4</v>
      </c>
      <c r="AB518" s="1" t="s">
        <v>13</v>
      </c>
      <c r="AC518" s="1" t="s">
        <v>19</v>
      </c>
      <c r="AD518" s="1">
        <v>25</v>
      </c>
      <c r="AE518" s="1">
        <v>20</v>
      </c>
      <c r="AF518" s="1">
        <v>0.8</v>
      </c>
      <c r="AG518" s="1">
        <v>0.86</v>
      </c>
      <c r="AH518" s="1">
        <v>0</v>
      </c>
      <c r="AI518" s="1">
        <v>0</v>
      </c>
      <c r="AJ518" s="1">
        <f t="shared" si="40"/>
        <v>0</v>
      </c>
      <c r="AK518" s="1">
        <f>C46</f>
        <v>0</v>
      </c>
      <c r="AL518" s="1">
        <f>C52</f>
        <v>0</v>
      </c>
      <c r="AM518" s="1">
        <f t="shared" si="41"/>
        <v>0</v>
      </c>
      <c r="AN518" s="1">
        <f t="shared" si="42"/>
        <v>0</v>
      </c>
      <c r="AO518" s="1">
        <f t="shared" si="43"/>
        <v>0</v>
      </c>
      <c r="AP518" t="b" cm="1">
        <f t="array" ref="AP518">INDEX($AU$8:$BB$25,6*(R518-1)+MATCH(AB518,$AS$8:$AS$13,0),MATCH(O518,$AU$7:$BB$7,0))</f>
        <v>1</v>
      </c>
    </row>
    <row r="519" spans="15:42" ht="14.25" x14ac:dyDescent="0.45">
      <c r="O519" s="43" t="s">
        <v>32</v>
      </c>
      <c r="P519" s="43">
        <v>3</v>
      </c>
      <c r="Q519" s="43">
        <v>16</v>
      </c>
      <c r="R519" s="43">
        <v>2</v>
      </c>
      <c r="S519" s="45"/>
      <c r="T519" t="b">
        <f>(S518+S519+S520)=Q4</f>
        <v>0</v>
      </c>
      <c r="X519" s="1">
        <f t="shared" si="44"/>
        <v>0</v>
      </c>
      <c r="Y519" s="48">
        <v>0</v>
      </c>
      <c r="AA519" s="1">
        <v>4</v>
      </c>
      <c r="AB519" s="1" t="s">
        <v>13</v>
      </c>
      <c r="AC519" s="1" t="s">
        <v>19</v>
      </c>
      <c r="AD519" s="1">
        <v>25</v>
      </c>
      <c r="AE519" s="1">
        <v>20</v>
      </c>
      <c r="AF519" s="1">
        <v>0.8</v>
      </c>
      <c r="AG519" s="1">
        <v>0.86</v>
      </c>
      <c r="AH519" s="1">
        <v>0</v>
      </c>
      <c r="AI519" s="1">
        <v>0</v>
      </c>
      <c r="AJ519" s="1">
        <f t="shared" si="40"/>
        <v>0</v>
      </c>
      <c r="AK519" s="1">
        <f>D46</f>
        <v>0</v>
      </c>
      <c r="AL519" s="1">
        <f>D52</f>
        <v>0</v>
      </c>
      <c r="AM519" s="1">
        <f t="shared" si="41"/>
        <v>0</v>
      </c>
      <c r="AN519" s="1">
        <f t="shared" si="42"/>
        <v>0</v>
      </c>
      <c r="AO519" s="1">
        <f t="shared" si="43"/>
        <v>0</v>
      </c>
      <c r="AP519" t="b" cm="1">
        <f t="array" ref="AP519">INDEX($AU$8:$BB$25,6*(R519-1)+MATCH(AB519,$AS$8:$AS$13,0),MATCH(O519,$AU$7:$BB$7,0))</f>
        <v>1</v>
      </c>
    </row>
    <row r="520" spans="15:42" ht="14.25" x14ac:dyDescent="0.45">
      <c r="O520" s="43" t="s">
        <v>32</v>
      </c>
      <c r="P520" s="43">
        <v>3</v>
      </c>
      <c r="Q520" s="43">
        <v>16</v>
      </c>
      <c r="R520" s="43">
        <v>3</v>
      </c>
      <c r="S520" s="45"/>
      <c r="T520" t="b">
        <f>(S518+S519+S520)=Q4</f>
        <v>0</v>
      </c>
      <c r="X520" s="1">
        <f t="shared" si="44"/>
        <v>0</v>
      </c>
      <c r="Y520" s="48">
        <v>0</v>
      </c>
      <c r="AA520" s="1">
        <v>4</v>
      </c>
      <c r="AB520" s="1" t="s">
        <v>13</v>
      </c>
      <c r="AC520" s="1" t="s">
        <v>19</v>
      </c>
      <c r="AD520" s="1">
        <v>25</v>
      </c>
      <c r="AE520" s="1">
        <v>20</v>
      </c>
      <c r="AF520" s="1">
        <v>0.8</v>
      </c>
      <c r="AG520" s="1">
        <v>0.86</v>
      </c>
      <c r="AH520" s="1">
        <v>0</v>
      </c>
      <c r="AI520" s="1">
        <v>0</v>
      </c>
      <c r="AJ520" s="1">
        <f t="shared" si="40"/>
        <v>0</v>
      </c>
      <c r="AK520" s="1">
        <f>E46</f>
        <v>0</v>
      </c>
      <c r="AL520" s="1">
        <f>E52</f>
        <v>0</v>
      </c>
      <c r="AM520" s="1">
        <f t="shared" si="41"/>
        <v>0</v>
      </c>
      <c r="AN520" s="1">
        <f t="shared" si="42"/>
        <v>0</v>
      </c>
      <c r="AO520" s="1">
        <f t="shared" si="43"/>
        <v>0</v>
      </c>
      <c r="AP520" t="b" cm="1">
        <f t="array" ref="AP520">INDEX($AU$8:$BB$25,6*(R520-1)+MATCH(AB520,$AS$8:$AS$13,0),MATCH(O520,$AU$7:$BB$7,0))</f>
        <v>1</v>
      </c>
    </row>
    <row r="521" spans="15:42" ht="14.25" x14ac:dyDescent="0.45">
      <c r="O521" s="43" t="s">
        <v>32</v>
      </c>
      <c r="P521" s="43">
        <v>3</v>
      </c>
      <c r="Q521" s="43">
        <v>17</v>
      </c>
      <c r="R521" s="43">
        <v>1</v>
      </c>
      <c r="S521" s="45"/>
      <c r="T521" t="b">
        <f>(S521+S522+S523)=Q4</f>
        <v>0</v>
      </c>
      <c r="X521" s="1">
        <f t="shared" si="44"/>
        <v>0</v>
      </c>
      <c r="Y521" s="48">
        <v>0</v>
      </c>
      <c r="AA521" s="1">
        <v>1</v>
      </c>
      <c r="AB521" s="1" t="s">
        <v>16</v>
      </c>
      <c r="AC521" s="1" t="s">
        <v>22</v>
      </c>
      <c r="AD521" s="1">
        <v>14</v>
      </c>
      <c r="AE521" s="1">
        <v>13</v>
      </c>
      <c r="AF521" s="1">
        <v>0.8</v>
      </c>
      <c r="AG521" s="1">
        <v>0.9</v>
      </c>
      <c r="AH521" s="1">
        <v>0</v>
      </c>
      <c r="AI521" s="1">
        <v>0</v>
      </c>
      <c r="AJ521" s="1">
        <f t="shared" ref="AJ521:AJ584" si="45">SUMIFS(AH$8:AH$1039,$O$8:$O$1039,O521,$AB$8:$AB$1039,AB521,$R$8:$R$1039,R521,$AA$8:$AA$1039,"&lt;="&amp;AA521)</f>
        <v>0</v>
      </c>
      <c r="AK521" s="1">
        <f>C49</f>
        <v>0</v>
      </c>
      <c r="AL521" s="1">
        <f>C55</f>
        <v>0</v>
      </c>
      <c r="AM521" s="1">
        <f t="shared" ref="AM521:AM584" si="46">MAX(0,AJ521-AK521)</f>
        <v>0</v>
      </c>
      <c r="AN521" s="1">
        <f t="shared" ref="AN521:AN584" si="47">IF(AM521=0,AH521,IF(AM521&gt;=AH521,0,AH521-AM521))</f>
        <v>0</v>
      </c>
      <c r="AO521" s="1">
        <f t="shared" ref="AO521:AO584" si="48">IF(AM521&gt;=AH521,AI521,AI521*AM521/AH521)</f>
        <v>0</v>
      </c>
      <c r="AP521" t="b" cm="1">
        <f t="array" ref="AP521">INDEX($AU$8:$BB$25,6*(R521-1)+MATCH(AB521,$AS$8:$AS$13,0),MATCH(O521,$AU$7:$BB$7,0))</f>
        <v>1</v>
      </c>
    </row>
    <row r="522" spans="15:42" ht="14.25" x14ac:dyDescent="0.45">
      <c r="O522" s="43" t="s">
        <v>32</v>
      </c>
      <c r="P522" s="43">
        <v>3</v>
      </c>
      <c r="Q522" s="43">
        <v>17</v>
      </c>
      <c r="R522" s="43">
        <v>2</v>
      </c>
      <c r="S522" s="45"/>
      <c r="T522" t="b">
        <f>(S521+S522+S523)=Q4</f>
        <v>0</v>
      </c>
      <c r="X522" s="1">
        <f t="shared" si="44"/>
        <v>0</v>
      </c>
      <c r="Y522" s="48">
        <v>0</v>
      </c>
      <c r="AA522" s="1">
        <v>1</v>
      </c>
      <c r="AB522" s="1" t="s">
        <v>16</v>
      </c>
      <c r="AC522" s="1" t="s">
        <v>22</v>
      </c>
      <c r="AD522" s="1">
        <v>14</v>
      </c>
      <c r="AE522" s="1">
        <v>13</v>
      </c>
      <c r="AF522" s="1">
        <v>0.8</v>
      </c>
      <c r="AG522" s="1">
        <v>0.9</v>
      </c>
      <c r="AH522" s="1">
        <v>0</v>
      </c>
      <c r="AI522" s="1">
        <v>0</v>
      </c>
      <c r="AJ522" s="1">
        <f t="shared" si="45"/>
        <v>0</v>
      </c>
      <c r="AK522" s="1">
        <f>D49</f>
        <v>0</v>
      </c>
      <c r="AL522" s="1">
        <f>D55</f>
        <v>0</v>
      </c>
      <c r="AM522" s="1">
        <f t="shared" si="46"/>
        <v>0</v>
      </c>
      <c r="AN522" s="1">
        <f t="shared" si="47"/>
        <v>0</v>
      </c>
      <c r="AO522" s="1">
        <f t="shared" si="48"/>
        <v>0</v>
      </c>
      <c r="AP522" t="b" cm="1">
        <f t="array" ref="AP522">INDEX($AU$8:$BB$25,6*(R522-1)+MATCH(AB522,$AS$8:$AS$13,0),MATCH(O522,$AU$7:$BB$7,0))</f>
        <v>1</v>
      </c>
    </row>
    <row r="523" spans="15:42" ht="14.25" x14ac:dyDescent="0.45">
      <c r="O523" s="43" t="s">
        <v>32</v>
      </c>
      <c r="P523" s="43">
        <v>3</v>
      </c>
      <c r="Q523" s="43">
        <v>17</v>
      </c>
      <c r="R523" s="43">
        <v>3</v>
      </c>
      <c r="S523" s="45"/>
      <c r="T523" t="b">
        <f>(S521+S522+S523)=Q4</f>
        <v>0</v>
      </c>
      <c r="X523" s="1">
        <f t="shared" si="44"/>
        <v>0</v>
      </c>
      <c r="Y523" s="48">
        <v>0</v>
      </c>
      <c r="AA523" s="1">
        <v>1</v>
      </c>
      <c r="AB523" s="1" t="s">
        <v>16</v>
      </c>
      <c r="AC523" s="1" t="s">
        <v>22</v>
      </c>
      <c r="AD523" s="1">
        <v>14</v>
      </c>
      <c r="AE523" s="1">
        <v>13</v>
      </c>
      <c r="AF523" s="1">
        <v>0.8</v>
      </c>
      <c r="AG523" s="1">
        <v>0.9</v>
      </c>
      <c r="AH523" s="1">
        <v>0</v>
      </c>
      <c r="AI523" s="1">
        <v>0</v>
      </c>
      <c r="AJ523" s="1">
        <f t="shared" si="45"/>
        <v>0</v>
      </c>
      <c r="AK523" s="1">
        <f>E49</f>
        <v>0</v>
      </c>
      <c r="AL523" s="1">
        <f>E55</f>
        <v>0</v>
      </c>
      <c r="AM523" s="1">
        <f t="shared" si="46"/>
        <v>0</v>
      </c>
      <c r="AN523" s="1">
        <f t="shared" si="47"/>
        <v>0</v>
      </c>
      <c r="AO523" s="1">
        <f t="shared" si="48"/>
        <v>0</v>
      </c>
      <c r="AP523" t="b" cm="1">
        <f t="array" ref="AP523">INDEX($AU$8:$BB$25,6*(R523-1)+MATCH(AB523,$AS$8:$AS$13,0),MATCH(O523,$AU$7:$BB$7,0))</f>
        <v>1</v>
      </c>
    </row>
    <row r="524" spans="15:42" ht="14.25" x14ac:dyDescent="0.45">
      <c r="O524" s="43" t="s">
        <v>33</v>
      </c>
      <c r="P524" s="43">
        <v>1</v>
      </c>
      <c r="Q524" s="43">
        <v>1</v>
      </c>
      <c r="R524" s="43">
        <v>1</v>
      </c>
      <c r="S524" s="45"/>
      <c r="T524" t="b">
        <f>(S524+S525+S526)=R2</f>
        <v>0</v>
      </c>
      <c r="X524" s="1">
        <v>0</v>
      </c>
      <c r="Y524" s="48">
        <v>0</v>
      </c>
      <c r="AA524" s="1">
        <v>4</v>
      </c>
      <c r="AB524" s="1" t="s">
        <v>14</v>
      </c>
      <c r="AC524" s="1" t="s">
        <v>20</v>
      </c>
      <c r="AD524" s="1">
        <v>14</v>
      </c>
      <c r="AE524" s="1">
        <v>12</v>
      </c>
      <c r="AF524" s="1">
        <v>0.8</v>
      </c>
      <c r="AG524" s="1">
        <v>0.88</v>
      </c>
      <c r="AH524" s="1">
        <v>0</v>
      </c>
      <c r="AI524" s="1">
        <v>0</v>
      </c>
      <c r="AJ524" s="1">
        <f t="shared" si="45"/>
        <v>0</v>
      </c>
      <c r="AK524" s="1">
        <f>C59</f>
        <v>0</v>
      </c>
      <c r="AL524" s="1">
        <f>C65</f>
        <v>0</v>
      </c>
      <c r="AM524" s="1">
        <f t="shared" si="46"/>
        <v>0</v>
      </c>
      <c r="AN524" s="1">
        <f t="shared" si="47"/>
        <v>0</v>
      </c>
      <c r="AO524" s="1">
        <f t="shared" si="48"/>
        <v>0</v>
      </c>
      <c r="AP524" t="b" cm="1">
        <f t="array" ref="AP524">INDEX($AU$8:$BB$25,6*(R524-1)+MATCH(AB524,$AS$8:$AS$13,0),MATCH(O524,$AU$7:$BB$7,0))</f>
        <v>1</v>
      </c>
    </row>
    <row r="525" spans="15:42" ht="14.25" x14ac:dyDescent="0.45">
      <c r="O525" s="43" t="s">
        <v>33</v>
      </c>
      <c r="P525" s="43">
        <v>1</v>
      </c>
      <c r="Q525" s="43">
        <v>1</v>
      </c>
      <c r="R525" s="43">
        <v>2</v>
      </c>
      <c r="S525" s="45"/>
      <c r="T525" t="b">
        <f>(S524+S525+S526)=R2</f>
        <v>0</v>
      </c>
      <c r="X525" s="1">
        <v>0</v>
      </c>
      <c r="Y525" s="48">
        <v>0</v>
      </c>
      <c r="AA525" s="1">
        <v>4</v>
      </c>
      <c r="AB525" s="1" t="s">
        <v>14</v>
      </c>
      <c r="AC525" s="1" t="s">
        <v>20</v>
      </c>
      <c r="AD525" s="1">
        <v>14</v>
      </c>
      <c r="AE525" s="1">
        <v>12</v>
      </c>
      <c r="AF525" s="1">
        <v>0.8</v>
      </c>
      <c r="AG525" s="1">
        <v>0.88</v>
      </c>
      <c r="AH525" s="1">
        <v>0</v>
      </c>
      <c r="AI525" s="1">
        <v>0</v>
      </c>
      <c r="AJ525" s="1">
        <f t="shared" si="45"/>
        <v>0</v>
      </c>
      <c r="AK525" s="1">
        <f>D59</f>
        <v>0</v>
      </c>
      <c r="AL525" s="1">
        <f>D65</f>
        <v>0</v>
      </c>
      <c r="AM525" s="1">
        <f t="shared" si="46"/>
        <v>0</v>
      </c>
      <c r="AN525" s="1">
        <f t="shared" si="47"/>
        <v>0</v>
      </c>
      <c r="AO525" s="1">
        <f t="shared" si="48"/>
        <v>0</v>
      </c>
      <c r="AP525" t="b" cm="1">
        <f t="array" ref="AP525">INDEX($AU$8:$BB$25,6*(R525-1)+MATCH(AB525,$AS$8:$AS$13,0),MATCH(O525,$AU$7:$BB$7,0))</f>
        <v>1</v>
      </c>
    </row>
    <row r="526" spans="15:42" ht="14.25" x14ac:dyDescent="0.45">
      <c r="O526" s="43" t="s">
        <v>33</v>
      </c>
      <c r="P526" s="43">
        <v>1</v>
      </c>
      <c r="Q526" s="43">
        <v>1</v>
      </c>
      <c r="R526" s="43">
        <v>3</v>
      </c>
      <c r="S526" s="45"/>
      <c r="T526" t="b">
        <f>(S524+S525+S526)=R2</f>
        <v>0</v>
      </c>
      <c r="X526" s="1">
        <v>0</v>
      </c>
      <c r="Y526" s="48">
        <v>0</v>
      </c>
      <c r="AA526" s="1">
        <v>4</v>
      </c>
      <c r="AB526" s="1" t="s">
        <v>14</v>
      </c>
      <c r="AC526" s="1" t="s">
        <v>20</v>
      </c>
      <c r="AD526" s="1">
        <v>14</v>
      </c>
      <c r="AE526" s="1">
        <v>12</v>
      </c>
      <c r="AF526" s="1">
        <v>0.8</v>
      </c>
      <c r="AG526" s="1">
        <v>0.88</v>
      </c>
      <c r="AH526" s="1">
        <v>0</v>
      </c>
      <c r="AI526" s="1">
        <v>0</v>
      </c>
      <c r="AJ526" s="1">
        <f t="shared" si="45"/>
        <v>0</v>
      </c>
      <c r="AK526" s="1">
        <f>E59</f>
        <v>0</v>
      </c>
      <c r="AL526" s="1">
        <f>E65</f>
        <v>0</v>
      </c>
      <c r="AM526" s="1">
        <f t="shared" si="46"/>
        <v>0</v>
      </c>
      <c r="AN526" s="1">
        <f t="shared" si="47"/>
        <v>0</v>
      </c>
      <c r="AO526" s="1">
        <f t="shared" si="48"/>
        <v>0</v>
      </c>
      <c r="AP526" t="b" cm="1">
        <f t="array" ref="AP526">INDEX($AU$8:$BB$25,6*(R526-1)+MATCH(AB526,$AS$8:$AS$13,0),MATCH(O526,$AU$7:$BB$7,0))</f>
        <v>1</v>
      </c>
    </row>
    <row r="527" spans="15:42" ht="14.25" x14ac:dyDescent="0.45">
      <c r="O527" s="43" t="s">
        <v>33</v>
      </c>
      <c r="P527" s="43">
        <v>1</v>
      </c>
      <c r="Q527" s="43">
        <v>2</v>
      </c>
      <c r="R527" s="43">
        <v>1</v>
      </c>
      <c r="S527" s="45"/>
      <c r="T527" t="b">
        <f>(S527+S528+S529)=R2</f>
        <v>0</v>
      </c>
      <c r="X527" s="1">
        <f>MAX(S524-S527,0)</f>
        <v>0</v>
      </c>
      <c r="Y527" s="48">
        <v>0</v>
      </c>
      <c r="AA527" s="1">
        <v>10</v>
      </c>
      <c r="AB527" s="1" t="s">
        <v>16</v>
      </c>
      <c r="AC527" s="1" t="s">
        <v>22</v>
      </c>
      <c r="AD527" s="1">
        <v>25</v>
      </c>
      <c r="AE527" s="1">
        <v>21</v>
      </c>
      <c r="AF527" s="1">
        <v>0.8</v>
      </c>
      <c r="AG527" s="1">
        <v>0.9</v>
      </c>
      <c r="AH527" s="1">
        <v>0</v>
      </c>
      <c r="AI527" s="1">
        <v>0</v>
      </c>
      <c r="AJ527" s="1">
        <f t="shared" si="45"/>
        <v>0</v>
      </c>
      <c r="AK527" s="1">
        <f>C61</f>
        <v>0</v>
      </c>
      <c r="AL527" s="1">
        <f>C67</f>
        <v>0</v>
      </c>
      <c r="AM527" s="1">
        <f t="shared" si="46"/>
        <v>0</v>
      </c>
      <c r="AN527" s="1">
        <f t="shared" si="47"/>
        <v>0</v>
      </c>
      <c r="AO527" s="1">
        <f t="shared" si="48"/>
        <v>0</v>
      </c>
      <c r="AP527" t="b" cm="1">
        <f t="array" ref="AP527">INDEX($AU$8:$BB$25,6*(R527-1)+MATCH(AB527,$AS$8:$AS$13,0),MATCH(O527,$AU$7:$BB$7,0))</f>
        <v>1</v>
      </c>
    </row>
    <row r="528" spans="15:42" ht="14.25" x14ac:dyDescent="0.45">
      <c r="O528" s="43" t="s">
        <v>33</v>
      </c>
      <c r="P528" s="43">
        <v>1</v>
      </c>
      <c r="Q528" s="43">
        <v>2</v>
      </c>
      <c r="R528" s="43">
        <v>2</v>
      </c>
      <c r="S528" s="45"/>
      <c r="T528" t="b">
        <f>(S527+S528+S529)=R2</f>
        <v>0</v>
      </c>
      <c r="X528" s="1">
        <f t="shared" ref="X528:X556" si="49">MAX(S525-S528,0)</f>
        <v>0</v>
      </c>
      <c r="Y528" s="48">
        <v>0</v>
      </c>
      <c r="AA528" s="1">
        <v>10</v>
      </c>
      <c r="AB528" s="1" t="s">
        <v>16</v>
      </c>
      <c r="AC528" s="1" t="s">
        <v>22</v>
      </c>
      <c r="AD528" s="1">
        <v>25</v>
      </c>
      <c r="AE528" s="1">
        <v>21</v>
      </c>
      <c r="AF528" s="1">
        <v>0.8</v>
      </c>
      <c r="AG528" s="1">
        <v>0.9</v>
      </c>
      <c r="AH528" s="1">
        <v>0</v>
      </c>
      <c r="AI528" s="1">
        <v>0</v>
      </c>
      <c r="AJ528" s="1">
        <f t="shared" si="45"/>
        <v>0</v>
      </c>
      <c r="AK528" s="1">
        <f>D61</f>
        <v>0</v>
      </c>
      <c r="AL528" s="1">
        <f>D67</f>
        <v>0</v>
      </c>
      <c r="AM528" s="1">
        <f t="shared" si="46"/>
        <v>0</v>
      </c>
      <c r="AN528" s="1">
        <f t="shared" si="47"/>
        <v>0</v>
      </c>
      <c r="AO528" s="1">
        <f t="shared" si="48"/>
        <v>0</v>
      </c>
      <c r="AP528" t="b" cm="1">
        <f t="array" ref="AP528">INDEX($AU$8:$BB$25,6*(R528-1)+MATCH(AB528,$AS$8:$AS$13,0),MATCH(O528,$AU$7:$BB$7,0))</f>
        <v>1</v>
      </c>
    </row>
    <row r="529" spans="15:42" ht="14.25" x14ac:dyDescent="0.45">
      <c r="O529" s="43" t="s">
        <v>33</v>
      </c>
      <c r="P529" s="43">
        <v>1</v>
      </c>
      <c r="Q529" s="43">
        <v>2</v>
      </c>
      <c r="R529" s="43">
        <v>3</v>
      </c>
      <c r="S529" s="45"/>
      <c r="T529" t="b">
        <f>(S527+S528+S529)=R2</f>
        <v>0</v>
      </c>
      <c r="X529" s="1">
        <f t="shared" si="49"/>
        <v>0</v>
      </c>
      <c r="Y529" s="48">
        <v>0</v>
      </c>
      <c r="AA529" s="1">
        <v>10</v>
      </c>
      <c r="AB529" s="1" t="s">
        <v>16</v>
      </c>
      <c r="AC529" s="1" t="s">
        <v>22</v>
      </c>
      <c r="AD529" s="1">
        <v>25</v>
      </c>
      <c r="AE529" s="1">
        <v>21</v>
      </c>
      <c r="AF529" s="1">
        <v>0.8</v>
      </c>
      <c r="AG529" s="1">
        <v>0.9</v>
      </c>
      <c r="AH529" s="1">
        <v>0</v>
      </c>
      <c r="AI529" s="1">
        <v>0</v>
      </c>
      <c r="AJ529" s="1">
        <f t="shared" si="45"/>
        <v>0</v>
      </c>
      <c r="AK529" s="1">
        <f>E61</f>
        <v>0</v>
      </c>
      <c r="AL529" s="1">
        <f>E67</f>
        <v>0</v>
      </c>
      <c r="AM529" s="1">
        <f t="shared" si="46"/>
        <v>0</v>
      </c>
      <c r="AN529" s="1">
        <f t="shared" si="47"/>
        <v>0</v>
      </c>
      <c r="AO529" s="1">
        <f t="shared" si="48"/>
        <v>0</v>
      </c>
      <c r="AP529" t="b" cm="1">
        <f t="array" ref="AP529">INDEX($AU$8:$BB$25,6*(R529-1)+MATCH(AB529,$AS$8:$AS$13,0),MATCH(O529,$AU$7:$BB$7,0))</f>
        <v>1</v>
      </c>
    </row>
    <row r="530" spans="15:42" ht="14.25" x14ac:dyDescent="0.45">
      <c r="O530" s="43" t="s">
        <v>33</v>
      </c>
      <c r="P530" s="43">
        <v>1</v>
      </c>
      <c r="Q530" s="43">
        <v>3</v>
      </c>
      <c r="R530" s="43">
        <v>1</v>
      </c>
      <c r="S530" s="45"/>
      <c r="T530" t="b">
        <f>(S530+S531+S532)=R2</f>
        <v>0</v>
      </c>
      <c r="X530" s="1">
        <f t="shared" si="49"/>
        <v>0</v>
      </c>
      <c r="Y530" s="48">
        <v>0</v>
      </c>
      <c r="AA530" s="1">
        <v>8</v>
      </c>
      <c r="AB530" s="1" t="s">
        <v>16</v>
      </c>
      <c r="AC530" s="1" t="s">
        <v>22</v>
      </c>
      <c r="AD530" s="1">
        <v>27</v>
      </c>
      <c r="AE530" s="1">
        <v>23</v>
      </c>
      <c r="AF530" s="1">
        <v>0.8</v>
      </c>
      <c r="AG530" s="1">
        <v>0.9</v>
      </c>
      <c r="AH530" s="1">
        <v>0</v>
      </c>
      <c r="AI530" s="1">
        <v>0</v>
      </c>
      <c r="AJ530" s="1">
        <f t="shared" si="45"/>
        <v>0</v>
      </c>
      <c r="AK530" s="1">
        <f>C61</f>
        <v>0</v>
      </c>
      <c r="AL530" s="1">
        <f>C67</f>
        <v>0</v>
      </c>
      <c r="AM530" s="1">
        <f t="shared" si="46"/>
        <v>0</v>
      </c>
      <c r="AN530" s="1">
        <f t="shared" si="47"/>
        <v>0</v>
      </c>
      <c r="AO530" s="1">
        <f t="shared" si="48"/>
        <v>0</v>
      </c>
      <c r="AP530" t="b" cm="1">
        <f t="array" ref="AP530">INDEX($AU$8:$BB$25,6*(R530-1)+MATCH(AB530,$AS$8:$AS$13,0),MATCH(O530,$AU$7:$BB$7,0))</f>
        <v>1</v>
      </c>
    </row>
    <row r="531" spans="15:42" ht="14.25" x14ac:dyDescent="0.45">
      <c r="O531" s="43" t="s">
        <v>33</v>
      </c>
      <c r="P531" s="43">
        <v>1</v>
      </c>
      <c r="Q531" s="43">
        <v>3</v>
      </c>
      <c r="R531" s="43">
        <v>2</v>
      </c>
      <c r="S531" s="45"/>
      <c r="T531" t="b">
        <f>(S530+S531+S532)=R2</f>
        <v>0</v>
      </c>
      <c r="X531" s="1">
        <f t="shared" si="49"/>
        <v>0</v>
      </c>
      <c r="Y531" s="48">
        <v>0</v>
      </c>
      <c r="AA531" s="1">
        <v>8</v>
      </c>
      <c r="AB531" s="1" t="s">
        <v>16</v>
      </c>
      <c r="AC531" s="1" t="s">
        <v>22</v>
      </c>
      <c r="AD531" s="1">
        <v>27</v>
      </c>
      <c r="AE531" s="1">
        <v>23</v>
      </c>
      <c r="AF531" s="1">
        <v>0.8</v>
      </c>
      <c r="AG531" s="1">
        <v>0.9</v>
      </c>
      <c r="AH531" s="1">
        <v>0</v>
      </c>
      <c r="AI531" s="1">
        <v>0</v>
      </c>
      <c r="AJ531" s="1">
        <f t="shared" si="45"/>
        <v>0</v>
      </c>
      <c r="AK531" s="1">
        <f>D61</f>
        <v>0</v>
      </c>
      <c r="AL531" s="1">
        <f>D67</f>
        <v>0</v>
      </c>
      <c r="AM531" s="1">
        <f t="shared" si="46"/>
        <v>0</v>
      </c>
      <c r="AN531" s="1">
        <f t="shared" si="47"/>
        <v>0</v>
      </c>
      <c r="AO531" s="1">
        <f t="shared" si="48"/>
        <v>0</v>
      </c>
      <c r="AP531" t="b" cm="1">
        <f t="array" ref="AP531">INDEX($AU$8:$BB$25,6*(R531-1)+MATCH(AB531,$AS$8:$AS$13,0),MATCH(O531,$AU$7:$BB$7,0))</f>
        <v>1</v>
      </c>
    </row>
    <row r="532" spans="15:42" ht="14.25" x14ac:dyDescent="0.45">
      <c r="O532" s="43" t="s">
        <v>33</v>
      </c>
      <c r="P532" s="43">
        <v>1</v>
      </c>
      <c r="Q532" s="43">
        <v>3</v>
      </c>
      <c r="R532" s="43">
        <v>3</v>
      </c>
      <c r="S532" s="45"/>
      <c r="T532" t="b">
        <f>(S530+S531+S532)=R2</f>
        <v>0</v>
      </c>
      <c r="X532" s="1">
        <f t="shared" si="49"/>
        <v>0</v>
      </c>
      <c r="Y532" s="48">
        <v>0</v>
      </c>
      <c r="AA532" s="1">
        <v>8</v>
      </c>
      <c r="AB532" s="1" t="s">
        <v>16</v>
      </c>
      <c r="AC532" s="1" t="s">
        <v>22</v>
      </c>
      <c r="AD532" s="1">
        <v>27</v>
      </c>
      <c r="AE532" s="1">
        <v>23</v>
      </c>
      <c r="AF532" s="1">
        <v>0.8</v>
      </c>
      <c r="AG532" s="1">
        <v>0.9</v>
      </c>
      <c r="AH532" s="1">
        <v>0</v>
      </c>
      <c r="AI532" s="1">
        <v>0</v>
      </c>
      <c r="AJ532" s="1">
        <f t="shared" si="45"/>
        <v>0</v>
      </c>
      <c r="AK532" s="1">
        <f>E61</f>
        <v>0</v>
      </c>
      <c r="AL532" s="1">
        <f>E67</f>
        <v>0</v>
      </c>
      <c r="AM532" s="1">
        <f t="shared" si="46"/>
        <v>0</v>
      </c>
      <c r="AN532" s="1">
        <f t="shared" si="47"/>
        <v>0</v>
      </c>
      <c r="AO532" s="1">
        <f t="shared" si="48"/>
        <v>0</v>
      </c>
      <c r="AP532" t="b" cm="1">
        <f t="array" ref="AP532">INDEX($AU$8:$BB$25,6*(R532-1)+MATCH(AB532,$AS$8:$AS$13,0),MATCH(O532,$AU$7:$BB$7,0))</f>
        <v>1</v>
      </c>
    </row>
    <row r="533" spans="15:42" ht="14.25" x14ac:dyDescent="0.45">
      <c r="O533" s="43" t="s">
        <v>33</v>
      </c>
      <c r="P533" s="43">
        <v>1</v>
      </c>
      <c r="Q533" s="43">
        <v>4</v>
      </c>
      <c r="R533" s="43">
        <v>1</v>
      </c>
      <c r="S533" s="45"/>
      <c r="T533" t="b">
        <f>(S533+S534+S535)=R2</f>
        <v>0</v>
      </c>
      <c r="X533" s="1">
        <f t="shared" si="49"/>
        <v>0</v>
      </c>
      <c r="Y533" s="48">
        <v>0</v>
      </c>
      <c r="AA533" s="1">
        <v>3</v>
      </c>
      <c r="AB533" s="1" t="s">
        <v>10</v>
      </c>
      <c r="AC533" s="1" t="s">
        <v>17</v>
      </c>
      <c r="AD533" s="1">
        <v>20</v>
      </c>
      <c r="AE533" s="1">
        <v>16</v>
      </c>
      <c r="AF533" s="1">
        <v>0.78</v>
      </c>
      <c r="AG533" s="1">
        <v>0.84</v>
      </c>
      <c r="AH533" s="1">
        <v>0</v>
      </c>
      <c r="AI533" s="1">
        <v>0</v>
      </c>
      <c r="AJ533" s="1">
        <f t="shared" si="45"/>
        <v>0</v>
      </c>
      <c r="AK533" s="1">
        <f>C56</f>
        <v>0</v>
      </c>
      <c r="AL533" s="1">
        <f>C62</f>
        <v>0</v>
      </c>
      <c r="AM533" s="1">
        <f t="shared" si="46"/>
        <v>0</v>
      </c>
      <c r="AN533" s="1">
        <f t="shared" si="47"/>
        <v>0</v>
      </c>
      <c r="AO533" s="1">
        <f t="shared" si="48"/>
        <v>0</v>
      </c>
      <c r="AP533" t="b" cm="1">
        <f t="array" ref="AP533">INDEX($AU$8:$BB$25,6*(R533-1)+MATCH(AB533,$AS$8:$AS$13,0),MATCH(O533,$AU$7:$BB$7,0))</f>
        <v>1</v>
      </c>
    </row>
    <row r="534" spans="15:42" ht="14.25" x14ac:dyDescent="0.45">
      <c r="O534" s="43" t="s">
        <v>33</v>
      </c>
      <c r="P534" s="43">
        <v>1</v>
      </c>
      <c r="Q534" s="43">
        <v>4</v>
      </c>
      <c r="R534" s="43">
        <v>2</v>
      </c>
      <c r="S534" s="45"/>
      <c r="T534" t="b">
        <f>(S533+S534+S535)=R2</f>
        <v>0</v>
      </c>
      <c r="X534" s="1">
        <f t="shared" si="49"/>
        <v>0</v>
      </c>
      <c r="Y534" s="48">
        <v>0</v>
      </c>
      <c r="AA534" s="1">
        <v>3</v>
      </c>
      <c r="AB534" s="1" t="s">
        <v>10</v>
      </c>
      <c r="AC534" s="1" t="s">
        <v>17</v>
      </c>
      <c r="AD534" s="1">
        <v>20</v>
      </c>
      <c r="AE534" s="1">
        <v>16</v>
      </c>
      <c r="AF534" s="1">
        <v>0.78</v>
      </c>
      <c r="AG534" s="1">
        <v>0.84</v>
      </c>
      <c r="AH534" s="1">
        <v>0</v>
      </c>
      <c r="AI534" s="1">
        <v>0</v>
      </c>
      <c r="AJ534" s="1">
        <f t="shared" si="45"/>
        <v>0</v>
      </c>
      <c r="AK534" s="1">
        <f>D56</f>
        <v>0</v>
      </c>
      <c r="AL534" s="1">
        <f>D62</f>
        <v>0</v>
      </c>
      <c r="AM534" s="1">
        <f t="shared" si="46"/>
        <v>0</v>
      </c>
      <c r="AN534" s="1">
        <f t="shared" si="47"/>
        <v>0</v>
      </c>
      <c r="AO534" s="1">
        <f t="shared" si="48"/>
        <v>0</v>
      </c>
      <c r="AP534" t="b" cm="1">
        <f t="array" ref="AP534">INDEX($AU$8:$BB$25,6*(R534-1)+MATCH(AB534,$AS$8:$AS$13,0),MATCH(O534,$AU$7:$BB$7,0))</f>
        <v>1</v>
      </c>
    </row>
    <row r="535" spans="15:42" ht="14.25" x14ac:dyDescent="0.45">
      <c r="O535" s="43" t="s">
        <v>33</v>
      </c>
      <c r="P535" s="43">
        <v>1</v>
      </c>
      <c r="Q535" s="43">
        <v>4</v>
      </c>
      <c r="R535" s="43">
        <v>3</v>
      </c>
      <c r="S535" s="45"/>
      <c r="T535" t="b">
        <f>(S533+S534+S535)=R2</f>
        <v>0</v>
      </c>
      <c r="X535" s="1">
        <f t="shared" si="49"/>
        <v>0</v>
      </c>
      <c r="Y535" s="48">
        <v>0</v>
      </c>
      <c r="AA535" s="1">
        <v>3</v>
      </c>
      <c r="AB535" s="1" t="s">
        <v>10</v>
      </c>
      <c r="AC535" s="1" t="s">
        <v>17</v>
      </c>
      <c r="AD535" s="1">
        <v>20</v>
      </c>
      <c r="AE535" s="1">
        <v>16</v>
      </c>
      <c r="AF535" s="1">
        <v>0.78</v>
      </c>
      <c r="AG535" s="1">
        <v>0.84</v>
      </c>
      <c r="AH535" s="1">
        <v>0</v>
      </c>
      <c r="AI535" s="1">
        <v>0</v>
      </c>
      <c r="AJ535" s="1">
        <f t="shared" si="45"/>
        <v>0</v>
      </c>
      <c r="AK535" s="1">
        <f>E56</f>
        <v>0</v>
      </c>
      <c r="AL535" s="1">
        <f>E62</f>
        <v>0</v>
      </c>
      <c r="AM535" s="1">
        <f t="shared" si="46"/>
        <v>0</v>
      </c>
      <c r="AN535" s="1">
        <f t="shared" si="47"/>
        <v>0</v>
      </c>
      <c r="AO535" s="1">
        <f t="shared" si="48"/>
        <v>0</v>
      </c>
      <c r="AP535" t="b" cm="1">
        <f t="array" ref="AP535">INDEX($AU$8:$BB$25,6*(R535-1)+MATCH(AB535,$AS$8:$AS$13,0),MATCH(O535,$AU$7:$BB$7,0))</f>
        <v>1</v>
      </c>
    </row>
    <row r="536" spans="15:42" ht="14.25" x14ac:dyDescent="0.45">
      <c r="O536" s="43" t="s">
        <v>33</v>
      </c>
      <c r="P536" s="43">
        <v>1</v>
      </c>
      <c r="Q536" s="43">
        <v>5</v>
      </c>
      <c r="R536" s="43">
        <v>1</v>
      </c>
      <c r="S536" s="45"/>
      <c r="T536" t="b">
        <f>(S536+S537+S538)=R2</f>
        <v>0</v>
      </c>
      <c r="X536" s="1">
        <f t="shared" si="49"/>
        <v>0</v>
      </c>
      <c r="Y536" s="48">
        <v>0</v>
      </c>
      <c r="AA536" s="1">
        <v>11</v>
      </c>
      <c r="AB536" s="1" t="s">
        <v>16</v>
      </c>
      <c r="AC536" s="1" t="s">
        <v>22</v>
      </c>
      <c r="AD536" s="1">
        <v>12</v>
      </c>
      <c r="AE536" s="1">
        <v>9</v>
      </c>
      <c r="AF536" s="1">
        <v>0.8</v>
      </c>
      <c r="AG536" s="1">
        <v>0.9</v>
      </c>
      <c r="AH536" s="1">
        <v>0</v>
      </c>
      <c r="AI536" s="1">
        <v>0</v>
      </c>
      <c r="AJ536" s="1">
        <f t="shared" si="45"/>
        <v>0</v>
      </c>
      <c r="AK536" s="1">
        <f>C61</f>
        <v>0</v>
      </c>
      <c r="AL536" s="1">
        <f>C67</f>
        <v>0</v>
      </c>
      <c r="AM536" s="1">
        <f t="shared" si="46"/>
        <v>0</v>
      </c>
      <c r="AN536" s="1">
        <f t="shared" si="47"/>
        <v>0</v>
      </c>
      <c r="AO536" s="1">
        <f t="shared" si="48"/>
        <v>0</v>
      </c>
      <c r="AP536" t="b" cm="1">
        <f t="array" ref="AP536">INDEX($AU$8:$BB$25,6*(R536-1)+MATCH(AB536,$AS$8:$AS$13,0),MATCH(O536,$AU$7:$BB$7,0))</f>
        <v>1</v>
      </c>
    </row>
    <row r="537" spans="15:42" ht="14.25" x14ac:dyDescent="0.45">
      <c r="O537" s="43" t="s">
        <v>33</v>
      </c>
      <c r="P537" s="43">
        <v>1</v>
      </c>
      <c r="Q537" s="43">
        <v>5</v>
      </c>
      <c r="R537" s="43">
        <v>2</v>
      </c>
      <c r="S537" s="45"/>
      <c r="T537" t="b">
        <f>(S536+S537+S538)=R2</f>
        <v>0</v>
      </c>
      <c r="X537" s="1">
        <f t="shared" si="49"/>
        <v>0</v>
      </c>
      <c r="Y537" s="48">
        <v>0</v>
      </c>
      <c r="AA537" s="1">
        <v>11</v>
      </c>
      <c r="AB537" s="1" t="s">
        <v>16</v>
      </c>
      <c r="AC537" s="1" t="s">
        <v>22</v>
      </c>
      <c r="AD537" s="1">
        <v>12</v>
      </c>
      <c r="AE537" s="1">
        <v>9</v>
      </c>
      <c r="AF537" s="1">
        <v>0.8</v>
      </c>
      <c r="AG537" s="1">
        <v>0.9</v>
      </c>
      <c r="AH537" s="1">
        <v>0</v>
      </c>
      <c r="AI537" s="1">
        <v>0</v>
      </c>
      <c r="AJ537" s="1">
        <f t="shared" si="45"/>
        <v>0</v>
      </c>
      <c r="AK537" s="1">
        <f>D61</f>
        <v>0</v>
      </c>
      <c r="AL537" s="1">
        <f>D67</f>
        <v>0</v>
      </c>
      <c r="AM537" s="1">
        <f t="shared" si="46"/>
        <v>0</v>
      </c>
      <c r="AN537" s="1">
        <f t="shared" si="47"/>
        <v>0</v>
      </c>
      <c r="AO537" s="1">
        <f t="shared" si="48"/>
        <v>0</v>
      </c>
      <c r="AP537" t="b" cm="1">
        <f t="array" ref="AP537">INDEX($AU$8:$BB$25,6*(R537-1)+MATCH(AB537,$AS$8:$AS$13,0),MATCH(O537,$AU$7:$BB$7,0))</f>
        <v>1</v>
      </c>
    </row>
    <row r="538" spans="15:42" ht="14.25" x14ac:dyDescent="0.45">
      <c r="O538" s="43" t="s">
        <v>33</v>
      </c>
      <c r="P538" s="43">
        <v>1</v>
      </c>
      <c r="Q538" s="43">
        <v>5</v>
      </c>
      <c r="R538" s="43">
        <v>3</v>
      </c>
      <c r="S538" s="45"/>
      <c r="T538" t="b">
        <f>(S536+S537+S538)=R2</f>
        <v>0</v>
      </c>
      <c r="X538" s="1">
        <f t="shared" si="49"/>
        <v>0</v>
      </c>
      <c r="Y538" s="48">
        <v>0</v>
      </c>
      <c r="AA538" s="1">
        <v>11</v>
      </c>
      <c r="AB538" s="1" t="s">
        <v>16</v>
      </c>
      <c r="AC538" s="1" t="s">
        <v>22</v>
      </c>
      <c r="AD538" s="1">
        <v>12</v>
      </c>
      <c r="AE538" s="1">
        <v>9</v>
      </c>
      <c r="AF538" s="1">
        <v>0.8</v>
      </c>
      <c r="AG538" s="1">
        <v>0.9</v>
      </c>
      <c r="AH538" s="1">
        <v>0</v>
      </c>
      <c r="AI538" s="1">
        <v>0</v>
      </c>
      <c r="AJ538" s="1">
        <f t="shared" si="45"/>
        <v>0</v>
      </c>
      <c r="AK538" s="1">
        <f>E61</f>
        <v>0</v>
      </c>
      <c r="AL538" s="1">
        <f>E67</f>
        <v>0</v>
      </c>
      <c r="AM538" s="1">
        <f t="shared" si="46"/>
        <v>0</v>
      </c>
      <c r="AN538" s="1">
        <f t="shared" si="47"/>
        <v>0</v>
      </c>
      <c r="AO538" s="1">
        <f t="shared" si="48"/>
        <v>0</v>
      </c>
      <c r="AP538" t="b" cm="1">
        <f t="array" ref="AP538">INDEX($AU$8:$BB$25,6*(R538-1)+MATCH(AB538,$AS$8:$AS$13,0),MATCH(O538,$AU$7:$BB$7,0))</f>
        <v>1</v>
      </c>
    </row>
    <row r="539" spans="15:42" ht="14.25" x14ac:dyDescent="0.45">
      <c r="O539" s="43" t="s">
        <v>33</v>
      </c>
      <c r="P539" s="43">
        <v>1</v>
      </c>
      <c r="Q539" s="43">
        <v>6</v>
      </c>
      <c r="R539" s="43">
        <v>1</v>
      </c>
      <c r="S539" s="45"/>
      <c r="T539" t="b">
        <f>(S539+S540+S541)=R2</f>
        <v>0</v>
      </c>
      <c r="X539" s="1">
        <f t="shared" si="49"/>
        <v>0</v>
      </c>
      <c r="Y539" s="48">
        <v>0</v>
      </c>
      <c r="AA539" s="1">
        <v>7</v>
      </c>
      <c r="AB539" s="1" t="s">
        <v>14</v>
      </c>
      <c r="AC539" s="1" t="s">
        <v>20</v>
      </c>
      <c r="AD539" s="1">
        <v>27</v>
      </c>
      <c r="AE539" s="1">
        <v>21</v>
      </c>
      <c r="AF539" s="1">
        <v>0.8</v>
      </c>
      <c r="AG539" s="1">
        <v>0.88</v>
      </c>
      <c r="AH539" s="1">
        <v>0</v>
      </c>
      <c r="AI539" s="1">
        <v>0</v>
      </c>
      <c r="AJ539" s="1">
        <f t="shared" si="45"/>
        <v>0</v>
      </c>
      <c r="AK539" s="1">
        <f>C59</f>
        <v>0</v>
      </c>
      <c r="AL539" s="1">
        <f>C65</f>
        <v>0</v>
      </c>
      <c r="AM539" s="1">
        <f t="shared" si="46"/>
        <v>0</v>
      </c>
      <c r="AN539" s="1">
        <f t="shared" si="47"/>
        <v>0</v>
      </c>
      <c r="AO539" s="1">
        <f t="shared" si="48"/>
        <v>0</v>
      </c>
      <c r="AP539" t="b" cm="1">
        <f t="array" ref="AP539">INDEX($AU$8:$BB$25,6*(R539-1)+MATCH(AB539,$AS$8:$AS$13,0),MATCH(O539,$AU$7:$BB$7,0))</f>
        <v>1</v>
      </c>
    </row>
    <row r="540" spans="15:42" ht="14.25" x14ac:dyDescent="0.45">
      <c r="O540" s="43" t="s">
        <v>33</v>
      </c>
      <c r="P540" s="43">
        <v>1</v>
      </c>
      <c r="Q540" s="43">
        <v>6</v>
      </c>
      <c r="R540" s="43">
        <v>2</v>
      </c>
      <c r="S540" s="45"/>
      <c r="T540" t="b">
        <f>(S539+S540+S541)=R2</f>
        <v>0</v>
      </c>
      <c r="X540" s="1">
        <f t="shared" si="49"/>
        <v>0</v>
      </c>
      <c r="Y540" s="48">
        <v>0</v>
      </c>
      <c r="AA540" s="1">
        <v>7</v>
      </c>
      <c r="AB540" s="1" t="s">
        <v>14</v>
      </c>
      <c r="AC540" s="1" t="s">
        <v>20</v>
      </c>
      <c r="AD540" s="1">
        <v>27</v>
      </c>
      <c r="AE540" s="1">
        <v>21</v>
      </c>
      <c r="AF540" s="1">
        <v>0.8</v>
      </c>
      <c r="AG540" s="1">
        <v>0.88</v>
      </c>
      <c r="AH540" s="1">
        <v>0</v>
      </c>
      <c r="AI540" s="1">
        <v>0</v>
      </c>
      <c r="AJ540" s="1">
        <f t="shared" si="45"/>
        <v>0</v>
      </c>
      <c r="AK540" s="1">
        <f>D59</f>
        <v>0</v>
      </c>
      <c r="AL540" s="1">
        <f>D65</f>
        <v>0</v>
      </c>
      <c r="AM540" s="1">
        <f t="shared" si="46"/>
        <v>0</v>
      </c>
      <c r="AN540" s="1">
        <f t="shared" si="47"/>
        <v>0</v>
      </c>
      <c r="AO540" s="1">
        <f t="shared" si="48"/>
        <v>0</v>
      </c>
      <c r="AP540" t="b" cm="1">
        <f t="array" ref="AP540">INDEX($AU$8:$BB$25,6*(R540-1)+MATCH(AB540,$AS$8:$AS$13,0),MATCH(O540,$AU$7:$BB$7,0))</f>
        <v>1</v>
      </c>
    </row>
    <row r="541" spans="15:42" ht="14.25" x14ac:dyDescent="0.45">
      <c r="O541" s="43" t="s">
        <v>33</v>
      </c>
      <c r="P541" s="43">
        <v>1</v>
      </c>
      <c r="Q541" s="43">
        <v>6</v>
      </c>
      <c r="R541" s="43">
        <v>3</v>
      </c>
      <c r="S541" s="45"/>
      <c r="T541" t="b">
        <f>(S539+S540+S541)=R2</f>
        <v>0</v>
      </c>
      <c r="X541" s="1">
        <f t="shared" si="49"/>
        <v>0</v>
      </c>
      <c r="Y541" s="48">
        <v>0</v>
      </c>
      <c r="AA541" s="1">
        <v>7</v>
      </c>
      <c r="AB541" s="1" t="s">
        <v>14</v>
      </c>
      <c r="AC541" s="1" t="s">
        <v>20</v>
      </c>
      <c r="AD541" s="1">
        <v>27</v>
      </c>
      <c r="AE541" s="1">
        <v>21</v>
      </c>
      <c r="AF541" s="1">
        <v>0.8</v>
      </c>
      <c r="AG541" s="1">
        <v>0.88</v>
      </c>
      <c r="AH541" s="1">
        <v>0</v>
      </c>
      <c r="AI541" s="1">
        <v>0</v>
      </c>
      <c r="AJ541" s="1">
        <f t="shared" si="45"/>
        <v>0</v>
      </c>
      <c r="AK541" s="1">
        <f>E59</f>
        <v>0</v>
      </c>
      <c r="AL541" s="1">
        <f>E65</f>
        <v>0</v>
      </c>
      <c r="AM541" s="1">
        <f t="shared" si="46"/>
        <v>0</v>
      </c>
      <c r="AN541" s="1">
        <f t="shared" si="47"/>
        <v>0</v>
      </c>
      <c r="AO541" s="1">
        <f t="shared" si="48"/>
        <v>0</v>
      </c>
      <c r="AP541" t="b" cm="1">
        <f t="array" ref="AP541">INDEX($AU$8:$BB$25,6*(R541-1)+MATCH(AB541,$AS$8:$AS$13,0),MATCH(O541,$AU$7:$BB$7,0))</f>
        <v>1</v>
      </c>
    </row>
    <row r="542" spans="15:42" ht="14.25" x14ac:dyDescent="0.45">
      <c r="O542" s="43" t="s">
        <v>33</v>
      </c>
      <c r="P542" s="43">
        <v>1</v>
      </c>
      <c r="Q542" s="43">
        <v>7</v>
      </c>
      <c r="R542" s="43">
        <v>1</v>
      </c>
      <c r="S542" s="45"/>
      <c r="T542" t="b">
        <f>(S542+S543+S544)=R2</f>
        <v>0</v>
      </c>
      <c r="X542" s="1">
        <f t="shared" si="49"/>
        <v>0</v>
      </c>
      <c r="Y542" s="48">
        <v>0</v>
      </c>
      <c r="AA542" s="1">
        <v>9</v>
      </c>
      <c r="AB542" s="1" t="s">
        <v>14</v>
      </c>
      <c r="AC542" s="1" t="s">
        <v>20</v>
      </c>
      <c r="AD542" s="1">
        <v>17</v>
      </c>
      <c r="AE542" s="1">
        <v>13</v>
      </c>
      <c r="AF542" s="1">
        <v>0.8</v>
      </c>
      <c r="AG542" s="1">
        <v>0.88</v>
      </c>
      <c r="AH542" s="1">
        <v>0</v>
      </c>
      <c r="AI542" s="1">
        <v>0</v>
      </c>
      <c r="AJ542" s="1">
        <f t="shared" si="45"/>
        <v>0</v>
      </c>
      <c r="AK542" s="1">
        <f>C59</f>
        <v>0</v>
      </c>
      <c r="AL542" s="1">
        <f>C65</f>
        <v>0</v>
      </c>
      <c r="AM542" s="1">
        <f t="shared" si="46"/>
        <v>0</v>
      </c>
      <c r="AN542" s="1">
        <f t="shared" si="47"/>
        <v>0</v>
      </c>
      <c r="AO542" s="1">
        <f t="shared" si="48"/>
        <v>0</v>
      </c>
      <c r="AP542" t="b" cm="1">
        <f t="array" ref="AP542">INDEX($AU$8:$BB$25,6*(R542-1)+MATCH(AB542,$AS$8:$AS$13,0),MATCH(O542,$AU$7:$BB$7,0))</f>
        <v>1</v>
      </c>
    </row>
    <row r="543" spans="15:42" ht="14.25" x14ac:dyDescent="0.45">
      <c r="O543" s="43" t="s">
        <v>33</v>
      </c>
      <c r="P543" s="43">
        <v>1</v>
      </c>
      <c r="Q543" s="43">
        <v>7</v>
      </c>
      <c r="R543" s="43">
        <v>2</v>
      </c>
      <c r="S543" s="45"/>
      <c r="T543" t="b">
        <f>(S542+S543+S544)=R2</f>
        <v>0</v>
      </c>
      <c r="X543" s="1">
        <f t="shared" si="49"/>
        <v>0</v>
      </c>
      <c r="Y543" s="48">
        <v>0</v>
      </c>
      <c r="AA543" s="1">
        <v>9</v>
      </c>
      <c r="AB543" s="1" t="s">
        <v>14</v>
      </c>
      <c r="AC543" s="1" t="s">
        <v>20</v>
      </c>
      <c r="AD543" s="1">
        <v>17</v>
      </c>
      <c r="AE543" s="1">
        <v>13</v>
      </c>
      <c r="AF543" s="1">
        <v>0.8</v>
      </c>
      <c r="AG543" s="1">
        <v>0.88</v>
      </c>
      <c r="AH543" s="1">
        <v>0</v>
      </c>
      <c r="AI543" s="1">
        <v>0</v>
      </c>
      <c r="AJ543" s="1">
        <f t="shared" si="45"/>
        <v>0</v>
      </c>
      <c r="AK543" s="1">
        <f>D59</f>
        <v>0</v>
      </c>
      <c r="AL543" s="1">
        <f>D65</f>
        <v>0</v>
      </c>
      <c r="AM543" s="1">
        <f t="shared" si="46"/>
        <v>0</v>
      </c>
      <c r="AN543" s="1">
        <f t="shared" si="47"/>
        <v>0</v>
      </c>
      <c r="AO543" s="1">
        <f t="shared" si="48"/>
        <v>0</v>
      </c>
      <c r="AP543" t="b" cm="1">
        <f t="array" ref="AP543">INDEX($AU$8:$BB$25,6*(R543-1)+MATCH(AB543,$AS$8:$AS$13,0),MATCH(O543,$AU$7:$BB$7,0))</f>
        <v>1</v>
      </c>
    </row>
    <row r="544" spans="15:42" ht="14.25" x14ac:dyDescent="0.45">
      <c r="O544" s="43" t="s">
        <v>33</v>
      </c>
      <c r="P544" s="43">
        <v>1</v>
      </c>
      <c r="Q544" s="43">
        <v>7</v>
      </c>
      <c r="R544" s="43">
        <v>3</v>
      </c>
      <c r="S544" s="45"/>
      <c r="T544" t="b">
        <f>(S542+S543+S544)=R2</f>
        <v>0</v>
      </c>
      <c r="X544" s="1">
        <f t="shared" si="49"/>
        <v>0</v>
      </c>
      <c r="Y544" s="48">
        <v>0</v>
      </c>
      <c r="AA544" s="1">
        <v>9</v>
      </c>
      <c r="AB544" s="1" t="s">
        <v>14</v>
      </c>
      <c r="AC544" s="1" t="s">
        <v>20</v>
      </c>
      <c r="AD544" s="1">
        <v>17</v>
      </c>
      <c r="AE544" s="1">
        <v>13</v>
      </c>
      <c r="AF544" s="1">
        <v>0.8</v>
      </c>
      <c r="AG544" s="1">
        <v>0.88</v>
      </c>
      <c r="AH544" s="1">
        <v>0</v>
      </c>
      <c r="AI544" s="1">
        <v>0</v>
      </c>
      <c r="AJ544" s="1">
        <f t="shared" si="45"/>
        <v>0</v>
      </c>
      <c r="AK544" s="1">
        <f>E59</f>
        <v>0</v>
      </c>
      <c r="AL544" s="1">
        <f>E65</f>
        <v>0</v>
      </c>
      <c r="AM544" s="1">
        <f t="shared" si="46"/>
        <v>0</v>
      </c>
      <c r="AN544" s="1">
        <f t="shared" si="47"/>
        <v>0</v>
      </c>
      <c r="AO544" s="1">
        <f t="shared" si="48"/>
        <v>0</v>
      </c>
      <c r="AP544" t="b" cm="1">
        <f t="array" ref="AP544">INDEX($AU$8:$BB$25,6*(R544-1)+MATCH(AB544,$AS$8:$AS$13,0),MATCH(O544,$AU$7:$BB$7,0))</f>
        <v>1</v>
      </c>
    </row>
    <row r="545" spans="15:42" ht="14.25" x14ac:dyDescent="0.45">
      <c r="O545" s="43" t="s">
        <v>33</v>
      </c>
      <c r="P545" s="43">
        <v>1</v>
      </c>
      <c r="Q545" s="43">
        <v>8</v>
      </c>
      <c r="R545" s="43">
        <v>1</v>
      </c>
      <c r="S545" s="45"/>
      <c r="T545" t="b">
        <f>(S545+S546+S547)=R2</f>
        <v>0</v>
      </c>
      <c r="X545" s="1">
        <f t="shared" si="49"/>
        <v>0</v>
      </c>
      <c r="Y545" s="48">
        <v>0</v>
      </c>
      <c r="AA545" s="1">
        <v>1</v>
      </c>
      <c r="AB545" s="1" t="s">
        <v>10</v>
      </c>
      <c r="AC545" s="1" t="s">
        <v>17</v>
      </c>
      <c r="AD545" s="1">
        <v>18</v>
      </c>
      <c r="AE545" s="1">
        <v>16</v>
      </c>
      <c r="AF545" s="1">
        <v>0.78</v>
      </c>
      <c r="AG545" s="1">
        <v>0.84</v>
      </c>
      <c r="AH545" s="1">
        <v>0</v>
      </c>
      <c r="AI545" s="1">
        <v>0</v>
      </c>
      <c r="AJ545" s="1">
        <f t="shared" si="45"/>
        <v>0</v>
      </c>
      <c r="AK545" s="1">
        <f>C56</f>
        <v>0</v>
      </c>
      <c r="AL545" s="1">
        <f>C62</f>
        <v>0</v>
      </c>
      <c r="AM545" s="1">
        <f t="shared" si="46"/>
        <v>0</v>
      </c>
      <c r="AN545" s="1">
        <f t="shared" si="47"/>
        <v>0</v>
      </c>
      <c r="AO545" s="1">
        <f t="shared" si="48"/>
        <v>0</v>
      </c>
      <c r="AP545" t="b" cm="1">
        <f t="array" ref="AP545">INDEX($AU$8:$BB$25,6*(R545-1)+MATCH(AB545,$AS$8:$AS$13,0),MATCH(O545,$AU$7:$BB$7,0))</f>
        <v>1</v>
      </c>
    </row>
    <row r="546" spans="15:42" ht="14.25" x14ac:dyDescent="0.45">
      <c r="O546" s="43" t="s">
        <v>33</v>
      </c>
      <c r="P546" s="43">
        <v>1</v>
      </c>
      <c r="Q546" s="43">
        <v>8</v>
      </c>
      <c r="R546" s="43">
        <v>2</v>
      </c>
      <c r="S546" s="45"/>
      <c r="T546" t="b">
        <f>(S545+S546+S547)=R2</f>
        <v>0</v>
      </c>
      <c r="X546" s="1">
        <f t="shared" si="49"/>
        <v>0</v>
      </c>
      <c r="Y546" s="48">
        <v>0</v>
      </c>
      <c r="AA546" s="1">
        <v>1</v>
      </c>
      <c r="AB546" s="1" t="s">
        <v>10</v>
      </c>
      <c r="AC546" s="1" t="s">
        <v>17</v>
      </c>
      <c r="AD546" s="1">
        <v>18</v>
      </c>
      <c r="AE546" s="1">
        <v>16</v>
      </c>
      <c r="AF546" s="1">
        <v>0.78</v>
      </c>
      <c r="AG546" s="1">
        <v>0.84</v>
      </c>
      <c r="AH546" s="1">
        <v>0</v>
      </c>
      <c r="AI546" s="1">
        <v>0</v>
      </c>
      <c r="AJ546" s="1">
        <f t="shared" si="45"/>
        <v>0</v>
      </c>
      <c r="AK546" s="1">
        <f>D56</f>
        <v>0</v>
      </c>
      <c r="AL546" s="1">
        <f>D62</f>
        <v>0</v>
      </c>
      <c r="AM546" s="1">
        <f t="shared" si="46"/>
        <v>0</v>
      </c>
      <c r="AN546" s="1">
        <f t="shared" si="47"/>
        <v>0</v>
      </c>
      <c r="AO546" s="1">
        <f t="shared" si="48"/>
        <v>0</v>
      </c>
      <c r="AP546" t="b" cm="1">
        <f t="array" ref="AP546">INDEX($AU$8:$BB$25,6*(R546-1)+MATCH(AB546,$AS$8:$AS$13,0),MATCH(O546,$AU$7:$BB$7,0))</f>
        <v>1</v>
      </c>
    </row>
    <row r="547" spans="15:42" ht="14.25" x14ac:dyDescent="0.45">
      <c r="O547" s="43" t="s">
        <v>33</v>
      </c>
      <c r="P547" s="43">
        <v>1</v>
      </c>
      <c r="Q547" s="43">
        <v>8</v>
      </c>
      <c r="R547" s="43">
        <v>3</v>
      </c>
      <c r="S547" s="45"/>
      <c r="T547" t="b">
        <f>(S545+S546+S547)=R2</f>
        <v>0</v>
      </c>
      <c r="X547" s="1">
        <f t="shared" si="49"/>
        <v>0</v>
      </c>
      <c r="Y547" s="48">
        <v>0</v>
      </c>
      <c r="AA547" s="1">
        <v>1</v>
      </c>
      <c r="AB547" s="1" t="s">
        <v>10</v>
      </c>
      <c r="AC547" s="1" t="s">
        <v>17</v>
      </c>
      <c r="AD547" s="1">
        <v>18</v>
      </c>
      <c r="AE547" s="1">
        <v>16</v>
      </c>
      <c r="AF547" s="1">
        <v>0.78</v>
      </c>
      <c r="AG547" s="1">
        <v>0.84</v>
      </c>
      <c r="AH547" s="1">
        <v>0</v>
      </c>
      <c r="AI547" s="1">
        <v>0</v>
      </c>
      <c r="AJ547" s="1">
        <f t="shared" si="45"/>
        <v>0</v>
      </c>
      <c r="AK547" s="1">
        <f>E56</f>
        <v>0</v>
      </c>
      <c r="AL547" s="1">
        <f>E62</f>
        <v>0</v>
      </c>
      <c r="AM547" s="1">
        <f t="shared" si="46"/>
        <v>0</v>
      </c>
      <c r="AN547" s="1">
        <f t="shared" si="47"/>
        <v>0</v>
      </c>
      <c r="AO547" s="1">
        <f t="shared" si="48"/>
        <v>0</v>
      </c>
      <c r="AP547" t="b" cm="1">
        <f t="array" ref="AP547">INDEX($AU$8:$BB$25,6*(R547-1)+MATCH(AB547,$AS$8:$AS$13,0),MATCH(O547,$AU$7:$BB$7,0))</f>
        <v>1</v>
      </c>
    </row>
    <row r="548" spans="15:42" ht="14.25" x14ac:dyDescent="0.45">
      <c r="O548" s="43" t="s">
        <v>33</v>
      </c>
      <c r="P548" s="43">
        <v>1</v>
      </c>
      <c r="Q548" s="43">
        <v>9</v>
      </c>
      <c r="R548" s="43">
        <v>1</v>
      </c>
      <c r="S548" s="45"/>
      <c r="T548" t="b">
        <f>(S548+S549+S550)=R2</f>
        <v>0</v>
      </c>
      <c r="X548" s="1">
        <f t="shared" si="49"/>
        <v>0</v>
      </c>
      <c r="Y548" s="48">
        <v>0</v>
      </c>
      <c r="AA548" s="1">
        <v>2</v>
      </c>
      <c r="AB548" s="1" t="s">
        <v>10</v>
      </c>
      <c r="AC548" s="1" t="s">
        <v>17</v>
      </c>
      <c r="AD548" s="1">
        <v>16</v>
      </c>
      <c r="AE548" s="1">
        <v>13</v>
      </c>
      <c r="AF548" s="1">
        <v>0.78</v>
      </c>
      <c r="AG548" s="1">
        <v>0.84</v>
      </c>
      <c r="AH548" s="1">
        <v>0</v>
      </c>
      <c r="AI548" s="1">
        <v>0</v>
      </c>
      <c r="AJ548" s="1">
        <f t="shared" si="45"/>
        <v>0</v>
      </c>
      <c r="AK548" s="1">
        <f>C56</f>
        <v>0</v>
      </c>
      <c r="AL548" s="1">
        <f>C62</f>
        <v>0</v>
      </c>
      <c r="AM548" s="1">
        <f t="shared" si="46"/>
        <v>0</v>
      </c>
      <c r="AN548" s="1">
        <f t="shared" si="47"/>
        <v>0</v>
      </c>
      <c r="AO548" s="1">
        <f t="shared" si="48"/>
        <v>0</v>
      </c>
      <c r="AP548" t="b" cm="1">
        <f t="array" ref="AP548">INDEX($AU$8:$BB$25,6*(R548-1)+MATCH(AB548,$AS$8:$AS$13,0),MATCH(O548,$AU$7:$BB$7,0))</f>
        <v>1</v>
      </c>
    </row>
    <row r="549" spans="15:42" ht="14.25" x14ac:dyDescent="0.45">
      <c r="O549" s="43" t="s">
        <v>33</v>
      </c>
      <c r="P549" s="43">
        <v>1</v>
      </c>
      <c r="Q549" s="43">
        <v>9</v>
      </c>
      <c r="R549" s="43">
        <v>2</v>
      </c>
      <c r="S549" s="45"/>
      <c r="T549" t="b">
        <f>(S548+S549+S550)=R2</f>
        <v>0</v>
      </c>
      <c r="X549" s="1">
        <f t="shared" si="49"/>
        <v>0</v>
      </c>
      <c r="Y549" s="48">
        <v>0</v>
      </c>
      <c r="AA549" s="1">
        <v>2</v>
      </c>
      <c r="AB549" s="1" t="s">
        <v>10</v>
      </c>
      <c r="AC549" s="1" t="s">
        <v>17</v>
      </c>
      <c r="AD549" s="1">
        <v>16</v>
      </c>
      <c r="AE549" s="1">
        <v>13</v>
      </c>
      <c r="AF549" s="1">
        <v>0.78</v>
      </c>
      <c r="AG549" s="1">
        <v>0.84</v>
      </c>
      <c r="AH549" s="1">
        <v>0</v>
      </c>
      <c r="AI549" s="1">
        <v>0</v>
      </c>
      <c r="AJ549" s="1">
        <f t="shared" si="45"/>
        <v>0</v>
      </c>
      <c r="AK549" s="1">
        <f>D56</f>
        <v>0</v>
      </c>
      <c r="AL549" s="1">
        <f>D62</f>
        <v>0</v>
      </c>
      <c r="AM549" s="1">
        <f t="shared" si="46"/>
        <v>0</v>
      </c>
      <c r="AN549" s="1">
        <f t="shared" si="47"/>
        <v>0</v>
      </c>
      <c r="AO549" s="1">
        <f t="shared" si="48"/>
        <v>0</v>
      </c>
      <c r="AP549" t="b" cm="1">
        <f t="array" ref="AP549">INDEX($AU$8:$BB$25,6*(R549-1)+MATCH(AB549,$AS$8:$AS$13,0),MATCH(O549,$AU$7:$BB$7,0))</f>
        <v>1</v>
      </c>
    </row>
    <row r="550" spans="15:42" ht="14.25" x14ac:dyDescent="0.45">
      <c r="O550" s="43" t="s">
        <v>33</v>
      </c>
      <c r="P550" s="43">
        <v>1</v>
      </c>
      <c r="Q550" s="43">
        <v>9</v>
      </c>
      <c r="R550" s="43">
        <v>3</v>
      </c>
      <c r="S550" s="45"/>
      <c r="T550" t="b">
        <f>(S548+S549+S550)=R2</f>
        <v>0</v>
      </c>
      <c r="X550" s="1">
        <f t="shared" si="49"/>
        <v>0</v>
      </c>
      <c r="Y550" s="48">
        <v>0</v>
      </c>
      <c r="AA550" s="1">
        <v>2</v>
      </c>
      <c r="AB550" s="1" t="s">
        <v>10</v>
      </c>
      <c r="AC550" s="1" t="s">
        <v>17</v>
      </c>
      <c r="AD550" s="1">
        <v>16</v>
      </c>
      <c r="AE550" s="1">
        <v>13</v>
      </c>
      <c r="AF550" s="1">
        <v>0.78</v>
      </c>
      <c r="AG550" s="1">
        <v>0.84</v>
      </c>
      <c r="AH550" s="1">
        <v>0</v>
      </c>
      <c r="AI550" s="1">
        <v>0</v>
      </c>
      <c r="AJ550" s="1">
        <f t="shared" si="45"/>
        <v>0</v>
      </c>
      <c r="AK550" s="1">
        <f>E56</f>
        <v>0</v>
      </c>
      <c r="AL550" s="1">
        <f>E62</f>
        <v>0</v>
      </c>
      <c r="AM550" s="1">
        <f t="shared" si="46"/>
        <v>0</v>
      </c>
      <c r="AN550" s="1">
        <f t="shared" si="47"/>
        <v>0</v>
      </c>
      <c r="AO550" s="1">
        <f t="shared" si="48"/>
        <v>0</v>
      </c>
      <c r="AP550" t="b" cm="1">
        <f t="array" ref="AP550">INDEX($AU$8:$BB$25,6*(R550-1)+MATCH(AB550,$AS$8:$AS$13,0),MATCH(O550,$AU$7:$BB$7,0))</f>
        <v>1</v>
      </c>
    </row>
    <row r="551" spans="15:42" ht="14.25" x14ac:dyDescent="0.45">
      <c r="O551" s="43" t="s">
        <v>33</v>
      </c>
      <c r="P551" s="43">
        <v>1</v>
      </c>
      <c r="Q551" s="43">
        <v>10</v>
      </c>
      <c r="R551" s="43">
        <v>1</v>
      </c>
      <c r="S551" s="45"/>
      <c r="T551" t="b">
        <f>(S551+S552+S553)=R2</f>
        <v>0</v>
      </c>
      <c r="X551" s="1">
        <f t="shared" si="49"/>
        <v>0</v>
      </c>
      <c r="Y551" s="48">
        <v>0</v>
      </c>
      <c r="AA551" s="1">
        <v>6</v>
      </c>
      <c r="AB551" s="1" t="s">
        <v>14</v>
      </c>
      <c r="AC551" s="1" t="s">
        <v>20</v>
      </c>
      <c r="AD551" s="1">
        <v>14</v>
      </c>
      <c r="AE551" s="1">
        <v>11</v>
      </c>
      <c r="AF551" s="1">
        <v>0.8</v>
      </c>
      <c r="AG551" s="1">
        <v>0.88</v>
      </c>
      <c r="AH551" s="1">
        <v>0</v>
      </c>
      <c r="AI551" s="1">
        <v>0</v>
      </c>
      <c r="AJ551" s="1">
        <f t="shared" si="45"/>
        <v>0</v>
      </c>
      <c r="AK551" s="1">
        <f>C59</f>
        <v>0</v>
      </c>
      <c r="AL551" s="1">
        <f>C65</f>
        <v>0</v>
      </c>
      <c r="AM551" s="1">
        <f t="shared" si="46"/>
        <v>0</v>
      </c>
      <c r="AN551" s="1">
        <f t="shared" si="47"/>
        <v>0</v>
      </c>
      <c r="AO551" s="1">
        <f t="shared" si="48"/>
        <v>0</v>
      </c>
      <c r="AP551" t="b" cm="1">
        <f t="array" ref="AP551">INDEX($AU$8:$BB$25,6*(R551-1)+MATCH(AB551,$AS$8:$AS$13,0),MATCH(O551,$AU$7:$BB$7,0))</f>
        <v>1</v>
      </c>
    </row>
    <row r="552" spans="15:42" ht="14.25" x14ac:dyDescent="0.45">
      <c r="O552" s="43" t="s">
        <v>33</v>
      </c>
      <c r="P552" s="43">
        <v>1</v>
      </c>
      <c r="Q552" s="43">
        <v>10</v>
      </c>
      <c r="R552" s="43">
        <v>2</v>
      </c>
      <c r="S552" s="45"/>
      <c r="T552" t="b">
        <f>(S551+S552+S553)=R2</f>
        <v>0</v>
      </c>
      <c r="X552" s="1">
        <f t="shared" si="49"/>
        <v>0</v>
      </c>
      <c r="Y552" s="48">
        <v>0</v>
      </c>
      <c r="AA552" s="1">
        <v>6</v>
      </c>
      <c r="AB552" s="1" t="s">
        <v>14</v>
      </c>
      <c r="AC552" s="1" t="s">
        <v>20</v>
      </c>
      <c r="AD552" s="1">
        <v>14</v>
      </c>
      <c r="AE552" s="1">
        <v>11</v>
      </c>
      <c r="AF552" s="1">
        <v>0.8</v>
      </c>
      <c r="AG552" s="1">
        <v>0.88</v>
      </c>
      <c r="AH552" s="1">
        <v>0</v>
      </c>
      <c r="AI552" s="1">
        <v>0</v>
      </c>
      <c r="AJ552" s="1">
        <f t="shared" si="45"/>
        <v>0</v>
      </c>
      <c r="AK552" s="1">
        <f>D59</f>
        <v>0</v>
      </c>
      <c r="AL552" s="1">
        <f>D65</f>
        <v>0</v>
      </c>
      <c r="AM552" s="1">
        <f t="shared" si="46"/>
        <v>0</v>
      </c>
      <c r="AN552" s="1">
        <f t="shared" si="47"/>
        <v>0</v>
      </c>
      <c r="AO552" s="1">
        <f t="shared" si="48"/>
        <v>0</v>
      </c>
      <c r="AP552" t="b" cm="1">
        <f t="array" ref="AP552">INDEX($AU$8:$BB$25,6*(R552-1)+MATCH(AB552,$AS$8:$AS$13,0),MATCH(O552,$AU$7:$BB$7,0))</f>
        <v>1</v>
      </c>
    </row>
    <row r="553" spans="15:42" ht="14.25" x14ac:dyDescent="0.45">
      <c r="O553" s="43" t="s">
        <v>33</v>
      </c>
      <c r="P553" s="43">
        <v>1</v>
      </c>
      <c r="Q553" s="43">
        <v>10</v>
      </c>
      <c r="R553" s="43">
        <v>3</v>
      </c>
      <c r="S553" s="45"/>
      <c r="T553" t="b">
        <f>(S551+S552+S553)=R2</f>
        <v>0</v>
      </c>
      <c r="X553" s="1">
        <f t="shared" si="49"/>
        <v>0</v>
      </c>
      <c r="Y553" s="48">
        <v>0</v>
      </c>
      <c r="AA553" s="1">
        <v>6</v>
      </c>
      <c r="AB553" s="1" t="s">
        <v>14</v>
      </c>
      <c r="AC553" s="1" t="s">
        <v>20</v>
      </c>
      <c r="AD553" s="1">
        <v>14</v>
      </c>
      <c r="AE553" s="1">
        <v>11</v>
      </c>
      <c r="AF553" s="1">
        <v>0.8</v>
      </c>
      <c r="AG553" s="1">
        <v>0.88</v>
      </c>
      <c r="AH553" s="1">
        <v>0</v>
      </c>
      <c r="AI553" s="1">
        <v>0</v>
      </c>
      <c r="AJ553" s="1">
        <f t="shared" si="45"/>
        <v>0</v>
      </c>
      <c r="AK553" s="1">
        <f>E59</f>
        <v>0</v>
      </c>
      <c r="AL553" s="1">
        <f>E65</f>
        <v>0</v>
      </c>
      <c r="AM553" s="1">
        <f t="shared" si="46"/>
        <v>0</v>
      </c>
      <c r="AN553" s="1">
        <f t="shared" si="47"/>
        <v>0</v>
      </c>
      <c r="AO553" s="1">
        <f t="shared" si="48"/>
        <v>0</v>
      </c>
      <c r="AP553" t="b" cm="1">
        <f t="array" ref="AP553">INDEX($AU$8:$BB$25,6*(R553-1)+MATCH(AB553,$AS$8:$AS$13,0),MATCH(O553,$AU$7:$BB$7,0))</f>
        <v>1</v>
      </c>
    </row>
    <row r="554" spans="15:42" ht="14.25" x14ac:dyDescent="0.45">
      <c r="O554" s="43" t="s">
        <v>33</v>
      </c>
      <c r="P554" s="43">
        <v>1</v>
      </c>
      <c r="Q554" s="43">
        <v>11</v>
      </c>
      <c r="R554" s="43">
        <v>1</v>
      </c>
      <c r="S554" s="45"/>
      <c r="T554" t="b">
        <f>(S554+S555+S556)=R2</f>
        <v>0</v>
      </c>
      <c r="X554" s="1">
        <f t="shared" si="49"/>
        <v>0</v>
      </c>
      <c r="Y554" s="48">
        <v>0</v>
      </c>
      <c r="AA554" s="1">
        <v>3</v>
      </c>
      <c r="AB554" s="1" t="s">
        <v>16</v>
      </c>
      <c r="AC554" s="1" t="s">
        <v>22</v>
      </c>
      <c r="AD554" s="1">
        <v>18</v>
      </c>
      <c r="AE554" s="1">
        <v>16</v>
      </c>
      <c r="AF554" s="1">
        <v>0.8</v>
      </c>
      <c r="AG554" s="1">
        <v>0.9</v>
      </c>
      <c r="AH554" s="1">
        <v>0</v>
      </c>
      <c r="AI554" s="1">
        <v>0</v>
      </c>
      <c r="AJ554" s="1">
        <f t="shared" si="45"/>
        <v>0</v>
      </c>
      <c r="AK554" s="1">
        <f>C61</f>
        <v>0</v>
      </c>
      <c r="AL554" s="1">
        <f>C67</f>
        <v>0</v>
      </c>
      <c r="AM554" s="1">
        <f t="shared" si="46"/>
        <v>0</v>
      </c>
      <c r="AN554" s="1">
        <f t="shared" si="47"/>
        <v>0</v>
      </c>
      <c r="AO554" s="1">
        <f t="shared" si="48"/>
        <v>0</v>
      </c>
      <c r="AP554" t="b" cm="1">
        <f t="array" ref="AP554">INDEX($AU$8:$BB$25,6*(R554-1)+MATCH(AB554,$AS$8:$AS$13,0),MATCH(O554,$AU$7:$BB$7,0))</f>
        <v>1</v>
      </c>
    </row>
    <row r="555" spans="15:42" ht="14.25" x14ac:dyDescent="0.45">
      <c r="O555" s="43" t="s">
        <v>33</v>
      </c>
      <c r="P555" s="43">
        <v>1</v>
      </c>
      <c r="Q555" s="43">
        <v>11</v>
      </c>
      <c r="R555" s="43">
        <v>2</v>
      </c>
      <c r="S555" s="45"/>
      <c r="T555" t="b">
        <f>(S554+S555+S556)=R2</f>
        <v>0</v>
      </c>
      <c r="X555" s="1">
        <f t="shared" si="49"/>
        <v>0</v>
      </c>
      <c r="Y555" s="48">
        <v>0</v>
      </c>
      <c r="AA555" s="1">
        <v>3</v>
      </c>
      <c r="AB555" s="1" t="s">
        <v>16</v>
      </c>
      <c r="AC555" s="1" t="s">
        <v>22</v>
      </c>
      <c r="AD555" s="1">
        <v>18</v>
      </c>
      <c r="AE555" s="1">
        <v>16</v>
      </c>
      <c r="AF555" s="1">
        <v>0.8</v>
      </c>
      <c r="AG555" s="1">
        <v>0.9</v>
      </c>
      <c r="AH555" s="1">
        <v>0</v>
      </c>
      <c r="AI555" s="1">
        <v>0</v>
      </c>
      <c r="AJ555" s="1">
        <f t="shared" si="45"/>
        <v>0</v>
      </c>
      <c r="AK555" s="1">
        <f>D61</f>
        <v>0</v>
      </c>
      <c r="AL555" s="1">
        <f>D67</f>
        <v>0</v>
      </c>
      <c r="AM555" s="1">
        <f t="shared" si="46"/>
        <v>0</v>
      </c>
      <c r="AN555" s="1">
        <f t="shared" si="47"/>
        <v>0</v>
      </c>
      <c r="AO555" s="1">
        <f t="shared" si="48"/>
        <v>0</v>
      </c>
      <c r="AP555" t="b" cm="1">
        <f t="array" ref="AP555">INDEX($AU$8:$BB$25,6*(R555-1)+MATCH(AB555,$AS$8:$AS$13,0),MATCH(O555,$AU$7:$BB$7,0))</f>
        <v>1</v>
      </c>
    </row>
    <row r="556" spans="15:42" ht="14.25" x14ac:dyDescent="0.45">
      <c r="O556" s="43" t="s">
        <v>33</v>
      </c>
      <c r="P556" s="43">
        <v>1</v>
      </c>
      <c r="Q556" s="43">
        <v>11</v>
      </c>
      <c r="R556" s="43">
        <v>3</v>
      </c>
      <c r="S556" s="45"/>
      <c r="T556" t="b">
        <f>(S554+S555+S556)=R2</f>
        <v>0</v>
      </c>
      <c r="X556" s="1">
        <f t="shared" si="49"/>
        <v>0</v>
      </c>
      <c r="Y556" s="48">
        <v>0</v>
      </c>
      <c r="AA556" s="1">
        <v>3</v>
      </c>
      <c r="AB556" s="1" t="s">
        <v>16</v>
      </c>
      <c r="AC556" s="1" t="s">
        <v>22</v>
      </c>
      <c r="AD556" s="1">
        <v>18</v>
      </c>
      <c r="AE556" s="1">
        <v>16</v>
      </c>
      <c r="AF556" s="1">
        <v>0.8</v>
      </c>
      <c r="AG556" s="1">
        <v>0.9</v>
      </c>
      <c r="AH556" s="1">
        <v>0</v>
      </c>
      <c r="AI556" s="1">
        <v>0</v>
      </c>
      <c r="AJ556" s="1">
        <f t="shared" si="45"/>
        <v>0</v>
      </c>
      <c r="AK556" s="1">
        <f>E61</f>
        <v>0</v>
      </c>
      <c r="AL556" s="1">
        <f>E67</f>
        <v>0</v>
      </c>
      <c r="AM556" s="1">
        <f t="shared" si="46"/>
        <v>0</v>
      </c>
      <c r="AN556" s="1">
        <f t="shared" si="47"/>
        <v>0</v>
      </c>
      <c r="AO556" s="1">
        <f t="shared" si="48"/>
        <v>0</v>
      </c>
      <c r="AP556" t="b" cm="1">
        <f t="array" ref="AP556">INDEX($AU$8:$BB$25,6*(R556-1)+MATCH(AB556,$AS$8:$AS$13,0),MATCH(O556,$AU$7:$BB$7,0))</f>
        <v>1</v>
      </c>
    </row>
    <row r="557" spans="15:42" ht="14.25" x14ac:dyDescent="0.45">
      <c r="O557" s="43" t="s">
        <v>33</v>
      </c>
      <c r="P557" s="43">
        <v>2</v>
      </c>
      <c r="Q557" s="43">
        <v>1</v>
      </c>
      <c r="R557" s="43">
        <v>1</v>
      </c>
      <c r="S557" s="45"/>
      <c r="T557" t="b">
        <f>(S557+S558+S559)=R3</f>
        <v>0</v>
      </c>
      <c r="X557" s="1">
        <v>0</v>
      </c>
      <c r="Y557" s="48">
        <v>0</v>
      </c>
      <c r="AA557" s="1">
        <v>9</v>
      </c>
      <c r="AB557" s="1" t="s">
        <v>16</v>
      </c>
      <c r="AC557" s="1" t="s">
        <v>22</v>
      </c>
      <c r="AD557" s="1">
        <v>19</v>
      </c>
      <c r="AE557" s="1">
        <v>16</v>
      </c>
      <c r="AF557" s="1">
        <v>0.8</v>
      </c>
      <c r="AG557" s="1">
        <v>0.9</v>
      </c>
      <c r="AH557" s="1">
        <v>0</v>
      </c>
      <c r="AI557" s="1">
        <v>0</v>
      </c>
      <c r="AJ557" s="1">
        <f t="shared" si="45"/>
        <v>0</v>
      </c>
      <c r="AK557" s="1">
        <f>C61</f>
        <v>0</v>
      </c>
      <c r="AL557" s="1">
        <f>C67</f>
        <v>0</v>
      </c>
      <c r="AM557" s="1">
        <f t="shared" si="46"/>
        <v>0</v>
      </c>
      <c r="AN557" s="1">
        <f t="shared" si="47"/>
        <v>0</v>
      </c>
      <c r="AO557" s="1">
        <f t="shared" si="48"/>
        <v>0</v>
      </c>
      <c r="AP557" t="b" cm="1">
        <f t="array" ref="AP557">INDEX($AU$8:$BB$25,6*(R557-1)+MATCH(AB557,$AS$8:$AS$13,0),MATCH(O557,$AU$7:$BB$7,0))</f>
        <v>1</v>
      </c>
    </row>
    <row r="558" spans="15:42" ht="14.25" x14ac:dyDescent="0.45">
      <c r="O558" s="43" t="s">
        <v>33</v>
      </c>
      <c r="P558" s="43">
        <v>2</v>
      </c>
      <c r="Q558" s="43">
        <v>1</v>
      </c>
      <c r="R558" s="43">
        <v>2</v>
      </c>
      <c r="S558" s="45"/>
      <c r="T558" t="b">
        <f>(S557+S558+S559)=R3</f>
        <v>0</v>
      </c>
      <c r="X558" s="1">
        <v>0</v>
      </c>
      <c r="Y558" s="48">
        <v>0</v>
      </c>
      <c r="AA558" s="1">
        <v>9</v>
      </c>
      <c r="AB558" s="1" t="s">
        <v>16</v>
      </c>
      <c r="AC558" s="1" t="s">
        <v>22</v>
      </c>
      <c r="AD558" s="1">
        <v>19</v>
      </c>
      <c r="AE558" s="1">
        <v>16</v>
      </c>
      <c r="AF558" s="1">
        <v>0.8</v>
      </c>
      <c r="AG558" s="1">
        <v>0.9</v>
      </c>
      <c r="AH558" s="1">
        <v>0</v>
      </c>
      <c r="AI558" s="1">
        <v>0</v>
      </c>
      <c r="AJ558" s="1">
        <f t="shared" si="45"/>
        <v>0</v>
      </c>
      <c r="AK558" s="1">
        <f>D61</f>
        <v>0</v>
      </c>
      <c r="AL558" s="1">
        <f>D67</f>
        <v>0</v>
      </c>
      <c r="AM558" s="1">
        <f t="shared" si="46"/>
        <v>0</v>
      </c>
      <c r="AN558" s="1">
        <f t="shared" si="47"/>
        <v>0</v>
      </c>
      <c r="AO558" s="1">
        <f t="shared" si="48"/>
        <v>0</v>
      </c>
      <c r="AP558" t="b" cm="1">
        <f t="array" ref="AP558">INDEX($AU$8:$BB$25,6*(R558-1)+MATCH(AB558,$AS$8:$AS$13,0),MATCH(O558,$AU$7:$BB$7,0))</f>
        <v>1</v>
      </c>
    </row>
    <row r="559" spans="15:42" ht="14.25" x14ac:dyDescent="0.45">
      <c r="O559" s="43" t="s">
        <v>33</v>
      </c>
      <c r="P559" s="43">
        <v>2</v>
      </c>
      <c r="Q559" s="43">
        <v>1</v>
      </c>
      <c r="R559" s="43">
        <v>3</v>
      </c>
      <c r="S559" s="45"/>
      <c r="T559" t="b">
        <f>(S557+S558+S559)=R3</f>
        <v>0</v>
      </c>
      <c r="X559" s="1">
        <v>0</v>
      </c>
      <c r="Y559" s="48">
        <v>0</v>
      </c>
      <c r="AA559" s="1">
        <v>9</v>
      </c>
      <c r="AB559" s="1" t="s">
        <v>16</v>
      </c>
      <c r="AC559" s="1" t="s">
        <v>22</v>
      </c>
      <c r="AD559" s="1">
        <v>19</v>
      </c>
      <c r="AE559" s="1">
        <v>16</v>
      </c>
      <c r="AF559" s="1">
        <v>0.8</v>
      </c>
      <c r="AG559" s="1">
        <v>0.9</v>
      </c>
      <c r="AH559" s="1">
        <v>0</v>
      </c>
      <c r="AI559" s="1">
        <v>0</v>
      </c>
      <c r="AJ559" s="1">
        <f t="shared" si="45"/>
        <v>0</v>
      </c>
      <c r="AK559" s="1">
        <f>E61</f>
        <v>0</v>
      </c>
      <c r="AL559" s="1">
        <f>E67</f>
        <v>0</v>
      </c>
      <c r="AM559" s="1">
        <f t="shared" si="46"/>
        <v>0</v>
      </c>
      <c r="AN559" s="1">
        <f t="shared" si="47"/>
        <v>0</v>
      </c>
      <c r="AO559" s="1">
        <f t="shared" si="48"/>
        <v>0</v>
      </c>
      <c r="AP559" t="b" cm="1">
        <f t="array" ref="AP559">INDEX($AU$8:$BB$25,6*(R559-1)+MATCH(AB559,$AS$8:$AS$13,0),MATCH(O559,$AU$7:$BB$7,0))</f>
        <v>1</v>
      </c>
    </row>
    <row r="560" spans="15:42" ht="14.25" x14ac:dyDescent="0.45">
      <c r="O560" s="43" t="s">
        <v>33</v>
      </c>
      <c r="P560" s="43">
        <v>2</v>
      </c>
      <c r="Q560" s="43">
        <v>2</v>
      </c>
      <c r="R560" s="43">
        <v>1</v>
      </c>
      <c r="S560" s="45"/>
      <c r="T560" t="b">
        <f>(S560+S561+S562)=R3</f>
        <v>0</v>
      </c>
      <c r="X560" s="1">
        <f t="shared" ref="X560:X601" si="50">MAX(S557-S560,0)</f>
        <v>0</v>
      </c>
      <c r="Y560" s="48">
        <v>0</v>
      </c>
      <c r="AA560" s="1">
        <v>1</v>
      </c>
      <c r="AB560" s="1" t="s">
        <v>12</v>
      </c>
      <c r="AC560" s="1" t="s">
        <v>18</v>
      </c>
      <c r="AD560" s="1">
        <v>20</v>
      </c>
      <c r="AE560" s="1">
        <v>18</v>
      </c>
      <c r="AF560" s="1">
        <v>0.76</v>
      </c>
      <c r="AG560" s="1">
        <v>0.81</v>
      </c>
      <c r="AH560" s="1">
        <v>0</v>
      </c>
      <c r="AI560" s="1">
        <v>0</v>
      </c>
      <c r="AJ560" s="1">
        <f t="shared" si="45"/>
        <v>0</v>
      </c>
      <c r="AK560" s="1">
        <f>C57</f>
        <v>0</v>
      </c>
      <c r="AL560" s="1">
        <f>C63</f>
        <v>0</v>
      </c>
      <c r="AM560" s="1">
        <f t="shared" si="46"/>
        <v>0</v>
      </c>
      <c r="AN560" s="1">
        <f t="shared" si="47"/>
        <v>0</v>
      </c>
      <c r="AO560" s="1">
        <f t="shared" si="48"/>
        <v>0</v>
      </c>
      <c r="AP560" t="b" cm="1">
        <f t="array" ref="AP560">INDEX($AU$8:$BB$25,6*(R560-1)+MATCH(AB560,$AS$8:$AS$13,0),MATCH(O560,$AU$7:$BB$7,0))</f>
        <v>1</v>
      </c>
    </row>
    <row r="561" spans="15:42" ht="14.25" x14ac:dyDescent="0.45">
      <c r="O561" s="43" t="s">
        <v>33</v>
      </c>
      <c r="P561" s="43">
        <v>2</v>
      </c>
      <c r="Q561" s="43">
        <v>2</v>
      </c>
      <c r="R561" s="43">
        <v>2</v>
      </c>
      <c r="S561" s="45"/>
      <c r="T561" t="b">
        <f>(S560+S561+S562)=R3</f>
        <v>0</v>
      </c>
      <c r="X561" s="1">
        <f t="shared" si="50"/>
        <v>0</v>
      </c>
      <c r="Y561" s="48">
        <v>0</v>
      </c>
      <c r="AA561" s="1">
        <v>1</v>
      </c>
      <c r="AB561" s="1" t="s">
        <v>12</v>
      </c>
      <c r="AC561" s="1" t="s">
        <v>18</v>
      </c>
      <c r="AD561" s="1">
        <v>20</v>
      </c>
      <c r="AE561" s="1">
        <v>18</v>
      </c>
      <c r="AF561" s="1">
        <v>0.76</v>
      </c>
      <c r="AG561" s="1">
        <v>0.81</v>
      </c>
      <c r="AH561" s="1">
        <v>0</v>
      </c>
      <c r="AI561" s="1">
        <v>0</v>
      </c>
      <c r="AJ561" s="1">
        <f t="shared" si="45"/>
        <v>0</v>
      </c>
      <c r="AK561" s="1">
        <f>D57</f>
        <v>0</v>
      </c>
      <c r="AL561" s="1">
        <f>D63</f>
        <v>0</v>
      </c>
      <c r="AM561" s="1">
        <f t="shared" si="46"/>
        <v>0</v>
      </c>
      <c r="AN561" s="1">
        <f t="shared" si="47"/>
        <v>0</v>
      </c>
      <c r="AO561" s="1">
        <f t="shared" si="48"/>
        <v>0</v>
      </c>
      <c r="AP561" t="b" cm="1">
        <f t="array" ref="AP561">INDEX($AU$8:$BB$25,6*(R561-1)+MATCH(AB561,$AS$8:$AS$13,0),MATCH(O561,$AU$7:$BB$7,0))</f>
        <v>1</v>
      </c>
    </row>
    <row r="562" spans="15:42" ht="14.25" x14ac:dyDescent="0.45">
      <c r="O562" s="43" t="s">
        <v>33</v>
      </c>
      <c r="P562" s="43">
        <v>2</v>
      </c>
      <c r="Q562" s="43">
        <v>2</v>
      </c>
      <c r="R562" s="43">
        <v>3</v>
      </c>
      <c r="S562" s="45"/>
      <c r="T562" t="b">
        <f>(S560+S561+S562)=R3</f>
        <v>0</v>
      </c>
      <c r="X562" s="1">
        <f t="shared" si="50"/>
        <v>0</v>
      </c>
      <c r="Y562" s="48">
        <v>0</v>
      </c>
      <c r="AA562" s="1">
        <v>1</v>
      </c>
      <c r="AB562" s="1" t="s">
        <v>12</v>
      </c>
      <c r="AC562" s="1" t="s">
        <v>18</v>
      </c>
      <c r="AD562" s="1">
        <v>20</v>
      </c>
      <c r="AE562" s="1">
        <v>18</v>
      </c>
      <c r="AF562" s="1">
        <v>0.76</v>
      </c>
      <c r="AG562" s="1">
        <v>0.81</v>
      </c>
      <c r="AH562" s="1">
        <v>0</v>
      </c>
      <c r="AI562" s="1">
        <v>0</v>
      </c>
      <c r="AJ562" s="1">
        <f t="shared" si="45"/>
        <v>0</v>
      </c>
      <c r="AK562" s="1">
        <f>E57</f>
        <v>0</v>
      </c>
      <c r="AL562" s="1">
        <f>E63</f>
        <v>0</v>
      </c>
      <c r="AM562" s="1">
        <f t="shared" si="46"/>
        <v>0</v>
      </c>
      <c r="AN562" s="1">
        <f t="shared" si="47"/>
        <v>0</v>
      </c>
      <c r="AO562" s="1">
        <f t="shared" si="48"/>
        <v>0</v>
      </c>
      <c r="AP562" t="b" cm="1">
        <f t="array" ref="AP562">INDEX($AU$8:$BB$25,6*(R562-1)+MATCH(AB562,$AS$8:$AS$13,0),MATCH(O562,$AU$7:$BB$7,0))</f>
        <v>1</v>
      </c>
    </row>
    <row r="563" spans="15:42" ht="14.25" x14ac:dyDescent="0.45">
      <c r="O563" s="43" t="s">
        <v>33</v>
      </c>
      <c r="P563" s="43">
        <v>2</v>
      </c>
      <c r="Q563" s="43">
        <v>3</v>
      </c>
      <c r="R563" s="43">
        <v>1</v>
      </c>
      <c r="S563" s="45"/>
      <c r="T563" t="b">
        <f>(S563+S564+S565)=R3</f>
        <v>0</v>
      </c>
      <c r="X563" s="1">
        <f t="shared" si="50"/>
        <v>0</v>
      </c>
      <c r="Y563" s="48">
        <v>0</v>
      </c>
      <c r="AA563" s="1">
        <v>11</v>
      </c>
      <c r="AB563" s="1" t="s">
        <v>15</v>
      </c>
      <c r="AC563" s="1" t="s">
        <v>21</v>
      </c>
      <c r="AD563" s="1">
        <v>10</v>
      </c>
      <c r="AE563" s="1">
        <v>7</v>
      </c>
      <c r="AF563" s="1">
        <v>0.76</v>
      </c>
      <c r="AG563" s="1">
        <v>0.84</v>
      </c>
      <c r="AH563" s="1">
        <v>0</v>
      </c>
      <c r="AI563" s="1">
        <v>0</v>
      </c>
      <c r="AJ563" s="1">
        <f t="shared" si="45"/>
        <v>0</v>
      </c>
      <c r="AK563" s="1">
        <f>C60</f>
        <v>0</v>
      </c>
      <c r="AL563" s="1">
        <f>C66</f>
        <v>0</v>
      </c>
      <c r="AM563" s="1">
        <f t="shared" si="46"/>
        <v>0</v>
      </c>
      <c r="AN563" s="1">
        <f t="shared" si="47"/>
        <v>0</v>
      </c>
      <c r="AO563" s="1">
        <f t="shared" si="48"/>
        <v>0</v>
      </c>
      <c r="AP563" t="b" cm="1">
        <f t="array" ref="AP563">INDEX($AU$8:$BB$25,6*(R563-1)+MATCH(AB563,$AS$8:$AS$13,0),MATCH(O563,$AU$7:$BB$7,0))</f>
        <v>1</v>
      </c>
    </row>
    <row r="564" spans="15:42" ht="14.25" x14ac:dyDescent="0.45">
      <c r="O564" s="43" t="s">
        <v>33</v>
      </c>
      <c r="P564" s="43">
        <v>2</v>
      </c>
      <c r="Q564" s="43">
        <v>3</v>
      </c>
      <c r="R564" s="43">
        <v>2</v>
      </c>
      <c r="S564" s="45"/>
      <c r="T564" t="b">
        <f>(S563+S564+S565)=R3</f>
        <v>0</v>
      </c>
      <c r="X564" s="1">
        <f t="shared" si="50"/>
        <v>0</v>
      </c>
      <c r="Y564" s="48">
        <v>0</v>
      </c>
      <c r="AA564" s="1">
        <v>11</v>
      </c>
      <c r="AB564" s="1" t="s">
        <v>15</v>
      </c>
      <c r="AC564" s="1" t="s">
        <v>21</v>
      </c>
      <c r="AD564" s="1">
        <v>10</v>
      </c>
      <c r="AE564" s="1">
        <v>7</v>
      </c>
      <c r="AF564" s="1">
        <v>0.76</v>
      </c>
      <c r="AG564" s="1">
        <v>0.84</v>
      </c>
      <c r="AH564" s="1">
        <v>0</v>
      </c>
      <c r="AI564" s="1">
        <v>0</v>
      </c>
      <c r="AJ564" s="1">
        <f t="shared" si="45"/>
        <v>0</v>
      </c>
      <c r="AK564" s="1">
        <f>D60</f>
        <v>0</v>
      </c>
      <c r="AL564" s="1">
        <f>D66</f>
        <v>0</v>
      </c>
      <c r="AM564" s="1">
        <f t="shared" si="46"/>
        <v>0</v>
      </c>
      <c r="AN564" s="1">
        <f t="shared" si="47"/>
        <v>0</v>
      </c>
      <c r="AO564" s="1">
        <f t="shared" si="48"/>
        <v>0</v>
      </c>
      <c r="AP564" t="b" cm="1">
        <f t="array" ref="AP564">INDEX($AU$8:$BB$25,6*(R564-1)+MATCH(AB564,$AS$8:$AS$13,0),MATCH(O564,$AU$7:$BB$7,0))</f>
        <v>1</v>
      </c>
    </row>
    <row r="565" spans="15:42" ht="14.25" x14ac:dyDescent="0.45">
      <c r="O565" s="43" t="s">
        <v>33</v>
      </c>
      <c r="P565" s="43">
        <v>2</v>
      </c>
      <c r="Q565" s="43">
        <v>3</v>
      </c>
      <c r="R565" s="43">
        <v>3</v>
      </c>
      <c r="S565" s="45"/>
      <c r="T565" t="b">
        <f>(S563+S564+S565)=R3</f>
        <v>0</v>
      </c>
      <c r="X565" s="1">
        <f t="shared" si="50"/>
        <v>0</v>
      </c>
      <c r="Y565" s="48">
        <v>0</v>
      </c>
      <c r="AA565" s="1">
        <v>11</v>
      </c>
      <c r="AB565" s="1" t="s">
        <v>15</v>
      </c>
      <c r="AC565" s="1" t="s">
        <v>21</v>
      </c>
      <c r="AD565" s="1">
        <v>10</v>
      </c>
      <c r="AE565" s="1">
        <v>7</v>
      </c>
      <c r="AF565" s="1">
        <v>0.76</v>
      </c>
      <c r="AG565" s="1">
        <v>0.84</v>
      </c>
      <c r="AH565" s="1">
        <v>0</v>
      </c>
      <c r="AI565" s="1">
        <v>0</v>
      </c>
      <c r="AJ565" s="1">
        <f t="shared" si="45"/>
        <v>0</v>
      </c>
      <c r="AK565" s="1">
        <f>E60</f>
        <v>0</v>
      </c>
      <c r="AL565" s="1">
        <f>E66</f>
        <v>0</v>
      </c>
      <c r="AM565" s="1">
        <f t="shared" si="46"/>
        <v>0</v>
      </c>
      <c r="AN565" s="1">
        <f t="shared" si="47"/>
        <v>0</v>
      </c>
      <c r="AO565" s="1">
        <f t="shared" si="48"/>
        <v>0</v>
      </c>
      <c r="AP565" t="b" cm="1">
        <f t="array" ref="AP565">INDEX($AU$8:$BB$25,6*(R565-1)+MATCH(AB565,$AS$8:$AS$13,0),MATCH(O565,$AU$7:$BB$7,0))</f>
        <v>1</v>
      </c>
    </row>
    <row r="566" spans="15:42" ht="14.25" x14ac:dyDescent="0.45">
      <c r="O566" s="43" t="s">
        <v>33</v>
      </c>
      <c r="P566" s="43">
        <v>2</v>
      </c>
      <c r="Q566" s="43">
        <v>4</v>
      </c>
      <c r="R566" s="43">
        <v>1</v>
      </c>
      <c r="S566" s="45"/>
      <c r="T566" t="b">
        <f>(S566+S567+S568)=R3</f>
        <v>0</v>
      </c>
      <c r="X566" s="1">
        <f t="shared" si="50"/>
        <v>0</v>
      </c>
      <c r="Y566" s="48">
        <v>0</v>
      </c>
      <c r="AA566" s="1">
        <v>2</v>
      </c>
      <c r="AB566" s="1" t="s">
        <v>12</v>
      </c>
      <c r="AC566" s="1" t="s">
        <v>18</v>
      </c>
      <c r="AD566" s="1">
        <v>25</v>
      </c>
      <c r="AE566" s="1">
        <v>19</v>
      </c>
      <c r="AF566" s="1">
        <v>0.76</v>
      </c>
      <c r="AG566" s="1">
        <v>0.81</v>
      </c>
      <c r="AH566" s="1">
        <v>0</v>
      </c>
      <c r="AI566" s="1">
        <v>0</v>
      </c>
      <c r="AJ566" s="1">
        <f t="shared" si="45"/>
        <v>0</v>
      </c>
      <c r="AK566" s="1">
        <f>C57</f>
        <v>0</v>
      </c>
      <c r="AL566" s="1">
        <f>C63</f>
        <v>0</v>
      </c>
      <c r="AM566" s="1">
        <f t="shared" si="46"/>
        <v>0</v>
      </c>
      <c r="AN566" s="1">
        <f t="shared" si="47"/>
        <v>0</v>
      </c>
      <c r="AO566" s="1">
        <f t="shared" si="48"/>
        <v>0</v>
      </c>
      <c r="AP566" t="b" cm="1">
        <f t="array" ref="AP566">INDEX($AU$8:$BB$25,6*(R566-1)+MATCH(AB566,$AS$8:$AS$13,0),MATCH(O566,$AU$7:$BB$7,0))</f>
        <v>1</v>
      </c>
    </row>
    <row r="567" spans="15:42" ht="14.25" x14ac:dyDescent="0.45">
      <c r="O567" s="43" t="s">
        <v>33</v>
      </c>
      <c r="P567" s="43">
        <v>2</v>
      </c>
      <c r="Q567" s="43">
        <v>4</v>
      </c>
      <c r="R567" s="43">
        <v>2</v>
      </c>
      <c r="S567" s="45"/>
      <c r="T567" t="b">
        <f>(S566+S567+S568)=R3</f>
        <v>0</v>
      </c>
      <c r="X567" s="1">
        <f t="shared" si="50"/>
        <v>0</v>
      </c>
      <c r="Y567" s="48">
        <v>0</v>
      </c>
      <c r="AA567" s="1">
        <v>2</v>
      </c>
      <c r="AB567" s="1" t="s">
        <v>12</v>
      </c>
      <c r="AC567" s="1" t="s">
        <v>18</v>
      </c>
      <c r="AD567" s="1">
        <v>25</v>
      </c>
      <c r="AE567" s="1">
        <v>19</v>
      </c>
      <c r="AF567" s="1">
        <v>0.76</v>
      </c>
      <c r="AG567" s="1">
        <v>0.81</v>
      </c>
      <c r="AH567" s="1">
        <v>0</v>
      </c>
      <c r="AI567" s="1">
        <v>0</v>
      </c>
      <c r="AJ567" s="1">
        <f t="shared" si="45"/>
        <v>0</v>
      </c>
      <c r="AK567" s="1">
        <f>D57</f>
        <v>0</v>
      </c>
      <c r="AL567" s="1">
        <f>D63</f>
        <v>0</v>
      </c>
      <c r="AM567" s="1">
        <f t="shared" si="46"/>
        <v>0</v>
      </c>
      <c r="AN567" s="1">
        <f t="shared" si="47"/>
        <v>0</v>
      </c>
      <c r="AO567" s="1">
        <f t="shared" si="48"/>
        <v>0</v>
      </c>
      <c r="AP567" t="b" cm="1">
        <f t="array" ref="AP567">INDEX($AU$8:$BB$25,6*(R567-1)+MATCH(AB567,$AS$8:$AS$13,0),MATCH(O567,$AU$7:$BB$7,0))</f>
        <v>1</v>
      </c>
    </row>
    <row r="568" spans="15:42" ht="14.25" x14ac:dyDescent="0.45">
      <c r="O568" s="43" t="s">
        <v>33</v>
      </c>
      <c r="P568" s="43">
        <v>2</v>
      </c>
      <c r="Q568" s="43">
        <v>4</v>
      </c>
      <c r="R568" s="43">
        <v>3</v>
      </c>
      <c r="S568" s="45"/>
      <c r="T568" t="b">
        <f>(S566+S567+S568)=R3</f>
        <v>0</v>
      </c>
      <c r="X568" s="1">
        <f t="shared" si="50"/>
        <v>0</v>
      </c>
      <c r="Y568" s="48">
        <v>0</v>
      </c>
      <c r="AA568" s="1">
        <v>2</v>
      </c>
      <c r="AB568" s="1" t="s">
        <v>12</v>
      </c>
      <c r="AC568" s="1" t="s">
        <v>18</v>
      </c>
      <c r="AD568" s="1">
        <v>25</v>
      </c>
      <c r="AE568" s="1">
        <v>19</v>
      </c>
      <c r="AF568" s="1">
        <v>0.76</v>
      </c>
      <c r="AG568" s="1">
        <v>0.81</v>
      </c>
      <c r="AH568" s="1">
        <v>0</v>
      </c>
      <c r="AI568" s="1">
        <v>0</v>
      </c>
      <c r="AJ568" s="1">
        <f t="shared" si="45"/>
        <v>0</v>
      </c>
      <c r="AK568" s="1">
        <f>E57</f>
        <v>0</v>
      </c>
      <c r="AL568" s="1">
        <f>E63</f>
        <v>0</v>
      </c>
      <c r="AM568" s="1">
        <f t="shared" si="46"/>
        <v>0</v>
      </c>
      <c r="AN568" s="1">
        <f t="shared" si="47"/>
        <v>0</v>
      </c>
      <c r="AO568" s="1">
        <f t="shared" si="48"/>
        <v>0</v>
      </c>
      <c r="AP568" t="b" cm="1">
        <f t="array" ref="AP568">INDEX($AU$8:$BB$25,6*(R568-1)+MATCH(AB568,$AS$8:$AS$13,0),MATCH(O568,$AU$7:$BB$7,0))</f>
        <v>1</v>
      </c>
    </row>
    <row r="569" spans="15:42" ht="14.25" x14ac:dyDescent="0.45">
      <c r="O569" s="43" t="s">
        <v>33</v>
      </c>
      <c r="P569" s="43">
        <v>2</v>
      </c>
      <c r="Q569" s="43">
        <v>5</v>
      </c>
      <c r="R569" s="43">
        <v>1</v>
      </c>
      <c r="S569" s="45"/>
      <c r="T569" t="b">
        <f>(S569+S570+S571)=R3</f>
        <v>0</v>
      </c>
      <c r="X569" s="1">
        <f t="shared" si="50"/>
        <v>0</v>
      </c>
      <c r="Y569" s="48">
        <v>0</v>
      </c>
      <c r="AA569" s="1">
        <v>3</v>
      </c>
      <c r="AB569" s="1" t="s">
        <v>12</v>
      </c>
      <c r="AC569" s="1" t="s">
        <v>18</v>
      </c>
      <c r="AD569" s="1">
        <v>15</v>
      </c>
      <c r="AE569" s="1">
        <v>11</v>
      </c>
      <c r="AF569" s="1">
        <v>0.76</v>
      </c>
      <c r="AG569" s="1">
        <v>0.81</v>
      </c>
      <c r="AH569" s="1">
        <v>0</v>
      </c>
      <c r="AI569" s="1">
        <v>0</v>
      </c>
      <c r="AJ569" s="1">
        <f t="shared" si="45"/>
        <v>0</v>
      </c>
      <c r="AK569" s="1">
        <f>C57</f>
        <v>0</v>
      </c>
      <c r="AL569" s="1">
        <f>C63</f>
        <v>0</v>
      </c>
      <c r="AM569" s="1">
        <f t="shared" si="46"/>
        <v>0</v>
      </c>
      <c r="AN569" s="1">
        <f t="shared" si="47"/>
        <v>0</v>
      </c>
      <c r="AO569" s="1">
        <f t="shared" si="48"/>
        <v>0</v>
      </c>
      <c r="AP569" t="b" cm="1">
        <f t="array" ref="AP569">INDEX($AU$8:$BB$25,6*(R569-1)+MATCH(AB569,$AS$8:$AS$13,0),MATCH(O569,$AU$7:$BB$7,0))</f>
        <v>1</v>
      </c>
    </row>
    <row r="570" spans="15:42" ht="14.25" x14ac:dyDescent="0.45">
      <c r="O570" s="43" t="s">
        <v>33</v>
      </c>
      <c r="P570" s="43">
        <v>2</v>
      </c>
      <c r="Q570" s="43">
        <v>5</v>
      </c>
      <c r="R570" s="43">
        <v>2</v>
      </c>
      <c r="S570" s="45"/>
      <c r="T570" t="b">
        <f>(S569+S570+S571)=R3</f>
        <v>0</v>
      </c>
      <c r="X570" s="1">
        <f t="shared" si="50"/>
        <v>0</v>
      </c>
      <c r="Y570" s="48">
        <v>0</v>
      </c>
      <c r="AA570" s="1">
        <v>3</v>
      </c>
      <c r="AB570" s="1" t="s">
        <v>12</v>
      </c>
      <c r="AC570" s="1" t="s">
        <v>18</v>
      </c>
      <c r="AD570" s="1">
        <v>15</v>
      </c>
      <c r="AE570" s="1">
        <v>11</v>
      </c>
      <c r="AF570" s="1">
        <v>0.76</v>
      </c>
      <c r="AG570" s="1">
        <v>0.81</v>
      </c>
      <c r="AH570" s="1">
        <v>0</v>
      </c>
      <c r="AI570" s="1">
        <v>0</v>
      </c>
      <c r="AJ570" s="1">
        <f t="shared" si="45"/>
        <v>0</v>
      </c>
      <c r="AK570" s="1">
        <f>D57</f>
        <v>0</v>
      </c>
      <c r="AL570" s="1">
        <f>D63</f>
        <v>0</v>
      </c>
      <c r="AM570" s="1">
        <f t="shared" si="46"/>
        <v>0</v>
      </c>
      <c r="AN570" s="1">
        <f t="shared" si="47"/>
        <v>0</v>
      </c>
      <c r="AO570" s="1">
        <f t="shared" si="48"/>
        <v>0</v>
      </c>
      <c r="AP570" t="b" cm="1">
        <f t="array" ref="AP570">INDEX($AU$8:$BB$25,6*(R570-1)+MATCH(AB570,$AS$8:$AS$13,0),MATCH(O570,$AU$7:$BB$7,0))</f>
        <v>1</v>
      </c>
    </row>
    <row r="571" spans="15:42" ht="14.25" x14ac:dyDescent="0.45">
      <c r="O571" s="43" t="s">
        <v>33</v>
      </c>
      <c r="P571" s="43">
        <v>2</v>
      </c>
      <c r="Q571" s="43">
        <v>5</v>
      </c>
      <c r="R571" s="43">
        <v>3</v>
      </c>
      <c r="S571" s="45"/>
      <c r="T571" t="b">
        <f>(S569+S570+S571)=R3</f>
        <v>0</v>
      </c>
      <c r="X571" s="1">
        <f t="shared" si="50"/>
        <v>0</v>
      </c>
      <c r="Y571" s="48">
        <v>0</v>
      </c>
      <c r="AA571" s="1">
        <v>3</v>
      </c>
      <c r="AB571" s="1" t="s">
        <v>12</v>
      </c>
      <c r="AC571" s="1" t="s">
        <v>18</v>
      </c>
      <c r="AD571" s="1">
        <v>15</v>
      </c>
      <c r="AE571" s="1">
        <v>11</v>
      </c>
      <c r="AF571" s="1">
        <v>0.76</v>
      </c>
      <c r="AG571" s="1">
        <v>0.81</v>
      </c>
      <c r="AH571" s="1">
        <v>0</v>
      </c>
      <c r="AI571" s="1">
        <v>0</v>
      </c>
      <c r="AJ571" s="1">
        <f t="shared" si="45"/>
        <v>0</v>
      </c>
      <c r="AK571" s="1">
        <f>E57</f>
        <v>0</v>
      </c>
      <c r="AL571" s="1">
        <f>E63</f>
        <v>0</v>
      </c>
      <c r="AM571" s="1">
        <f t="shared" si="46"/>
        <v>0</v>
      </c>
      <c r="AN571" s="1">
        <f t="shared" si="47"/>
        <v>0</v>
      </c>
      <c r="AO571" s="1">
        <f t="shared" si="48"/>
        <v>0</v>
      </c>
      <c r="AP571" t="b" cm="1">
        <f t="array" ref="AP571">INDEX($AU$8:$BB$25,6*(R571-1)+MATCH(AB571,$AS$8:$AS$13,0),MATCH(O571,$AU$7:$BB$7,0))</f>
        <v>1</v>
      </c>
    </row>
    <row r="572" spans="15:42" ht="14.25" x14ac:dyDescent="0.45">
      <c r="O572" s="43" t="s">
        <v>33</v>
      </c>
      <c r="P572" s="43">
        <v>2</v>
      </c>
      <c r="Q572" s="43">
        <v>6</v>
      </c>
      <c r="R572" s="43">
        <v>1</v>
      </c>
      <c r="S572" s="45"/>
      <c r="T572" t="b">
        <f>(S572+S573+S574)=R3</f>
        <v>0</v>
      </c>
      <c r="X572" s="1">
        <f t="shared" si="50"/>
        <v>0</v>
      </c>
      <c r="Y572" s="48">
        <v>0</v>
      </c>
      <c r="AA572" s="1">
        <v>5</v>
      </c>
      <c r="AB572" s="1" t="s">
        <v>16</v>
      </c>
      <c r="AC572" s="1" t="s">
        <v>22</v>
      </c>
      <c r="AD572" s="1">
        <v>16</v>
      </c>
      <c r="AE572" s="1">
        <v>14</v>
      </c>
      <c r="AF572" s="1">
        <v>0.8</v>
      </c>
      <c r="AG572" s="1">
        <v>0.9</v>
      </c>
      <c r="AH572" s="1">
        <v>0</v>
      </c>
      <c r="AI572" s="1">
        <v>0</v>
      </c>
      <c r="AJ572" s="1">
        <f t="shared" si="45"/>
        <v>0</v>
      </c>
      <c r="AK572" s="1">
        <f>C61</f>
        <v>0</v>
      </c>
      <c r="AL572" s="1">
        <f>C67</f>
        <v>0</v>
      </c>
      <c r="AM572" s="1">
        <f t="shared" si="46"/>
        <v>0</v>
      </c>
      <c r="AN572" s="1">
        <f t="shared" si="47"/>
        <v>0</v>
      </c>
      <c r="AO572" s="1">
        <f t="shared" si="48"/>
        <v>0</v>
      </c>
      <c r="AP572" t="b" cm="1">
        <f t="array" ref="AP572">INDEX($AU$8:$BB$25,6*(R572-1)+MATCH(AB572,$AS$8:$AS$13,0),MATCH(O572,$AU$7:$BB$7,0))</f>
        <v>1</v>
      </c>
    </row>
    <row r="573" spans="15:42" ht="14.25" x14ac:dyDescent="0.45">
      <c r="O573" s="43" t="s">
        <v>33</v>
      </c>
      <c r="P573" s="43">
        <v>2</v>
      </c>
      <c r="Q573" s="43">
        <v>6</v>
      </c>
      <c r="R573" s="43">
        <v>2</v>
      </c>
      <c r="S573" s="45"/>
      <c r="T573" t="b">
        <f>(S572+S573+S574)=R3</f>
        <v>0</v>
      </c>
      <c r="X573" s="1">
        <f t="shared" si="50"/>
        <v>0</v>
      </c>
      <c r="Y573" s="48">
        <v>0</v>
      </c>
      <c r="AA573" s="1">
        <v>5</v>
      </c>
      <c r="AB573" s="1" t="s">
        <v>16</v>
      </c>
      <c r="AC573" s="1" t="s">
        <v>22</v>
      </c>
      <c r="AD573" s="1">
        <v>16</v>
      </c>
      <c r="AE573" s="1">
        <v>14</v>
      </c>
      <c r="AF573" s="1">
        <v>0.8</v>
      </c>
      <c r="AG573" s="1">
        <v>0.9</v>
      </c>
      <c r="AH573" s="1">
        <v>0</v>
      </c>
      <c r="AI573" s="1">
        <v>0</v>
      </c>
      <c r="AJ573" s="1">
        <f t="shared" si="45"/>
        <v>0</v>
      </c>
      <c r="AK573" s="1">
        <f>D61</f>
        <v>0</v>
      </c>
      <c r="AL573" s="1">
        <f>D67</f>
        <v>0</v>
      </c>
      <c r="AM573" s="1">
        <f t="shared" si="46"/>
        <v>0</v>
      </c>
      <c r="AN573" s="1">
        <f t="shared" si="47"/>
        <v>0</v>
      </c>
      <c r="AO573" s="1">
        <f t="shared" si="48"/>
        <v>0</v>
      </c>
      <c r="AP573" t="b" cm="1">
        <f t="array" ref="AP573">INDEX($AU$8:$BB$25,6*(R573-1)+MATCH(AB573,$AS$8:$AS$13,0),MATCH(O573,$AU$7:$BB$7,0))</f>
        <v>1</v>
      </c>
    </row>
    <row r="574" spans="15:42" ht="14.25" x14ac:dyDescent="0.45">
      <c r="O574" s="43" t="s">
        <v>33</v>
      </c>
      <c r="P574" s="43">
        <v>2</v>
      </c>
      <c r="Q574" s="43">
        <v>6</v>
      </c>
      <c r="R574" s="43">
        <v>3</v>
      </c>
      <c r="S574" s="45"/>
      <c r="T574" t="b">
        <f>(S572+S573+S574)=R3</f>
        <v>0</v>
      </c>
      <c r="X574" s="1">
        <f t="shared" si="50"/>
        <v>0</v>
      </c>
      <c r="Y574" s="48">
        <v>0</v>
      </c>
      <c r="AA574" s="1">
        <v>5</v>
      </c>
      <c r="AB574" s="1" t="s">
        <v>16</v>
      </c>
      <c r="AC574" s="1" t="s">
        <v>22</v>
      </c>
      <c r="AD574" s="1">
        <v>16</v>
      </c>
      <c r="AE574" s="1">
        <v>14</v>
      </c>
      <c r="AF574" s="1">
        <v>0.8</v>
      </c>
      <c r="AG574" s="1">
        <v>0.9</v>
      </c>
      <c r="AH574" s="1">
        <v>0</v>
      </c>
      <c r="AI574" s="1">
        <v>0</v>
      </c>
      <c r="AJ574" s="1">
        <f t="shared" si="45"/>
        <v>0</v>
      </c>
      <c r="AK574" s="1">
        <f>E61</f>
        <v>0</v>
      </c>
      <c r="AL574" s="1">
        <f>E67</f>
        <v>0</v>
      </c>
      <c r="AM574" s="1">
        <f t="shared" si="46"/>
        <v>0</v>
      </c>
      <c r="AN574" s="1">
        <f t="shared" si="47"/>
        <v>0</v>
      </c>
      <c r="AO574" s="1">
        <f t="shared" si="48"/>
        <v>0</v>
      </c>
      <c r="AP574" t="b" cm="1">
        <f t="array" ref="AP574">INDEX($AU$8:$BB$25,6*(R574-1)+MATCH(AB574,$AS$8:$AS$13,0),MATCH(O574,$AU$7:$BB$7,0))</f>
        <v>1</v>
      </c>
    </row>
    <row r="575" spans="15:42" ht="14.25" x14ac:dyDescent="0.45">
      <c r="O575" s="43" t="s">
        <v>33</v>
      </c>
      <c r="P575" s="43">
        <v>2</v>
      </c>
      <c r="Q575" s="43">
        <v>7</v>
      </c>
      <c r="R575" s="43">
        <v>1</v>
      </c>
      <c r="S575" s="45"/>
      <c r="T575" t="b">
        <f>(S575+S576+S577)=R3</f>
        <v>0</v>
      </c>
      <c r="X575" s="1">
        <f t="shared" si="50"/>
        <v>0</v>
      </c>
      <c r="Y575" s="48">
        <v>0</v>
      </c>
      <c r="AA575" s="1">
        <v>4</v>
      </c>
      <c r="AB575" s="1" t="s">
        <v>16</v>
      </c>
      <c r="AC575" s="1" t="s">
        <v>22</v>
      </c>
      <c r="AD575" s="1">
        <v>17</v>
      </c>
      <c r="AE575" s="1">
        <v>15</v>
      </c>
      <c r="AF575" s="1">
        <v>0.8</v>
      </c>
      <c r="AG575" s="1">
        <v>0.9</v>
      </c>
      <c r="AH575" s="1">
        <v>0</v>
      </c>
      <c r="AI575" s="1">
        <v>0</v>
      </c>
      <c r="AJ575" s="1">
        <f t="shared" si="45"/>
        <v>0</v>
      </c>
      <c r="AK575" s="1">
        <f>C61</f>
        <v>0</v>
      </c>
      <c r="AL575" s="1">
        <f>C67</f>
        <v>0</v>
      </c>
      <c r="AM575" s="1">
        <f t="shared" si="46"/>
        <v>0</v>
      </c>
      <c r="AN575" s="1">
        <f t="shared" si="47"/>
        <v>0</v>
      </c>
      <c r="AO575" s="1">
        <f t="shared" si="48"/>
        <v>0</v>
      </c>
      <c r="AP575" t="b" cm="1">
        <f t="array" ref="AP575">INDEX($AU$8:$BB$25,6*(R575-1)+MATCH(AB575,$AS$8:$AS$13,0),MATCH(O575,$AU$7:$BB$7,0))</f>
        <v>1</v>
      </c>
    </row>
    <row r="576" spans="15:42" ht="14.25" x14ac:dyDescent="0.45">
      <c r="O576" s="43" t="s">
        <v>33</v>
      </c>
      <c r="P576" s="43">
        <v>2</v>
      </c>
      <c r="Q576" s="43">
        <v>7</v>
      </c>
      <c r="R576" s="43">
        <v>2</v>
      </c>
      <c r="S576" s="45"/>
      <c r="T576" t="b">
        <f>(S575+S576+S577)=R3</f>
        <v>0</v>
      </c>
      <c r="X576" s="1">
        <f t="shared" si="50"/>
        <v>0</v>
      </c>
      <c r="Y576" s="48">
        <v>0</v>
      </c>
      <c r="AA576" s="1">
        <v>4</v>
      </c>
      <c r="AB576" s="1" t="s">
        <v>16</v>
      </c>
      <c r="AC576" s="1" t="s">
        <v>22</v>
      </c>
      <c r="AD576" s="1">
        <v>17</v>
      </c>
      <c r="AE576" s="1">
        <v>15</v>
      </c>
      <c r="AF576" s="1">
        <v>0.8</v>
      </c>
      <c r="AG576" s="1">
        <v>0.9</v>
      </c>
      <c r="AH576" s="1">
        <v>0</v>
      </c>
      <c r="AI576" s="1">
        <v>0</v>
      </c>
      <c r="AJ576" s="1">
        <f t="shared" si="45"/>
        <v>0</v>
      </c>
      <c r="AK576" s="1">
        <f>D61</f>
        <v>0</v>
      </c>
      <c r="AL576" s="1">
        <f>D67</f>
        <v>0</v>
      </c>
      <c r="AM576" s="1">
        <f t="shared" si="46"/>
        <v>0</v>
      </c>
      <c r="AN576" s="1">
        <f t="shared" si="47"/>
        <v>0</v>
      </c>
      <c r="AO576" s="1">
        <f t="shared" si="48"/>
        <v>0</v>
      </c>
      <c r="AP576" t="b" cm="1">
        <f t="array" ref="AP576">INDEX($AU$8:$BB$25,6*(R576-1)+MATCH(AB576,$AS$8:$AS$13,0),MATCH(O576,$AU$7:$BB$7,0))</f>
        <v>1</v>
      </c>
    </row>
    <row r="577" spans="15:42" ht="14.25" x14ac:dyDescent="0.45">
      <c r="O577" s="43" t="s">
        <v>33</v>
      </c>
      <c r="P577" s="43">
        <v>2</v>
      </c>
      <c r="Q577" s="43">
        <v>7</v>
      </c>
      <c r="R577" s="43">
        <v>3</v>
      </c>
      <c r="S577" s="45"/>
      <c r="T577" t="b">
        <f>(S575+S576+S577)=R3</f>
        <v>0</v>
      </c>
      <c r="X577" s="1">
        <f t="shared" si="50"/>
        <v>0</v>
      </c>
      <c r="Y577" s="48">
        <v>0</v>
      </c>
      <c r="AA577" s="1">
        <v>4</v>
      </c>
      <c r="AB577" s="1" t="s">
        <v>16</v>
      </c>
      <c r="AC577" s="1" t="s">
        <v>22</v>
      </c>
      <c r="AD577" s="1">
        <v>17</v>
      </c>
      <c r="AE577" s="1">
        <v>15</v>
      </c>
      <c r="AF577" s="1">
        <v>0.8</v>
      </c>
      <c r="AG577" s="1">
        <v>0.9</v>
      </c>
      <c r="AH577" s="1">
        <v>0</v>
      </c>
      <c r="AI577" s="1">
        <v>0</v>
      </c>
      <c r="AJ577" s="1">
        <f t="shared" si="45"/>
        <v>0</v>
      </c>
      <c r="AK577" s="1">
        <f>E61</f>
        <v>0</v>
      </c>
      <c r="AL577" s="1">
        <f>E67</f>
        <v>0</v>
      </c>
      <c r="AM577" s="1">
        <f t="shared" si="46"/>
        <v>0</v>
      </c>
      <c r="AN577" s="1">
        <f t="shared" si="47"/>
        <v>0</v>
      </c>
      <c r="AO577" s="1">
        <f t="shared" si="48"/>
        <v>0</v>
      </c>
      <c r="AP577" t="b" cm="1">
        <f t="array" ref="AP577">INDEX($AU$8:$BB$25,6*(R577-1)+MATCH(AB577,$AS$8:$AS$13,0),MATCH(O577,$AU$7:$BB$7,0))</f>
        <v>1</v>
      </c>
    </row>
    <row r="578" spans="15:42" ht="14.25" x14ac:dyDescent="0.45">
      <c r="O578" s="43" t="s">
        <v>33</v>
      </c>
      <c r="P578" s="43">
        <v>2</v>
      </c>
      <c r="Q578" s="43">
        <v>8</v>
      </c>
      <c r="R578" s="43">
        <v>1</v>
      </c>
      <c r="S578" s="45"/>
      <c r="T578" t="b">
        <f>(S578+S579+S580)=R3</f>
        <v>0</v>
      </c>
      <c r="X578" s="1">
        <f t="shared" si="50"/>
        <v>0</v>
      </c>
      <c r="Y578" s="48">
        <v>0</v>
      </c>
      <c r="AA578" s="1">
        <v>4</v>
      </c>
      <c r="AB578" s="1" t="s">
        <v>12</v>
      </c>
      <c r="AC578" s="1" t="s">
        <v>18</v>
      </c>
      <c r="AD578" s="1">
        <v>22</v>
      </c>
      <c r="AE578" s="1">
        <v>16</v>
      </c>
      <c r="AF578" s="1">
        <v>0.76</v>
      </c>
      <c r="AG578" s="1">
        <v>0.81</v>
      </c>
      <c r="AH578" s="1">
        <v>0</v>
      </c>
      <c r="AI578" s="1">
        <v>0</v>
      </c>
      <c r="AJ578" s="1">
        <f t="shared" si="45"/>
        <v>0</v>
      </c>
      <c r="AK578" s="1">
        <f>C57</f>
        <v>0</v>
      </c>
      <c r="AL578" s="1">
        <f>C63</f>
        <v>0</v>
      </c>
      <c r="AM578" s="1">
        <f t="shared" si="46"/>
        <v>0</v>
      </c>
      <c r="AN578" s="1">
        <f t="shared" si="47"/>
        <v>0</v>
      </c>
      <c r="AO578" s="1">
        <f t="shared" si="48"/>
        <v>0</v>
      </c>
      <c r="AP578" t="b" cm="1">
        <f t="array" ref="AP578">INDEX($AU$8:$BB$25,6*(R578-1)+MATCH(AB578,$AS$8:$AS$13,0),MATCH(O578,$AU$7:$BB$7,0))</f>
        <v>1</v>
      </c>
    </row>
    <row r="579" spans="15:42" ht="14.25" x14ac:dyDescent="0.45">
      <c r="O579" s="43" t="s">
        <v>33</v>
      </c>
      <c r="P579" s="43">
        <v>2</v>
      </c>
      <c r="Q579" s="43">
        <v>8</v>
      </c>
      <c r="R579" s="43">
        <v>2</v>
      </c>
      <c r="S579" s="45"/>
      <c r="T579" t="b">
        <f>(S578+S579+S580)=R3</f>
        <v>0</v>
      </c>
      <c r="X579" s="1">
        <f t="shared" si="50"/>
        <v>0</v>
      </c>
      <c r="Y579" s="48">
        <v>0</v>
      </c>
      <c r="AA579" s="1">
        <v>4</v>
      </c>
      <c r="AB579" s="1" t="s">
        <v>12</v>
      </c>
      <c r="AC579" s="1" t="s">
        <v>18</v>
      </c>
      <c r="AD579" s="1">
        <v>22</v>
      </c>
      <c r="AE579" s="1">
        <v>16</v>
      </c>
      <c r="AF579" s="1">
        <v>0.76</v>
      </c>
      <c r="AG579" s="1">
        <v>0.81</v>
      </c>
      <c r="AH579" s="1">
        <v>0</v>
      </c>
      <c r="AI579" s="1">
        <v>0</v>
      </c>
      <c r="AJ579" s="1">
        <f t="shared" si="45"/>
        <v>0</v>
      </c>
      <c r="AK579" s="1">
        <f>D57</f>
        <v>0</v>
      </c>
      <c r="AL579" s="1">
        <f>D63</f>
        <v>0</v>
      </c>
      <c r="AM579" s="1">
        <f t="shared" si="46"/>
        <v>0</v>
      </c>
      <c r="AN579" s="1">
        <f t="shared" si="47"/>
        <v>0</v>
      </c>
      <c r="AO579" s="1">
        <f t="shared" si="48"/>
        <v>0</v>
      </c>
      <c r="AP579" t="b" cm="1">
        <f t="array" ref="AP579">INDEX($AU$8:$BB$25,6*(R579-1)+MATCH(AB579,$AS$8:$AS$13,0),MATCH(O579,$AU$7:$BB$7,0))</f>
        <v>1</v>
      </c>
    </row>
    <row r="580" spans="15:42" ht="14.25" x14ac:dyDescent="0.45">
      <c r="O580" s="43" t="s">
        <v>33</v>
      </c>
      <c r="P580" s="43">
        <v>2</v>
      </c>
      <c r="Q580" s="43">
        <v>8</v>
      </c>
      <c r="R580" s="43">
        <v>3</v>
      </c>
      <c r="S580" s="45"/>
      <c r="T580" t="b">
        <f>(S578+S579+S580)=R3</f>
        <v>0</v>
      </c>
      <c r="X580" s="1">
        <f t="shared" si="50"/>
        <v>0</v>
      </c>
      <c r="Y580" s="48">
        <v>0</v>
      </c>
      <c r="AA580" s="1">
        <v>4</v>
      </c>
      <c r="AB580" s="1" t="s">
        <v>12</v>
      </c>
      <c r="AC580" s="1" t="s">
        <v>18</v>
      </c>
      <c r="AD580" s="1">
        <v>22</v>
      </c>
      <c r="AE580" s="1">
        <v>16</v>
      </c>
      <c r="AF580" s="1">
        <v>0.76</v>
      </c>
      <c r="AG580" s="1">
        <v>0.81</v>
      </c>
      <c r="AH580" s="1">
        <v>0</v>
      </c>
      <c r="AI580" s="1">
        <v>0</v>
      </c>
      <c r="AJ580" s="1">
        <f t="shared" si="45"/>
        <v>0</v>
      </c>
      <c r="AK580" s="1">
        <f>E57</f>
        <v>0</v>
      </c>
      <c r="AL580" s="1">
        <f>E63</f>
        <v>0</v>
      </c>
      <c r="AM580" s="1">
        <f t="shared" si="46"/>
        <v>0</v>
      </c>
      <c r="AN580" s="1">
        <f t="shared" si="47"/>
        <v>0</v>
      </c>
      <c r="AO580" s="1">
        <f t="shared" si="48"/>
        <v>0</v>
      </c>
      <c r="AP580" t="b" cm="1">
        <f t="array" ref="AP580">INDEX($AU$8:$BB$25,6*(R580-1)+MATCH(AB580,$AS$8:$AS$13,0),MATCH(O580,$AU$7:$BB$7,0))</f>
        <v>1</v>
      </c>
    </row>
    <row r="581" spans="15:42" ht="14.25" x14ac:dyDescent="0.45">
      <c r="O581" s="43" t="s">
        <v>33</v>
      </c>
      <c r="P581" s="43">
        <v>2</v>
      </c>
      <c r="Q581" s="43">
        <v>9</v>
      </c>
      <c r="R581" s="43">
        <v>1</v>
      </c>
      <c r="S581" s="45"/>
      <c r="T581" t="b">
        <f>(S581+S582+S583)=R3</f>
        <v>0</v>
      </c>
      <c r="X581" s="1">
        <f t="shared" si="50"/>
        <v>0</v>
      </c>
      <c r="Y581" s="48">
        <v>0</v>
      </c>
      <c r="AA581" s="1">
        <v>4</v>
      </c>
      <c r="AB581" s="1" t="s">
        <v>15</v>
      </c>
      <c r="AC581" s="1" t="s">
        <v>21</v>
      </c>
      <c r="AD581" s="1">
        <v>7</v>
      </c>
      <c r="AE581" s="1">
        <v>6</v>
      </c>
      <c r="AF581" s="1">
        <v>0.76</v>
      </c>
      <c r="AG581" s="1">
        <v>0.84</v>
      </c>
      <c r="AH581" s="1">
        <v>0</v>
      </c>
      <c r="AI581" s="1">
        <v>0</v>
      </c>
      <c r="AJ581" s="1">
        <f t="shared" si="45"/>
        <v>0</v>
      </c>
      <c r="AK581" s="1">
        <f>C60</f>
        <v>0</v>
      </c>
      <c r="AL581" s="1">
        <f>C66</f>
        <v>0</v>
      </c>
      <c r="AM581" s="1">
        <f t="shared" si="46"/>
        <v>0</v>
      </c>
      <c r="AN581" s="1">
        <f t="shared" si="47"/>
        <v>0</v>
      </c>
      <c r="AO581" s="1">
        <f t="shared" si="48"/>
        <v>0</v>
      </c>
      <c r="AP581" t="b" cm="1">
        <f t="array" ref="AP581">INDEX($AU$8:$BB$25,6*(R581-1)+MATCH(AB581,$AS$8:$AS$13,0),MATCH(O581,$AU$7:$BB$7,0))</f>
        <v>1</v>
      </c>
    </row>
    <row r="582" spans="15:42" ht="14.25" x14ac:dyDescent="0.45">
      <c r="O582" s="43" t="s">
        <v>33</v>
      </c>
      <c r="P582" s="43">
        <v>2</v>
      </c>
      <c r="Q582" s="43">
        <v>9</v>
      </c>
      <c r="R582" s="43">
        <v>2</v>
      </c>
      <c r="S582" s="45"/>
      <c r="T582" t="b">
        <f>(S581+S582+S583)=R3</f>
        <v>0</v>
      </c>
      <c r="X582" s="1">
        <f t="shared" si="50"/>
        <v>0</v>
      </c>
      <c r="Y582" s="48">
        <v>0</v>
      </c>
      <c r="AA582" s="1">
        <v>4</v>
      </c>
      <c r="AB582" s="1" t="s">
        <v>15</v>
      </c>
      <c r="AC582" s="1" t="s">
        <v>21</v>
      </c>
      <c r="AD582" s="1">
        <v>7</v>
      </c>
      <c r="AE582" s="1">
        <v>6</v>
      </c>
      <c r="AF582" s="1">
        <v>0.76</v>
      </c>
      <c r="AG582" s="1">
        <v>0.84</v>
      </c>
      <c r="AH582" s="1">
        <v>0</v>
      </c>
      <c r="AI582" s="1">
        <v>0</v>
      </c>
      <c r="AJ582" s="1">
        <f t="shared" si="45"/>
        <v>0</v>
      </c>
      <c r="AK582" s="1">
        <f>D60</f>
        <v>0</v>
      </c>
      <c r="AL582" s="1">
        <f>D66</f>
        <v>0</v>
      </c>
      <c r="AM582" s="1">
        <f t="shared" si="46"/>
        <v>0</v>
      </c>
      <c r="AN582" s="1">
        <f t="shared" si="47"/>
        <v>0</v>
      </c>
      <c r="AO582" s="1">
        <f t="shared" si="48"/>
        <v>0</v>
      </c>
      <c r="AP582" t="b" cm="1">
        <f t="array" ref="AP582">INDEX($AU$8:$BB$25,6*(R582-1)+MATCH(AB582,$AS$8:$AS$13,0),MATCH(O582,$AU$7:$BB$7,0))</f>
        <v>1</v>
      </c>
    </row>
    <row r="583" spans="15:42" ht="14.25" x14ac:dyDescent="0.45">
      <c r="O583" s="43" t="s">
        <v>33</v>
      </c>
      <c r="P583" s="43">
        <v>2</v>
      </c>
      <c r="Q583" s="43">
        <v>9</v>
      </c>
      <c r="R583" s="43">
        <v>3</v>
      </c>
      <c r="S583" s="45"/>
      <c r="T583" t="b">
        <f>(S581+S582+S583)=R3</f>
        <v>0</v>
      </c>
      <c r="X583" s="1">
        <f t="shared" si="50"/>
        <v>0</v>
      </c>
      <c r="Y583" s="48">
        <v>0</v>
      </c>
      <c r="AA583" s="1">
        <v>4</v>
      </c>
      <c r="AB583" s="1" t="s">
        <v>15</v>
      </c>
      <c r="AC583" s="1" t="s">
        <v>21</v>
      </c>
      <c r="AD583" s="1">
        <v>7</v>
      </c>
      <c r="AE583" s="1">
        <v>6</v>
      </c>
      <c r="AF583" s="1">
        <v>0.76</v>
      </c>
      <c r="AG583" s="1">
        <v>0.84</v>
      </c>
      <c r="AH583" s="1">
        <v>0</v>
      </c>
      <c r="AI583" s="1">
        <v>0</v>
      </c>
      <c r="AJ583" s="1">
        <f t="shared" si="45"/>
        <v>0</v>
      </c>
      <c r="AK583" s="1">
        <f>E60</f>
        <v>0</v>
      </c>
      <c r="AL583" s="1">
        <f>E66</f>
        <v>0</v>
      </c>
      <c r="AM583" s="1">
        <f t="shared" si="46"/>
        <v>0</v>
      </c>
      <c r="AN583" s="1">
        <f t="shared" si="47"/>
        <v>0</v>
      </c>
      <c r="AO583" s="1">
        <f t="shared" si="48"/>
        <v>0</v>
      </c>
      <c r="AP583" t="b" cm="1">
        <f t="array" ref="AP583">INDEX($AU$8:$BB$25,6*(R583-1)+MATCH(AB583,$AS$8:$AS$13,0),MATCH(O583,$AU$7:$BB$7,0))</f>
        <v>1</v>
      </c>
    </row>
    <row r="584" spans="15:42" ht="14.25" x14ac:dyDescent="0.45">
      <c r="O584" s="43" t="s">
        <v>33</v>
      </c>
      <c r="P584" s="43">
        <v>2</v>
      </c>
      <c r="Q584" s="43">
        <v>10</v>
      </c>
      <c r="R584" s="43">
        <v>1</v>
      </c>
      <c r="S584" s="45"/>
      <c r="T584" t="b">
        <f>(S584+S585+S586)=R3</f>
        <v>0</v>
      </c>
      <c r="X584" s="1">
        <f t="shared" si="50"/>
        <v>0</v>
      </c>
      <c r="Y584" s="48">
        <v>0</v>
      </c>
      <c r="AA584" s="1">
        <v>6</v>
      </c>
      <c r="AB584" s="1" t="s">
        <v>15</v>
      </c>
      <c r="AC584" s="1" t="s">
        <v>21</v>
      </c>
      <c r="AD584" s="1">
        <v>9</v>
      </c>
      <c r="AE584" s="1">
        <v>7</v>
      </c>
      <c r="AF584" s="1">
        <v>0.76</v>
      </c>
      <c r="AG584" s="1">
        <v>0.84</v>
      </c>
      <c r="AH584" s="1">
        <v>0</v>
      </c>
      <c r="AI584" s="1">
        <v>0</v>
      </c>
      <c r="AJ584" s="1">
        <f t="shared" si="45"/>
        <v>0</v>
      </c>
      <c r="AK584" s="1">
        <f>C60</f>
        <v>0</v>
      </c>
      <c r="AL584" s="1">
        <f>C66</f>
        <v>0</v>
      </c>
      <c r="AM584" s="1">
        <f t="shared" si="46"/>
        <v>0</v>
      </c>
      <c r="AN584" s="1">
        <f t="shared" si="47"/>
        <v>0</v>
      </c>
      <c r="AO584" s="1">
        <f t="shared" si="48"/>
        <v>0</v>
      </c>
      <c r="AP584" t="b" cm="1">
        <f t="array" ref="AP584">INDEX($AU$8:$BB$25,6*(R584-1)+MATCH(AB584,$AS$8:$AS$13,0),MATCH(O584,$AU$7:$BB$7,0))</f>
        <v>1</v>
      </c>
    </row>
    <row r="585" spans="15:42" ht="14.25" x14ac:dyDescent="0.45">
      <c r="O585" s="43" t="s">
        <v>33</v>
      </c>
      <c r="P585" s="43">
        <v>2</v>
      </c>
      <c r="Q585" s="43">
        <v>10</v>
      </c>
      <c r="R585" s="43">
        <v>2</v>
      </c>
      <c r="S585" s="45"/>
      <c r="T585" t="b">
        <f>(S584+S585+S586)=R3</f>
        <v>0</v>
      </c>
      <c r="X585" s="1">
        <f t="shared" si="50"/>
        <v>0</v>
      </c>
      <c r="Y585" s="48">
        <v>0</v>
      </c>
      <c r="AA585" s="1">
        <v>6</v>
      </c>
      <c r="AB585" s="1" t="s">
        <v>15</v>
      </c>
      <c r="AC585" s="1" t="s">
        <v>21</v>
      </c>
      <c r="AD585" s="1">
        <v>9</v>
      </c>
      <c r="AE585" s="1">
        <v>7</v>
      </c>
      <c r="AF585" s="1">
        <v>0.76</v>
      </c>
      <c r="AG585" s="1">
        <v>0.84</v>
      </c>
      <c r="AH585" s="1">
        <v>0</v>
      </c>
      <c r="AI585" s="1">
        <v>0</v>
      </c>
      <c r="AJ585" s="1">
        <f t="shared" ref="AJ585:AJ648" si="51">SUMIFS(AH$8:AH$1039,$O$8:$O$1039,O585,$AB$8:$AB$1039,AB585,$R$8:$R$1039,R585,$AA$8:$AA$1039,"&lt;="&amp;AA585)</f>
        <v>0</v>
      </c>
      <c r="AK585" s="1">
        <f>D60</f>
        <v>0</v>
      </c>
      <c r="AL585" s="1">
        <f>D66</f>
        <v>0</v>
      </c>
      <c r="AM585" s="1">
        <f t="shared" ref="AM585:AM648" si="52">MAX(0,AJ585-AK585)</f>
        <v>0</v>
      </c>
      <c r="AN585" s="1">
        <f t="shared" ref="AN585:AN648" si="53">IF(AM585=0,AH585,IF(AM585&gt;=AH585,0,AH585-AM585))</f>
        <v>0</v>
      </c>
      <c r="AO585" s="1">
        <f t="shared" ref="AO585:AO648" si="54">IF(AM585&gt;=AH585,AI585,AI585*AM585/AH585)</f>
        <v>0</v>
      </c>
      <c r="AP585" t="b" cm="1">
        <f t="array" ref="AP585">INDEX($AU$8:$BB$25,6*(R585-1)+MATCH(AB585,$AS$8:$AS$13,0),MATCH(O585,$AU$7:$BB$7,0))</f>
        <v>1</v>
      </c>
    </row>
    <row r="586" spans="15:42" ht="14.25" x14ac:dyDescent="0.45">
      <c r="O586" s="43" t="s">
        <v>33</v>
      </c>
      <c r="P586" s="43">
        <v>2</v>
      </c>
      <c r="Q586" s="43">
        <v>10</v>
      </c>
      <c r="R586" s="43">
        <v>3</v>
      </c>
      <c r="S586" s="45"/>
      <c r="T586" t="b">
        <f>(S584+S585+S586)=R3</f>
        <v>0</v>
      </c>
      <c r="X586" s="1">
        <f t="shared" si="50"/>
        <v>0</v>
      </c>
      <c r="Y586" s="48">
        <v>0</v>
      </c>
      <c r="AA586" s="1">
        <v>6</v>
      </c>
      <c r="AB586" s="1" t="s">
        <v>15</v>
      </c>
      <c r="AC586" s="1" t="s">
        <v>21</v>
      </c>
      <c r="AD586" s="1">
        <v>9</v>
      </c>
      <c r="AE586" s="1">
        <v>7</v>
      </c>
      <c r="AF586" s="1">
        <v>0.76</v>
      </c>
      <c r="AG586" s="1">
        <v>0.84</v>
      </c>
      <c r="AH586" s="1">
        <v>0</v>
      </c>
      <c r="AI586" s="1">
        <v>0</v>
      </c>
      <c r="AJ586" s="1">
        <f t="shared" si="51"/>
        <v>0</v>
      </c>
      <c r="AK586" s="1">
        <f>E60</f>
        <v>0</v>
      </c>
      <c r="AL586" s="1">
        <f>E66</f>
        <v>0</v>
      </c>
      <c r="AM586" s="1">
        <f t="shared" si="52"/>
        <v>0</v>
      </c>
      <c r="AN586" s="1">
        <f t="shared" si="53"/>
        <v>0</v>
      </c>
      <c r="AO586" s="1">
        <f t="shared" si="54"/>
        <v>0</v>
      </c>
      <c r="AP586" t="b" cm="1">
        <f t="array" ref="AP586">INDEX($AU$8:$BB$25,6*(R586-1)+MATCH(AB586,$AS$8:$AS$13,0),MATCH(O586,$AU$7:$BB$7,0))</f>
        <v>1</v>
      </c>
    </row>
    <row r="587" spans="15:42" ht="14.25" x14ac:dyDescent="0.45">
      <c r="O587" s="43" t="s">
        <v>33</v>
      </c>
      <c r="P587" s="43">
        <v>2</v>
      </c>
      <c r="Q587" s="43">
        <v>11</v>
      </c>
      <c r="R587" s="43">
        <v>1</v>
      </c>
      <c r="S587" s="45"/>
      <c r="T587" t="b">
        <f>(S587+S588+S589)=R3</f>
        <v>0</v>
      </c>
      <c r="X587" s="1">
        <f t="shared" si="50"/>
        <v>0</v>
      </c>
      <c r="Y587" s="48">
        <v>0</v>
      </c>
      <c r="AA587" s="1">
        <v>2</v>
      </c>
      <c r="AB587" s="1" t="s">
        <v>15</v>
      </c>
      <c r="AC587" s="1" t="s">
        <v>21</v>
      </c>
      <c r="AD587" s="1">
        <v>20</v>
      </c>
      <c r="AE587" s="1">
        <v>19</v>
      </c>
      <c r="AF587" s="1">
        <v>0.76</v>
      </c>
      <c r="AG587" s="1">
        <v>0.84</v>
      </c>
      <c r="AH587" s="1">
        <v>0</v>
      </c>
      <c r="AI587" s="1">
        <v>0</v>
      </c>
      <c r="AJ587" s="1">
        <f t="shared" si="51"/>
        <v>0</v>
      </c>
      <c r="AK587" s="1">
        <f>C60</f>
        <v>0</v>
      </c>
      <c r="AL587" s="1">
        <f>C66</f>
        <v>0</v>
      </c>
      <c r="AM587" s="1">
        <f t="shared" si="52"/>
        <v>0</v>
      </c>
      <c r="AN587" s="1">
        <f t="shared" si="53"/>
        <v>0</v>
      </c>
      <c r="AO587" s="1">
        <f t="shared" si="54"/>
        <v>0</v>
      </c>
      <c r="AP587" t="b" cm="1">
        <f t="array" ref="AP587">INDEX($AU$8:$BB$25,6*(R587-1)+MATCH(AB587,$AS$8:$AS$13,0),MATCH(O587,$AU$7:$BB$7,0))</f>
        <v>1</v>
      </c>
    </row>
    <row r="588" spans="15:42" ht="14.25" x14ac:dyDescent="0.45">
      <c r="O588" s="43" t="s">
        <v>33</v>
      </c>
      <c r="P588" s="43">
        <v>2</v>
      </c>
      <c r="Q588" s="43">
        <v>11</v>
      </c>
      <c r="R588" s="43">
        <v>2</v>
      </c>
      <c r="S588" s="45"/>
      <c r="T588" t="b">
        <f>(S587+S588+S589)=R3</f>
        <v>0</v>
      </c>
      <c r="X588" s="1">
        <f t="shared" si="50"/>
        <v>0</v>
      </c>
      <c r="Y588" s="48">
        <v>0</v>
      </c>
      <c r="AA588" s="1">
        <v>2</v>
      </c>
      <c r="AB588" s="1" t="s">
        <v>15</v>
      </c>
      <c r="AC588" s="1" t="s">
        <v>21</v>
      </c>
      <c r="AD588" s="1">
        <v>20</v>
      </c>
      <c r="AE588" s="1">
        <v>19</v>
      </c>
      <c r="AF588" s="1">
        <v>0.76</v>
      </c>
      <c r="AG588" s="1">
        <v>0.84</v>
      </c>
      <c r="AH588" s="1">
        <v>0</v>
      </c>
      <c r="AI588" s="1">
        <v>0</v>
      </c>
      <c r="AJ588" s="1">
        <f t="shared" si="51"/>
        <v>0</v>
      </c>
      <c r="AK588" s="1">
        <f>D60</f>
        <v>0</v>
      </c>
      <c r="AL588" s="1">
        <f>D66</f>
        <v>0</v>
      </c>
      <c r="AM588" s="1">
        <f t="shared" si="52"/>
        <v>0</v>
      </c>
      <c r="AN588" s="1">
        <f t="shared" si="53"/>
        <v>0</v>
      </c>
      <c r="AO588" s="1">
        <f t="shared" si="54"/>
        <v>0</v>
      </c>
      <c r="AP588" t="b" cm="1">
        <f t="array" ref="AP588">INDEX($AU$8:$BB$25,6*(R588-1)+MATCH(AB588,$AS$8:$AS$13,0),MATCH(O588,$AU$7:$BB$7,0))</f>
        <v>1</v>
      </c>
    </row>
    <row r="589" spans="15:42" ht="14.25" x14ac:dyDescent="0.45">
      <c r="O589" s="43" t="s">
        <v>33</v>
      </c>
      <c r="P589" s="43">
        <v>2</v>
      </c>
      <c r="Q589" s="43">
        <v>11</v>
      </c>
      <c r="R589" s="43">
        <v>3</v>
      </c>
      <c r="S589" s="45"/>
      <c r="T589" t="b">
        <f>(S587+S588+S589)=R3</f>
        <v>0</v>
      </c>
      <c r="X589" s="1">
        <f t="shared" si="50"/>
        <v>0</v>
      </c>
      <c r="Y589" s="48">
        <v>0</v>
      </c>
      <c r="AA589" s="1">
        <v>2</v>
      </c>
      <c r="AB589" s="1" t="s">
        <v>15</v>
      </c>
      <c r="AC589" s="1" t="s">
        <v>21</v>
      </c>
      <c r="AD589" s="1">
        <v>20</v>
      </c>
      <c r="AE589" s="1">
        <v>19</v>
      </c>
      <c r="AF589" s="1">
        <v>0.76</v>
      </c>
      <c r="AG589" s="1">
        <v>0.84</v>
      </c>
      <c r="AH589" s="1">
        <v>0</v>
      </c>
      <c r="AI589" s="1">
        <v>0</v>
      </c>
      <c r="AJ589" s="1">
        <f t="shared" si="51"/>
        <v>0</v>
      </c>
      <c r="AK589" s="1">
        <f>E60</f>
        <v>0</v>
      </c>
      <c r="AL589" s="1">
        <f>E66</f>
        <v>0</v>
      </c>
      <c r="AM589" s="1">
        <f t="shared" si="52"/>
        <v>0</v>
      </c>
      <c r="AN589" s="1">
        <f t="shared" si="53"/>
        <v>0</v>
      </c>
      <c r="AO589" s="1">
        <f t="shared" si="54"/>
        <v>0</v>
      </c>
      <c r="AP589" t="b" cm="1">
        <f t="array" ref="AP589">INDEX($AU$8:$BB$25,6*(R589-1)+MATCH(AB589,$AS$8:$AS$13,0),MATCH(O589,$AU$7:$BB$7,0))</f>
        <v>1</v>
      </c>
    </row>
    <row r="590" spans="15:42" ht="14.25" x14ac:dyDescent="0.45">
      <c r="O590" s="43" t="s">
        <v>33</v>
      </c>
      <c r="P590" s="43">
        <v>2</v>
      </c>
      <c r="Q590" s="43">
        <v>12</v>
      </c>
      <c r="R590" s="43">
        <v>1</v>
      </c>
      <c r="S590" s="45"/>
      <c r="T590" t="b">
        <f>(S590+S591+S592)=R3</f>
        <v>0</v>
      </c>
      <c r="X590" s="1">
        <f t="shared" si="50"/>
        <v>0</v>
      </c>
      <c r="Y590" s="48">
        <v>0</v>
      </c>
      <c r="AA590" s="1">
        <v>7</v>
      </c>
      <c r="AB590" s="1" t="s">
        <v>16</v>
      </c>
      <c r="AC590" s="1" t="s">
        <v>22</v>
      </c>
      <c r="AD590" s="1">
        <v>21</v>
      </c>
      <c r="AE590" s="1">
        <v>18</v>
      </c>
      <c r="AF590" s="1">
        <v>0.8</v>
      </c>
      <c r="AG590" s="1">
        <v>0.9</v>
      </c>
      <c r="AH590" s="1">
        <v>0</v>
      </c>
      <c r="AI590" s="1">
        <v>0</v>
      </c>
      <c r="AJ590" s="1">
        <f t="shared" si="51"/>
        <v>0</v>
      </c>
      <c r="AK590" s="1">
        <f>C61</f>
        <v>0</v>
      </c>
      <c r="AL590" s="1">
        <f>C67</f>
        <v>0</v>
      </c>
      <c r="AM590" s="1">
        <f t="shared" si="52"/>
        <v>0</v>
      </c>
      <c r="AN590" s="1">
        <f t="shared" si="53"/>
        <v>0</v>
      </c>
      <c r="AO590" s="1">
        <f t="shared" si="54"/>
        <v>0</v>
      </c>
      <c r="AP590" t="b" cm="1">
        <f t="array" ref="AP590">INDEX($AU$8:$BB$25,6*(R590-1)+MATCH(AB590,$AS$8:$AS$13,0),MATCH(O590,$AU$7:$BB$7,0))</f>
        <v>1</v>
      </c>
    </row>
    <row r="591" spans="15:42" ht="14.25" x14ac:dyDescent="0.45">
      <c r="O591" s="43" t="s">
        <v>33</v>
      </c>
      <c r="P591" s="43">
        <v>2</v>
      </c>
      <c r="Q591" s="43">
        <v>12</v>
      </c>
      <c r="R591" s="43">
        <v>2</v>
      </c>
      <c r="S591" s="45"/>
      <c r="T591" t="b">
        <f>(S590+S591+S592)=R3</f>
        <v>0</v>
      </c>
      <c r="X591" s="1">
        <f t="shared" si="50"/>
        <v>0</v>
      </c>
      <c r="Y591" s="48">
        <v>0</v>
      </c>
      <c r="AA591" s="1">
        <v>7</v>
      </c>
      <c r="AB591" s="1" t="s">
        <v>16</v>
      </c>
      <c r="AC591" s="1" t="s">
        <v>22</v>
      </c>
      <c r="AD591" s="1">
        <v>21</v>
      </c>
      <c r="AE591" s="1">
        <v>18</v>
      </c>
      <c r="AF591" s="1">
        <v>0.8</v>
      </c>
      <c r="AG591" s="1">
        <v>0.9</v>
      </c>
      <c r="AH591" s="1">
        <v>0</v>
      </c>
      <c r="AI591" s="1">
        <v>0</v>
      </c>
      <c r="AJ591" s="1">
        <f t="shared" si="51"/>
        <v>0</v>
      </c>
      <c r="AK591" s="1">
        <f>D61</f>
        <v>0</v>
      </c>
      <c r="AL591" s="1">
        <f>D67</f>
        <v>0</v>
      </c>
      <c r="AM591" s="1">
        <f t="shared" si="52"/>
        <v>0</v>
      </c>
      <c r="AN591" s="1">
        <f t="shared" si="53"/>
        <v>0</v>
      </c>
      <c r="AO591" s="1">
        <f t="shared" si="54"/>
        <v>0</v>
      </c>
      <c r="AP591" t="b" cm="1">
        <f t="array" ref="AP591">INDEX($AU$8:$BB$25,6*(R591-1)+MATCH(AB591,$AS$8:$AS$13,0),MATCH(O591,$AU$7:$BB$7,0))</f>
        <v>1</v>
      </c>
    </row>
    <row r="592" spans="15:42" ht="14.25" x14ac:dyDescent="0.45">
      <c r="O592" s="43" t="s">
        <v>33</v>
      </c>
      <c r="P592" s="43">
        <v>2</v>
      </c>
      <c r="Q592" s="43">
        <v>12</v>
      </c>
      <c r="R592" s="43">
        <v>3</v>
      </c>
      <c r="S592" s="45"/>
      <c r="T592" t="b">
        <f>(S590+S591+S592)=R3</f>
        <v>0</v>
      </c>
      <c r="X592" s="1">
        <f t="shared" si="50"/>
        <v>0</v>
      </c>
      <c r="Y592" s="48">
        <v>0</v>
      </c>
      <c r="AA592" s="1">
        <v>7</v>
      </c>
      <c r="AB592" s="1" t="s">
        <v>16</v>
      </c>
      <c r="AC592" s="1" t="s">
        <v>22</v>
      </c>
      <c r="AD592" s="1">
        <v>21</v>
      </c>
      <c r="AE592" s="1">
        <v>18</v>
      </c>
      <c r="AF592" s="1">
        <v>0.8</v>
      </c>
      <c r="AG592" s="1">
        <v>0.9</v>
      </c>
      <c r="AH592" s="1">
        <v>0</v>
      </c>
      <c r="AI592" s="1">
        <v>0</v>
      </c>
      <c r="AJ592" s="1">
        <f t="shared" si="51"/>
        <v>0</v>
      </c>
      <c r="AK592" s="1">
        <f>E61</f>
        <v>0</v>
      </c>
      <c r="AL592" s="1">
        <f>E67</f>
        <v>0</v>
      </c>
      <c r="AM592" s="1">
        <f t="shared" si="52"/>
        <v>0</v>
      </c>
      <c r="AN592" s="1">
        <f t="shared" si="53"/>
        <v>0</v>
      </c>
      <c r="AO592" s="1">
        <f t="shared" si="54"/>
        <v>0</v>
      </c>
      <c r="AP592" t="b" cm="1">
        <f t="array" ref="AP592">INDEX($AU$8:$BB$25,6*(R592-1)+MATCH(AB592,$AS$8:$AS$13,0),MATCH(O592,$AU$7:$BB$7,0))</f>
        <v>1</v>
      </c>
    </row>
    <row r="593" spans="15:42" ht="14.25" x14ac:dyDescent="0.45">
      <c r="O593" s="43" t="s">
        <v>33</v>
      </c>
      <c r="P593" s="43">
        <v>2</v>
      </c>
      <c r="Q593" s="43">
        <v>13</v>
      </c>
      <c r="R593" s="43">
        <v>1</v>
      </c>
      <c r="S593" s="45"/>
      <c r="T593" t="b">
        <f>(S593+S594+S595)=R3</f>
        <v>0</v>
      </c>
      <c r="X593" s="1">
        <f t="shared" si="50"/>
        <v>0</v>
      </c>
      <c r="Y593" s="48">
        <v>0</v>
      </c>
      <c r="AA593" s="1">
        <v>8</v>
      </c>
      <c r="AB593" s="1" t="s">
        <v>15</v>
      </c>
      <c r="AC593" s="1" t="s">
        <v>21</v>
      </c>
      <c r="AD593" s="1">
        <v>12</v>
      </c>
      <c r="AE593" s="1">
        <v>9</v>
      </c>
      <c r="AF593" s="1">
        <v>0.76</v>
      </c>
      <c r="AG593" s="1">
        <v>0.84</v>
      </c>
      <c r="AH593" s="1">
        <v>0</v>
      </c>
      <c r="AI593" s="1">
        <v>0</v>
      </c>
      <c r="AJ593" s="1">
        <f t="shared" si="51"/>
        <v>0</v>
      </c>
      <c r="AK593" s="1">
        <f>C60</f>
        <v>0</v>
      </c>
      <c r="AL593" s="1">
        <f>C66</f>
        <v>0</v>
      </c>
      <c r="AM593" s="1">
        <f t="shared" si="52"/>
        <v>0</v>
      </c>
      <c r="AN593" s="1">
        <f t="shared" si="53"/>
        <v>0</v>
      </c>
      <c r="AO593" s="1">
        <f t="shared" si="54"/>
        <v>0</v>
      </c>
      <c r="AP593" t="b" cm="1">
        <f t="array" ref="AP593">INDEX($AU$8:$BB$25,6*(R593-1)+MATCH(AB593,$AS$8:$AS$13,0),MATCH(O593,$AU$7:$BB$7,0))</f>
        <v>1</v>
      </c>
    </row>
    <row r="594" spans="15:42" ht="14.25" x14ac:dyDescent="0.45">
      <c r="O594" s="43" t="s">
        <v>33</v>
      </c>
      <c r="P594" s="43">
        <v>2</v>
      </c>
      <c r="Q594" s="43">
        <v>13</v>
      </c>
      <c r="R594" s="43">
        <v>2</v>
      </c>
      <c r="S594" s="45"/>
      <c r="T594" t="b">
        <f>(S593+S594+S595)=R3</f>
        <v>0</v>
      </c>
      <c r="X594" s="1">
        <f t="shared" si="50"/>
        <v>0</v>
      </c>
      <c r="Y594" s="48">
        <v>0</v>
      </c>
      <c r="AA594" s="1">
        <v>8</v>
      </c>
      <c r="AB594" s="1" t="s">
        <v>15</v>
      </c>
      <c r="AC594" s="1" t="s">
        <v>21</v>
      </c>
      <c r="AD594" s="1">
        <v>12</v>
      </c>
      <c r="AE594" s="1">
        <v>9</v>
      </c>
      <c r="AF594" s="1">
        <v>0.76</v>
      </c>
      <c r="AG594" s="1">
        <v>0.84</v>
      </c>
      <c r="AH594" s="1">
        <v>0</v>
      </c>
      <c r="AI594" s="1">
        <v>0</v>
      </c>
      <c r="AJ594" s="1">
        <f t="shared" si="51"/>
        <v>0</v>
      </c>
      <c r="AK594" s="1">
        <f>D60</f>
        <v>0</v>
      </c>
      <c r="AL594" s="1">
        <f>D66</f>
        <v>0</v>
      </c>
      <c r="AM594" s="1">
        <f t="shared" si="52"/>
        <v>0</v>
      </c>
      <c r="AN594" s="1">
        <f t="shared" si="53"/>
        <v>0</v>
      </c>
      <c r="AO594" s="1">
        <f t="shared" si="54"/>
        <v>0</v>
      </c>
      <c r="AP594" t="b" cm="1">
        <f t="array" ref="AP594">INDEX($AU$8:$BB$25,6*(R594-1)+MATCH(AB594,$AS$8:$AS$13,0),MATCH(O594,$AU$7:$BB$7,0))</f>
        <v>1</v>
      </c>
    </row>
    <row r="595" spans="15:42" ht="14.25" x14ac:dyDescent="0.45">
      <c r="O595" s="43" t="s">
        <v>33</v>
      </c>
      <c r="P595" s="43">
        <v>2</v>
      </c>
      <c r="Q595" s="43">
        <v>13</v>
      </c>
      <c r="R595" s="43">
        <v>3</v>
      </c>
      <c r="S595" s="45"/>
      <c r="T595" t="b">
        <f>(S593+S594+S595)=R3</f>
        <v>0</v>
      </c>
      <c r="X595" s="1">
        <f t="shared" si="50"/>
        <v>0</v>
      </c>
      <c r="Y595" s="48">
        <v>0</v>
      </c>
      <c r="AA595" s="1">
        <v>8</v>
      </c>
      <c r="AB595" s="1" t="s">
        <v>15</v>
      </c>
      <c r="AC595" s="1" t="s">
        <v>21</v>
      </c>
      <c r="AD595" s="1">
        <v>12</v>
      </c>
      <c r="AE595" s="1">
        <v>9</v>
      </c>
      <c r="AF595" s="1">
        <v>0.76</v>
      </c>
      <c r="AG595" s="1">
        <v>0.84</v>
      </c>
      <c r="AH595" s="1">
        <v>0</v>
      </c>
      <c r="AI595" s="1">
        <v>0</v>
      </c>
      <c r="AJ595" s="1">
        <f t="shared" si="51"/>
        <v>0</v>
      </c>
      <c r="AK595" s="1">
        <f>E60</f>
        <v>0</v>
      </c>
      <c r="AL595" s="1">
        <f>E66</f>
        <v>0</v>
      </c>
      <c r="AM595" s="1">
        <f t="shared" si="52"/>
        <v>0</v>
      </c>
      <c r="AN595" s="1">
        <f t="shared" si="53"/>
        <v>0</v>
      </c>
      <c r="AO595" s="1">
        <f t="shared" si="54"/>
        <v>0</v>
      </c>
      <c r="AP595" t="b" cm="1">
        <f t="array" ref="AP595">INDEX($AU$8:$BB$25,6*(R595-1)+MATCH(AB595,$AS$8:$AS$13,0),MATCH(O595,$AU$7:$BB$7,0))</f>
        <v>1</v>
      </c>
    </row>
    <row r="596" spans="15:42" ht="14.25" x14ac:dyDescent="0.45">
      <c r="O596" s="43" t="s">
        <v>33</v>
      </c>
      <c r="P596" s="43">
        <v>2</v>
      </c>
      <c r="Q596" s="43">
        <v>14</v>
      </c>
      <c r="R596" s="43">
        <v>1</v>
      </c>
      <c r="S596" s="45"/>
      <c r="T596" t="b">
        <f>(S596+S597+S598)=R3</f>
        <v>0</v>
      </c>
      <c r="X596" s="1">
        <f t="shared" si="50"/>
        <v>0</v>
      </c>
      <c r="Y596" s="48">
        <v>0</v>
      </c>
      <c r="AA596" s="1">
        <v>5</v>
      </c>
      <c r="AB596" s="1" t="s">
        <v>15</v>
      </c>
      <c r="AC596" s="1" t="s">
        <v>21</v>
      </c>
      <c r="AD596" s="1">
        <v>15</v>
      </c>
      <c r="AE596" s="1">
        <v>12</v>
      </c>
      <c r="AF596" s="1">
        <v>0.76</v>
      </c>
      <c r="AG596" s="1">
        <v>0.84</v>
      </c>
      <c r="AH596" s="1">
        <v>0</v>
      </c>
      <c r="AI596" s="1">
        <v>0</v>
      </c>
      <c r="AJ596" s="1">
        <f t="shared" si="51"/>
        <v>0</v>
      </c>
      <c r="AK596" s="1">
        <f>C60</f>
        <v>0</v>
      </c>
      <c r="AL596" s="1">
        <f>C66</f>
        <v>0</v>
      </c>
      <c r="AM596" s="1">
        <f t="shared" si="52"/>
        <v>0</v>
      </c>
      <c r="AN596" s="1">
        <f t="shared" si="53"/>
        <v>0</v>
      </c>
      <c r="AO596" s="1">
        <f t="shared" si="54"/>
        <v>0</v>
      </c>
      <c r="AP596" t="b" cm="1">
        <f t="array" ref="AP596">INDEX($AU$8:$BB$25,6*(R596-1)+MATCH(AB596,$AS$8:$AS$13,0),MATCH(O596,$AU$7:$BB$7,0))</f>
        <v>1</v>
      </c>
    </row>
    <row r="597" spans="15:42" ht="14.25" x14ac:dyDescent="0.45">
      <c r="O597" s="43" t="s">
        <v>33</v>
      </c>
      <c r="P597" s="43">
        <v>2</v>
      </c>
      <c r="Q597" s="43">
        <v>14</v>
      </c>
      <c r="R597" s="43">
        <v>2</v>
      </c>
      <c r="S597" s="45"/>
      <c r="T597" t="b">
        <f>(S596+S597+S598)=R3</f>
        <v>0</v>
      </c>
      <c r="X597" s="1">
        <f t="shared" si="50"/>
        <v>0</v>
      </c>
      <c r="Y597" s="48">
        <v>0</v>
      </c>
      <c r="AA597" s="1">
        <v>5</v>
      </c>
      <c r="AB597" s="1" t="s">
        <v>15</v>
      </c>
      <c r="AC597" s="1" t="s">
        <v>21</v>
      </c>
      <c r="AD597" s="1">
        <v>15</v>
      </c>
      <c r="AE597" s="1">
        <v>12</v>
      </c>
      <c r="AF597" s="1">
        <v>0.76</v>
      </c>
      <c r="AG597" s="1">
        <v>0.84</v>
      </c>
      <c r="AH597" s="1">
        <v>0</v>
      </c>
      <c r="AI597" s="1">
        <v>0</v>
      </c>
      <c r="AJ597" s="1">
        <f t="shared" si="51"/>
        <v>0</v>
      </c>
      <c r="AK597" s="1">
        <f>D60</f>
        <v>0</v>
      </c>
      <c r="AL597" s="1">
        <f>D66</f>
        <v>0</v>
      </c>
      <c r="AM597" s="1">
        <f t="shared" si="52"/>
        <v>0</v>
      </c>
      <c r="AN597" s="1">
        <f t="shared" si="53"/>
        <v>0</v>
      </c>
      <c r="AO597" s="1">
        <f t="shared" si="54"/>
        <v>0</v>
      </c>
      <c r="AP597" t="b" cm="1">
        <f t="array" ref="AP597">INDEX($AU$8:$BB$25,6*(R597-1)+MATCH(AB597,$AS$8:$AS$13,0),MATCH(O597,$AU$7:$BB$7,0))</f>
        <v>1</v>
      </c>
    </row>
    <row r="598" spans="15:42" ht="14.25" x14ac:dyDescent="0.45">
      <c r="O598" s="43" t="s">
        <v>33</v>
      </c>
      <c r="P598" s="43">
        <v>2</v>
      </c>
      <c r="Q598" s="43">
        <v>14</v>
      </c>
      <c r="R598" s="43">
        <v>3</v>
      </c>
      <c r="S598" s="45"/>
      <c r="T598" t="b">
        <f>(S596+S597+S598)=R3</f>
        <v>0</v>
      </c>
      <c r="X598" s="1">
        <f t="shared" si="50"/>
        <v>0</v>
      </c>
      <c r="Y598" s="48">
        <v>0</v>
      </c>
      <c r="AA598" s="1">
        <v>5</v>
      </c>
      <c r="AB598" s="1" t="s">
        <v>15</v>
      </c>
      <c r="AC598" s="1" t="s">
        <v>21</v>
      </c>
      <c r="AD598" s="1">
        <v>15</v>
      </c>
      <c r="AE598" s="1">
        <v>12</v>
      </c>
      <c r="AF598" s="1">
        <v>0.76</v>
      </c>
      <c r="AG598" s="1">
        <v>0.84</v>
      </c>
      <c r="AH598" s="1">
        <v>0</v>
      </c>
      <c r="AI598" s="1">
        <v>0</v>
      </c>
      <c r="AJ598" s="1">
        <f t="shared" si="51"/>
        <v>0</v>
      </c>
      <c r="AK598" s="1">
        <f>E60</f>
        <v>0</v>
      </c>
      <c r="AL598" s="1">
        <f>E66</f>
        <v>0</v>
      </c>
      <c r="AM598" s="1">
        <f t="shared" si="52"/>
        <v>0</v>
      </c>
      <c r="AN598" s="1">
        <f t="shared" si="53"/>
        <v>0</v>
      </c>
      <c r="AO598" s="1">
        <f t="shared" si="54"/>
        <v>0</v>
      </c>
      <c r="AP598" t="b" cm="1">
        <f t="array" ref="AP598">INDEX($AU$8:$BB$25,6*(R598-1)+MATCH(AB598,$AS$8:$AS$13,0),MATCH(O598,$AU$7:$BB$7,0))</f>
        <v>1</v>
      </c>
    </row>
    <row r="599" spans="15:42" ht="14.25" x14ac:dyDescent="0.45">
      <c r="O599" s="43" t="s">
        <v>33</v>
      </c>
      <c r="P599" s="43">
        <v>2</v>
      </c>
      <c r="Q599" s="43">
        <v>15</v>
      </c>
      <c r="R599" s="43">
        <v>1</v>
      </c>
      <c r="S599" s="45"/>
      <c r="T599" t="b">
        <f>(S599+S600+S601)=R3</f>
        <v>0</v>
      </c>
      <c r="X599" s="1">
        <f t="shared" si="50"/>
        <v>0</v>
      </c>
      <c r="Y599" s="48">
        <v>0</v>
      </c>
      <c r="AA599" s="1">
        <v>7</v>
      </c>
      <c r="AB599" s="1" t="s">
        <v>15</v>
      </c>
      <c r="AC599" s="1" t="s">
        <v>21</v>
      </c>
      <c r="AD599" s="1">
        <v>13</v>
      </c>
      <c r="AE599" s="1">
        <v>10</v>
      </c>
      <c r="AF599" s="1">
        <v>0.76</v>
      </c>
      <c r="AG599" s="1">
        <v>0.84</v>
      </c>
      <c r="AH599" s="1">
        <v>0</v>
      </c>
      <c r="AI599" s="1">
        <v>0</v>
      </c>
      <c r="AJ599" s="1">
        <f t="shared" si="51"/>
        <v>0</v>
      </c>
      <c r="AK599" s="1">
        <f>C60</f>
        <v>0</v>
      </c>
      <c r="AL599" s="1">
        <f>C66</f>
        <v>0</v>
      </c>
      <c r="AM599" s="1">
        <f t="shared" si="52"/>
        <v>0</v>
      </c>
      <c r="AN599" s="1">
        <f t="shared" si="53"/>
        <v>0</v>
      </c>
      <c r="AO599" s="1">
        <f t="shared" si="54"/>
        <v>0</v>
      </c>
      <c r="AP599" t="b" cm="1">
        <f t="array" ref="AP599">INDEX($AU$8:$BB$25,6*(R599-1)+MATCH(AB599,$AS$8:$AS$13,0),MATCH(O599,$AU$7:$BB$7,0))</f>
        <v>1</v>
      </c>
    </row>
    <row r="600" spans="15:42" ht="14.25" x14ac:dyDescent="0.45">
      <c r="O600" s="43" t="s">
        <v>33</v>
      </c>
      <c r="P600" s="43">
        <v>2</v>
      </c>
      <c r="Q600" s="43">
        <v>15</v>
      </c>
      <c r="R600" s="43">
        <v>2</v>
      </c>
      <c r="S600" s="45"/>
      <c r="T600" t="b">
        <f>(S599+S600+S601)=R3</f>
        <v>0</v>
      </c>
      <c r="X600" s="1">
        <f t="shared" si="50"/>
        <v>0</v>
      </c>
      <c r="Y600" s="48">
        <v>0</v>
      </c>
      <c r="AA600" s="1">
        <v>7</v>
      </c>
      <c r="AB600" s="1" t="s">
        <v>15</v>
      </c>
      <c r="AC600" s="1" t="s">
        <v>21</v>
      </c>
      <c r="AD600" s="1">
        <v>13</v>
      </c>
      <c r="AE600" s="1">
        <v>10</v>
      </c>
      <c r="AF600" s="1">
        <v>0.76</v>
      </c>
      <c r="AG600" s="1">
        <v>0.84</v>
      </c>
      <c r="AH600" s="1">
        <v>0</v>
      </c>
      <c r="AI600" s="1">
        <v>0</v>
      </c>
      <c r="AJ600" s="1">
        <f t="shared" si="51"/>
        <v>0</v>
      </c>
      <c r="AK600" s="1">
        <f>D60</f>
        <v>0</v>
      </c>
      <c r="AL600" s="1">
        <f>D66</f>
        <v>0</v>
      </c>
      <c r="AM600" s="1">
        <f t="shared" si="52"/>
        <v>0</v>
      </c>
      <c r="AN600" s="1">
        <f t="shared" si="53"/>
        <v>0</v>
      </c>
      <c r="AO600" s="1">
        <f t="shared" si="54"/>
        <v>0</v>
      </c>
      <c r="AP600" t="b" cm="1">
        <f t="array" ref="AP600">INDEX($AU$8:$BB$25,6*(R600-1)+MATCH(AB600,$AS$8:$AS$13,0),MATCH(O600,$AU$7:$BB$7,0))</f>
        <v>1</v>
      </c>
    </row>
    <row r="601" spans="15:42" ht="14.25" x14ac:dyDescent="0.45">
      <c r="O601" s="43" t="s">
        <v>33</v>
      </c>
      <c r="P601" s="43">
        <v>2</v>
      </c>
      <c r="Q601" s="43">
        <v>15</v>
      </c>
      <c r="R601" s="43">
        <v>3</v>
      </c>
      <c r="S601" s="45"/>
      <c r="T601" t="b">
        <f>(S599+S600+S601)=R3</f>
        <v>0</v>
      </c>
      <c r="X601" s="1">
        <f t="shared" si="50"/>
        <v>0</v>
      </c>
      <c r="Y601" s="48">
        <v>0</v>
      </c>
      <c r="AA601" s="1">
        <v>7</v>
      </c>
      <c r="AB601" s="1" t="s">
        <v>15</v>
      </c>
      <c r="AC601" s="1" t="s">
        <v>21</v>
      </c>
      <c r="AD601" s="1">
        <v>13</v>
      </c>
      <c r="AE601" s="1">
        <v>10</v>
      </c>
      <c r="AF601" s="1">
        <v>0.76</v>
      </c>
      <c r="AG601" s="1">
        <v>0.84</v>
      </c>
      <c r="AH601" s="1">
        <v>0</v>
      </c>
      <c r="AI601" s="1">
        <v>0</v>
      </c>
      <c r="AJ601" s="1">
        <f t="shared" si="51"/>
        <v>0</v>
      </c>
      <c r="AK601" s="1">
        <f>E60</f>
        <v>0</v>
      </c>
      <c r="AL601" s="1">
        <f>E66</f>
        <v>0</v>
      </c>
      <c r="AM601" s="1">
        <f t="shared" si="52"/>
        <v>0</v>
      </c>
      <c r="AN601" s="1">
        <f t="shared" si="53"/>
        <v>0</v>
      </c>
      <c r="AO601" s="1">
        <f t="shared" si="54"/>
        <v>0</v>
      </c>
      <c r="AP601" t="b" cm="1">
        <f t="array" ref="AP601">INDEX($AU$8:$BB$25,6*(R601-1)+MATCH(AB601,$AS$8:$AS$13,0),MATCH(O601,$AU$7:$BB$7,0))</f>
        <v>1</v>
      </c>
    </row>
    <row r="602" spans="15:42" ht="14.25" x14ac:dyDescent="0.45">
      <c r="O602" s="43" t="s">
        <v>33</v>
      </c>
      <c r="P602" s="43">
        <v>3</v>
      </c>
      <c r="Q602" s="43">
        <v>1</v>
      </c>
      <c r="R602" s="43">
        <v>1</v>
      </c>
      <c r="S602" s="45"/>
      <c r="T602" t="b">
        <f>(S602+S603+S604)=R4</f>
        <v>0</v>
      </c>
      <c r="X602" s="1">
        <v>0</v>
      </c>
      <c r="Y602" s="48">
        <v>0</v>
      </c>
      <c r="AA602" s="1">
        <v>1</v>
      </c>
      <c r="AB602" s="1" t="s">
        <v>13</v>
      </c>
      <c r="AC602" s="1" t="s">
        <v>19</v>
      </c>
      <c r="AD602" s="1">
        <v>21</v>
      </c>
      <c r="AE602" s="1">
        <v>20</v>
      </c>
      <c r="AF602" s="1">
        <v>0.8</v>
      </c>
      <c r="AG602" s="1">
        <v>0.86</v>
      </c>
      <c r="AH602" s="1">
        <v>0</v>
      </c>
      <c r="AI602" s="1">
        <v>0</v>
      </c>
      <c r="AJ602" s="1">
        <f t="shared" si="51"/>
        <v>0</v>
      </c>
      <c r="AK602" s="1">
        <f>C58</f>
        <v>0</v>
      </c>
      <c r="AL602" s="1">
        <f>C64</f>
        <v>0</v>
      </c>
      <c r="AM602" s="1">
        <f t="shared" si="52"/>
        <v>0</v>
      </c>
      <c r="AN602" s="1">
        <f t="shared" si="53"/>
        <v>0</v>
      </c>
      <c r="AO602" s="1">
        <f t="shared" si="54"/>
        <v>0</v>
      </c>
      <c r="AP602" t="b" cm="1">
        <f t="array" ref="AP602">INDEX($AU$8:$BB$25,6*(R602-1)+MATCH(AB602,$AS$8:$AS$13,0),MATCH(O602,$AU$7:$BB$7,0))</f>
        <v>1</v>
      </c>
    </row>
    <row r="603" spans="15:42" ht="14.25" x14ac:dyDescent="0.45">
      <c r="O603" s="43" t="s">
        <v>33</v>
      </c>
      <c r="P603" s="43">
        <v>3</v>
      </c>
      <c r="Q603" s="43">
        <v>1</v>
      </c>
      <c r="R603" s="43">
        <v>2</v>
      </c>
      <c r="S603" s="45"/>
      <c r="T603" t="b">
        <f>(S602+S603+S604)=R4</f>
        <v>0</v>
      </c>
      <c r="X603" s="1">
        <v>0</v>
      </c>
      <c r="Y603" s="48">
        <v>0</v>
      </c>
      <c r="AA603" s="1">
        <v>1</v>
      </c>
      <c r="AB603" s="1" t="s">
        <v>13</v>
      </c>
      <c r="AC603" s="1" t="s">
        <v>19</v>
      </c>
      <c r="AD603" s="1">
        <v>21</v>
      </c>
      <c r="AE603" s="1">
        <v>20</v>
      </c>
      <c r="AF603" s="1">
        <v>0.8</v>
      </c>
      <c r="AG603" s="1">
        <v>0.86</v>
      </c>
      <c r="AH603" s="1">
        <v>0</v>
      </c>
      <c r="AI603" s="1">
        <v>0</v>
      </c>
      <c r="AJ603" s="1">
        <f t="shared" si="51"/>
        <v>0</v>
      </c>
      <c r="AK603" s="1">
        <f>D58</f>
        <v>0</v>
      </c>
      <c r="AL603" s="1">
        <f>D64</f>
        <v>0</v>
      </c>
      <c r="AM603" s="1">
        <f t="shared" si="52"/>
        <v>0</v>
      </c>
      <c r="AN603" s="1">
        <f t="shared" si="53"/>
        <v>0</v>
      </c>
      <c r="AO603" s="1">
        <f t="shared" si="54"/>
        <v>0</v>
      </c>
      <c r="AP603" t="b" cm="1">
        <f t="array" ref="AP603">INDEX($AU$8:$BB$25,6*(R603-1)+MATCH(AB603,$AS$8:$AS$13,0),MATCH(O603,$AU$7:$BB$7,0))</f>
        <v>1</v>
      </c>
    </row>
    <row r="604" spans="15:42" ht="14.25" x14ac:dyDescent="0.45">
      <c r="O604" s="43" t="s">
        <v>33</v>
      </c>
      <c r="P604" s="43">
        <v>3</v>
      </c>
      <c r="Q604" s="43">
        <v>1</v>
      </c>
      <c r="R604" s="43">
        <v>3</v>
      </c>
      <c r="S604" s="45"/>
      <c r="T604" t="b">
        <f>(S602+S603+S604)=R4</f>
        <v>0</v>
      </c>
      <c r="X604" s="1">
        <v>0</v>
      </c>
      <c r="Y604" s="48">
        <v>0</v>
      </c>
      <c r="AA604" s="1">
        <v>1</v>
      </c>
      <c r="AB604" s="1" t="s">
        <v>13</v>
      </c>
      <c r="AC604" s="1" t="s">
        <v>19</v>
      </c>
      <c r="AD604" s="1">
        <v>21</v>
      </c>
      <c r="AE604" s="1">
        <v>20</v>
      </c>
      <c r="AF604" s="1">
        <v>0.8</v>
      </c>
      <c r="AG604" s="1">
        <v>0.86</v>
      </c>
      <c r="AH604" s="1">
        <v>0</v>
      </c>
      <c r="AI604" s="1">
        <v>0</v>
      </c>
      <c r="AJ604" s="1">
        <f t="shared" si="51"/>
        <v>0</v>
      </c>
      <c r="AK604" s="1">
        <f>E58</f>
        <v>0</v>
      </c>
      <c r="AL604" s="1">
        <f>E64</f>
        <v>0</v>
      </c>
      <c r="AM604" s="1">
        <f t="shared" si="52"/>
        <v>0</v>
      </c>
      <c r="AN604" s="1">
        <f t="shared" si="53"/>
        <v>0</v>
      </c>
      <c r="AO604" s="1">
        <f t="shared" si="54"/>
        <v>0</v>
      </c>
      <c r="AP604" t="b" cm="1">
        <f t="array" ref="AP604">INDEX($AU$8:$BB$25,6*(R604-1)+MATCH(AB604,$AS$8:$AS$13,0),MATCH(O604,$AU$7:$BB$7,0))</f>
        <v>1</v>
      </c>
    </row>
    <row r="605" spans="15:42" ht="14.25" x14ac:dyDescent="0.45">
      <c r="O605" s="43" t="s">
        <v>33</v>
      </c>
      <c r="P605" s="43">
        <v>3</v>
      </c>
      <c r="Q605" s="43">
        <v>2</v>
      </c>
      <c r="R605" s="43">
        <v>1</v>
      </c>
      <c r="S605" s="45"/>
      <c r="T605" t="b">
        <f>(S605+S606+S607)=R4</f>
        <v>0</v>
      </c>
      <c r="X605" s="1">
        <f t="shared" ref="X605:X652" si="55">MAX(S602-S605,0)</f>
        <v>0</v>
      </c>
      <c r="Y605" s="48">
        <v>0</v>
      </c>
      <c r="AA605" s="1">
        <v>8</v>
      </c>
      <c r="AB605" s="1" t="s">
        <v>14</v>
      </c>
      <c r="AC605" s="1" t="s">
        <v>20</v>
      </c>
      <c r="AD605" s="1">
        <v>9</v>
      </c>
      <c r="AE605" s="1">
        <v>7</v>
      </c>
      <c r="AF605" s="1">
        <v>0.8</v>
      </c>
      <c r="AG605" s="1">
        <v>0.88</v>
      </c>
      <c r="AH605" s="1">
        <v>0</v>
      </c>
      <c r="AI605" s="1">
        <v>0</v>
      </c>
      <c r="AJ605" s="1">
        <f t="shared" si="51"/>
        <v>0</v>
      </c>
      <c r="AK605" s="1">
        <f>C59</f>
        <v>0</v>
      </c>
      <c r="AL605" s="1">
        <f>C65</f>
        <v>0</v>
      </c>
      <c r="AM605" s="1">
        <f t="shared" si="52"/>
        <v>0</v>
      </c>
      <c r="AN605" s="1">
        <f t="shared" si="53"/>
        <v>0</v>
      </c>
      <c r="AO605" s="1">
        <f t="shared" si="54"/>
        <v>0</v>
      </c>
      <c r="AP605" t="b" cm="1">
        <f t="array" ref="AP605">INDEX($AU$8:$BB$25,6*(R605-1)+MATCH(AB605,$AS$8:$AS$13,0),MATCH(O605,$AU$7:$BB$7,0))</f>
        <v>1</v>
      </c>
    </row>
    <row r="606" spans="15:42" ht="14.25" x14ac:dyDescent="0.45">
      <c r="O606" s="43" t="s">
        <v>33</v>
      </c>
      <c r="P606" s="43">
        <v>3</v>
      </c>
      <c r="Q606" s="43">
        <v>2</v>
      </c>
      <c r="R606" s="43">
        <v>2</v>
      </c>
      <c r="S606" s="45"/>
      <c r="T606" t="b">
        <f>(S605+S606+S607)=R4</f>
        <v>0</v>
      </c>
      <c r="X606" s="1">
        <f t="shared" si="55"/>
        <v>0</v>
      </c>
      <c r="Y606" s="48">
        <v>0</v>
      </c>
      <c r="AA606" s="1">
        <v>8</v>
      </c>
      <c r="AB606" s="1" t="s">
        <v>14</v>
      </c>
      <c r="AC606" s="1" t="s">
        <v>20</v>
      </c>
      <c r="AD606" s="1">
        <v>9</v>
      </c>
      <c r="AE606" s="1">
        <v>7</v>
      </c>
      <c r="AF606" s="1">
        <v>0.8</v>
      </c>
      <c r="AG606" s="1">
        <v>0.88</v>
      </c>
      <c r="AH606" s="1">
        <v>0</v>
      </c>
      <c r="AI606" s="1">
        <v>0</v>
      </c>
      <c r="AJ606" s="1">
        <f t="shared" si="51"/>
        <v>0</v>
      </c>
      <c r="AK606" s="1">
        <f>D59</f>
        <v>0</v>
      </c>
      <c r="AL606" s="1">
        <f>D65</f>
        <v>0</v>
      </c>
      <c r="AM606" s="1">
        <f t="shared" si="52"/>
        <v>0</v>
      </c>
      <c r="AN606" s="1">
        <f t="shared" si="53"/>
        <v>0</v>
      </c>
      <c r="AO606" s="1">
        <f t="shared" si="54"/>
        <v>0</v>
      </c>
      <c r="AP606" t="b" cm="1">
        <f t="array" ref="AP606">INDEX($AU$8:$BB$25,6*(R606-1)+MATCH(AB606,$AS$8:$AS$13,0),MATCH(O606,$AU$7:$BB$7,0))</f>
        <v>1</v>
      </c>
    </row>
    <row r="607" spans="15:42" ht="14.25" x14ac:dyDescent="0.45">
      <c r="O607" s="43" t="s">
        <v>33</v>
      </c>
      <c r="P607" s="43">
        <v>3</v>
      </c>
      <c r="Q607" s="43">
        <v>2</v>
      </c>
      <c r="R607" s="43">
        <v>3</v>
      </c>
      <c r="S607" s="45"/>
      <c r="T607" t="b">
        <f>(S605+S606+S607)=R4</f>
        <v>0</v>
      </c>
      <c r="X607" s="1">
        <f t="shared" si="55"/>
        <v>0</v>
      </c>
      <c r="Y607" s="48">
        <v>0</v>
      </c>
      <c r="AA607" s="1">
        <v>8</v>
      </c>
      <c r="AB607" s="1" t="s">
        <v>14</v>
      </c>
      <c r="AC607" s="1" t="s">
        <v>20</v>
      </c>
      <c r="AD607" s="1">
        <v>9</v>
      </c>
      <c r="AE607" s="1">
        <v>7</v>
      </c>
      <c r="AF607" s="1">
        <v>0.8</v>
      </c>
      <c r="AG607" s="1">
        <v>0.88</v>
      </c>
      <c r="AH607" s="1">
        <v>0</v>
      </c>
      <c r="AI607" s="1">
        <v>0</v>
      </c>
      <c r="AJ607" s="1">
        <f t="shared" si="51"/>
        <v>0</v>
      </c>
      <c r="AK607" s="1">
        <f>E59</f>
        <v>0</v>
      </c>
      <c r="AL607" s="1">
        <f>E65</f>
        <v>0</v>
      </c>
      <c r="AM607" s="1">
        <f t="shared" si="52"/>
        <v>0</v>
      </c>
      <c r="AN607" s="1">
        <f t="shared" si="53"/>
        <v>0</v>
      </c>
      <c r="AO607" s="1">
        <f t="shared" si="54"/>
        <v>0</v>
      </c>
      <c r="AP607" t="b" cm="1">
        <f t="array" ref="AP607">INDEX($AU$8:$BB$25,6*(R607-1)+MATCH(AB607,$AS$8:$AS$13,0),MATCH(O607,$AU$7:$BB$7,0))</f>
        <v>1</v>
      </c>
    </row>
    <row r="608" spans="15:42" ht="14.25" x14ac:dyDescent="0.45">
      <c r="O608" s="43" t="s">
        <v>33</v>
      </c>
      <c r="P608" s="43">
        <v>3</v>
      </c>
      <c r="Q608" s="43">
        <v>3</v>
      </c>
      <c r="R608" s="43">
        <v>1</v>
      </c>
      <c r="S608" s="45"/>
      <c r="T608" t="b">
        <f>(S608+S609+S610)=R4</f>
        <v>0</v>
      </c>
      <c r="X608" s="1">
        <f t="shared" si="55"/>
        <v>0</v>
      </c>
      <c r="Y608" s="48">
        <v>0</v>
      </c>
      <c r="AA608" s="1">
        <v>1</v>
      </c>
      <c r="AB608" s="1" t="s">
        <v>15</v>
      </c>
      <c r="AC608" s="1" t="s">
        <v>21</v>
      </c>
      <c r="AD608" s="1">
        <v>24</v>
      </c>
      <c r="AE608" s="1">
        <v>23</v>
      </c>
      <c r="AF608" s="1">
        <v>0.76</v>
      </c>
      <c r="AG608" s="1">
        <v>0.84</v>
      </c>
      <c r="AH608" s="1">
        <v>0</v>
      </c>
      <c r="AI608" s="1">
        <v>0</v>
      </c>
      <c r="AJ608" s="1">
        <f t="shared" si="51"/>
        <v>0</v>
      </c>
      <c r="AK608" s="1">
        <f>C60</f>
        <v>0</v>
      </c>
      <c r="AL608" s="1">
        <f>C66</f>
        <v>0</v>
      </c>
      <c r="AM608" s="1">
        <f t="shared" si="52"/>
        <v>0</v>
      </c>
      <c r="AN608" s="1">
        <f t="shared" si="53"/>
        <v>0</v>
      </c>
      <c r="AO608" s="1">
        <f t="shared" si="54"/>
        <v>0</v>
      </c>
      <c r="AP608" t="b" cm="1">
        <f t="array" ref="AP608">INDEX($AU$8:$BB$25,6*(R608-1)+MATCH(AB608,$AS$8:$AS$13,0),MATCH(O608,$AU$7:$BB$7,0))</f>
        <v>1</v>
      </c>
    </row>
    <row r="609" spans="15:42" ht="14.25" x14ac:dyDescent="0.45">
      <c r="O609" s="43" t="s">
        <v>33</v>
      </c>
      <c r="P609" s="43">
        <v>3</v>
      </c>
      <c r="Q609" s="43">
        <v>3</v>
      </c>
      <c r="R609" s="43">
        <v>2</v>
      </c>
      <c r="S609" s="45"/>
      <c r="T609" t="b">
        <f>(S608+S609+S610)=R4</f>
        <v>0</v>
      </c>
      <c r="X609" s="1">
        <f t="shared" si="55"/>
        <v>0</v>
      </c>
      <c r="Y609" s="48">
        <v>0</v>
      </c>
      <c r="AA609" s="1">
        <v>1</v>
      </c>
      <c r="AB609" s="1" t="s">
        <v>15</v>
      </c>
      <c r="AC609" s="1" t="s">
        <v>21</v>
      </c>
      <c r="AD609" s="1">
        <v>24</v>
      </c>
      <c r="AE609" s="1">
        <v>23</v>
      </c>
      <c r="AF609" s="1">
        <v>0.76</v>
      </c>
      <c r="AG609" s="1">
        <v>0.84</v>
      </c>
      <c r="AH609" s="1">
        <v>0</v>
      </c>
      <c r="AI609" s="1">
        <v>0</v>
      </c>
      <c r="AJ609" s="1">
        <f t="shared" si="51"/>
        <v>0</v>
      </c>
      <c r="AK609" s="1">
        <f>D60</f>
        <v>0</v>
      </c>
      <c r="AL609" s="1">
        <f>D66</f>
        <v>0</v>
      </c>
      <c r="AM609" s="1">
        <f t="shared" si="52"/>
        <v>0</v>
      </c>
      <c r="AN609" s="1">
        <f t="shared" si="53"/>
        <v>0</v>
      </c>
      <c r="AO609" s="1">
        <f t="shared" si="54"/>
        <v>0</v>
      </c>
      <c r="AP609" t="b" cm="1">
        <f t="array" ref="AP609">INDEX($AU$8:$BB$25,6*(R609-1)+MATCH(AB609,$AS$8:$AS$13,0),MATCH(O609,$AU$7:$BB$7,0))</f>
        <v>1</v>
      </c>
    </row>
    <row r="610" spans="15:42" ht="14.25" x14ac:dyDescent="0.45">
      <c r="O610" s="43" t="s">
        <v>33</v>
      </c>
      <c r="P610" s="43">
        <v>3</v>
      </c>
      <c r="Q610" s="43">
        <v>3</v>
      </c>
      <c r="R610" s="43">
        <v>3</v>
      </c>
      <c r="S610" s="45"/>
      <c r="T610" t="b">
        <f>(S608+S609+S610)=R4</f>
        <v>0</v>
      </c>
      <c r="X610" s="1">
        <f t="shared" si="55"/>
        <v>0</v>
      </c>
      <c r="Y610" s="48">
        <v>0</v>
      </c>
      <c r="AA610" s="1">
        <v>1</v>
      </c>
      <c r="AB610" s="1" t="s">
        <v>15</v>
      </c>
      <c r="AC610" s="1" t="s">
        <v>21</v>
      </c>
      <c r="AD610" s="1">
        <v>24</v>
      </c>
      <c r="AE610" s="1">
        <v>23</v>
      </c>
      <c r="AF610" s="1">
        <v>0.76</v>
      </c>
      <c r="AG610" s="1">
        <v>0.84</v>
      </c>
      <c r="AH610" s="1">
        <v>0</v>
      </c>
      <c r="AI610" s="1">
        <v>0</v>
      </c>
      <c r="AJ610" s="1">
        <f t="shared" si="51"/>
        <v>0</v>
      </c>
      <c r="AK610" s="1">
        <f>E60</f>
        <v>0</v>
      </c>
      <c r="AL610" s="1">
        <f>E66</f>
        <v>0</v>
      </c>
      <c r="AM610" s="1">
        <f t="shared" si="52"/>
        <v>0</v>
      </c>
      <c r="AN610" s="1">
        <f t="shared" si="53"/>
        <v>0</v>
      </c>
      <c r="AO610" s="1">
        <f t="shared" si="54"/>
        <v>0</v>
      </c>
      <c r="AP610" t="b" cm="1">
        <f t="array" ref="AP610">INDEX($AU$8:$BB$25,6*(R610-1)+MATCH(AB610,$AS$8:$AS$13,0),MATCH(O610,$AU$7:$BB$7,0))</f>
        <v>1</v>
      </c>
    </row>
    <row r="611" spans="15:42" ht="14.25" x14ac:dyDescent="0.45">
      <c r="O611" s="43" t="s">
        <v>33</v>
      </c>
      <c r="P611" s="43">
        <v>3</v>
      </c>
      <c r="Q611" s="43">
        <v>4</v>
      </c>
      <c r="R611" s="43">
        <v>1</v>
      </c>
      <c r="S611" s="45"/>
      <c r="T611" t="b">
        <f>(S611+S612+S613)=R4</f>
        <v>0</v>
      </c>
      <c r="X611" s="1">
        <f t="shared" si="55"/>
        <v>0</v>
      </c>
      <c r="Y611" s="48">
        <v>0</v>
      </c>
      <c r="AA611" s="1">
        <v>9</v>
      </c>
      <c r="AB611" s="1" t="s">
        <v>15</v>
      </c>
      <c r="AC611" s="1" t="s">
        <v>21</v>
      </c>
      <c r="AD611" s="1">
        <v>15</v>
      </c>
      <c r="AE611" s="1">
        <v>11</v>
      </c>
      <c r="AF611" s="1">
        <v>0.76</v>
      </c>
      <c r="AG611" s="1">
        <v>0.84</v>
      </c>
      <c r="AH611" s="1">
        <v>0</v>
      </c>
      <c r="AI611" s="1">
        <v>0</v>
      </c>
      <c r="AJ611" s="1">
        <f t="shared" si="51"/>
        <v>0</v>
      </c>
      <c r="AK611" s="1">
        <f>C60</f>
        <v>0</v>
      </c>
      <c r="AL611" s="1">
        <f>C66</f>
        <v>0</v>
      </c>
      <c r="AM611" s="1">
        <f t="shared" si="52"/>
        <v>0</v>
      </c>
      <c r="AN611" s="1">
        <f t="shared" si="53"/>
        <v>0</v>
      </c>
      <c r="AO611" s="1">
        <f t="shared" si="54"/>
        <v>0</v>
      </c>
      <c r="AP611" t="b" cm="1">
        <f t="array" ref="AP611">INDEX($AU$8:$BB$25,6*(R611-1)+MATCH(AB611,$AS$8:$AS$13,0),MATCH(O611,$AU$7:$BB$7,0))</f>
        <v>1</v>
      </c>
    </row>
    <row r="612" spans="15:42" ht="14.25" x14ac:dyDescent="0.45">
      <c r="O612" s="43" t="s">
        <v>33</v>
      </c>
      <c r="P612" s="43">
        <v>3</v>
      </c>
      <c r="Q612" s="43">
        <v>4</v>
      </c>
      <c r="R612" s="43">
        <v>2</v>
      </c>
      <c r="S612" s="45"/>
      <c r="T612" t="b">
        <f>(S611+S612+S613)=R4</f>
        <v>0</v>
      </c>
      <c r="X612" s="1">
        <f t="shared" si="55"/>
        <v>0</v>
      </c>
      <c r="Y612" s="48">
        <v>0</v>
      </c>
      <c r="AA612" s="1">
        <v>9</v>
      </c>
      <c r="AB612" s="1" t="s">
        <v>15</v>
      </c>
      <c r="AC612" s="1" t="s">
        <v>21</v>
      </c>
      <c r="AD612" s="1">
        <v>15</v>
      </c>
      <c r="AE612" s="1">
        <v>11</v>
      </c>
      <c r="AF612" s="1">
        <v>0.76</v>
      </c>
      <c r="AG612" s="1">
        <v>0.84</v>
      </c>
      <c r="AH612" s="1">
        <v>0</v>
      </c>
      <c r="AI612" s="1">
        <v>0</v>
      </c>
      <c r="AJ612" s="1">
        <f t="shared" si="51"/>
        <v>0</v>
      </c>
      <c r="AK612" s="1">
        <f>D60</f>
        <v>0</v>
      </c>
      <c r="AL612" s="1">
        <f>D66</f>
        <v>0</v>
      </c>
      <c r="AM612" s="1">
        <f t="shared" si="52"/>
        <v>0</v>
      </c>
      <c r="AN612" s="1">
        <f t="shared" si="53"/>
        <v>0</v>
      </c>
      <c r="AO612" s="1">
        <f t="shared" si="54"/>
        <v>0</v>
      </c>
      <c r="AP612" t="b" cm="1">
        <f t="array" ref="AP612">INDEX($AU$8:$BB$25,6*(R612-1)+MATCH(AB612,$AS$8:$AS$13,0),MATCH(O612,$AU$7:$BB$7,0))</f>
        <v>1</v>
      </c>
    </row>
    <row r="613" spans="15:42" ht="14.25" x14ac:dyDescent="0.45">
      <c r="O613" s="43" t="s">
        <v>33</v>
      </c>
      <c r="P613" s="43">
        <v>3</v>
      </c>
      <c r="Q613" s="43">
        <v>4</v>
      </c>
      <c r="R613" s="43">
        <v>3</v>
      </c>
      <c r="S613" s="45"/>
      <c r="T613" t="b">
        <f>(S611+S612+S613)=R4</f>
        <v>0</v>
      </c>
      <c r="X613" s="1">
        <f t="shared" si="55"/>
        <v>0</v>
      </c>
      <c r="Y613" s="48">
        <v>0</v>
      </c>
      <c r="AA613" s="1">
        <v>9</v>
      </c>
      <c r="AB613" s="1" t="s">
        <v>15</v>
      </c>
      <c r="AC613" s="1" t="s">
        <v>21</v>
      </c>
      <c r="AD613" s="1">
        <v>15</v>
      </c>
      <c r="AE613" s="1">
        <v>11</v>
      </c>
      <c r="AF613" s="1">
        <v>0.76</v>
      </c>
      <c r="AG613" s="1">
        <v>0.84</v>
      </c>
      <c r="AH613" s="1">
        <v>0</v>
      </c>
      <c r="AI613" s="1">
        <v>0</v>
      </c>
      <c r="AJ613" s="1">
        <f t="shared" si="51"/>
        <v>0</v>
      </c>
      <c r="AK613" s="1">
        <f>E60</f>
        <v>0</v>
      </c>
      <c r="AL613" s="1">
        <f>E66</f>
        <v>0</v>
      </c>
      <c r="AM613" s="1">
        <f t="shared" si="52"/>
        <v>0</v>
      </c>
      <c r="AN613" s="1">
        <f t="shared" si="53"/>
        <v>0</v>
      </c>
      <c r="AO613" s="1">
        <f t="shared" si="54"/>
        <v>0</v>
      </c>
      <c r="AP613" t="b" cm="1">
        <f t="array" ref="AP613">INDEX($AU$8:$BB$25,6*(R613-1)+MATCH(AB613,$AS$8:$AS$13,0),MATCH(O613,$AU$7:$BB$7,0))</f>
        <v>1</v>
      </c>
    </row>
    <row r="614" spans="15:42" ht="14.25" x14ac:dyDescent="0.45">
      <c r="O614" s="43" t="s">
        <v>33</v>
      </c>
      <c r="P614" s="43">
        <v>3</v>
      </c>
      <c r="Q614" s="43">
        <v>5</v>
      </c>
      <c r="R614" s="43">
        <v>1</v>
      </c>
      <c r="S614" s="45"/>
      <c r="T614" t="b">
        <f>(S614+S615+S616)=R4</f>
        <v>0</v>
      </c>
      <c r="X614" s="1">
        <f t="shared" si="55"/>
        <v>0</v>
      </c>
      <c r="Y614" s="48">
        <v>0</v>
      </c>
      <c r="AA614" s="1">
        <v>6</v>
      </c>
      <c r="AB614" s="1" t="s">
        <v>16</v>
      </c>
      <c r="AC614" s="1" t="s">
        <v>22</v>
      </c>
      <c r="AD614" s="1">
        <v>16</v>
      </c>
      <c r="AE614" s="1">
        <v>14</v>
      </c>
      <c r="AF614" s="1">
        <v>0.8</v>
      </c>
      <c r="AG614" s="1">
        <v>0.9</v>
      </c>
      <c r="AH614" s="1">
        <v>0</v>
      </c>
      <c r="AI614" s="1">
        <v>0</v>
      </c>
      <c r="AJ614" s="1">
        <f t="shared" si="51"/>
        <v>0</v>
      </c>
      <c r="AK614" s="1">
        <f>C61</f>
        <v>0</v>
      </c>
      <c r="AL614" s="1">
        <f>C67</f>
        <v>0</v>
      </c>
      <c r="AM614" s="1">
        <f t="shared" si="52"/>
        <v>0</v>
      </c>
      <c r="AN614" s="1">
        <f t="shared" si="53"/>
        <v>0</v>
      </c>
      <c r="AO614" s="1">
        <f t="shared" si="54"/>
        <v>0</v>
      </c>
      <c r="AP614" t="b" cm="1">
        <f t="array" ref="AP614">INDEX($AU$8:$BB$25,6*(R614-1)+MATCH(AB614,$AS$8:$AS$13,0),MATCH(O614,$AU$7:$BB$7,0))</f>
        <v>1</v>
      </c>
    </row>
    <row r="615" spans="15:42" ht="14.25" x14ac:dyDescent="0.45">
      <c r="O615" s="43" t="s">
        <v>33</v>
      </c>
      <c r="P615" s="43">
        <v>3</v>
      </c>
      <c r="Q615" s="43">
        <v>5</v>
      </c>
      <c r="R615" s="43">
        <v>2</v>
      </c>
      <c r="S615" s="45"/>
      <c r="T615" t="b">
        <f>(S614+S615+S616)=R4</f>
        <v>0</v>
      </c>
      <c r="X615" s="1">
        <f t="shared" si="55"/>
        <v>0</v>
      </c>
      <c r="Y615" s="48">
        <v>0</v>
      </c>
      <c r="AA615" s="1">
        <v>6</v>
      </c>
      <c r="AB615" s="1" t="s">
        <v>16</v>
      </c>
      <c r="AC615" s="1" t="s">
        <v>22</v>
      </c>
      <c r="AD615" s="1">
        <v>16</v>
      </c>
      <c r="AE615" s="1">
        <v>14</v>
      </c>
      <c r="AF615" s="1">
        <v>0.8</v>
      </c>
      <c r="AG615" s="1">
        <v>0.9</v>
      </c>
      <c r="AH615" s="1">
        <v>0</v>
      </c>
      <c r="AI615" s="1">
        <v>0</v>
      </c>
      <c r="AJ615" s="1">
        <f t="shared" si="51"/>
        <v>0</v>
      </c>
      <c r="AK615" s="1">
        <f>D61</f>
        <v>0</v>
      </c>
      <c r="AL615" s="1">
        <f>D67</f>
        <v>0</v>
      </c>
      <c r="AM615" s="1">
        <f t="shared" si="52"/>
        <v>0</v>
      </c>
      <c r="AN615" s="1">
        <f t="shared" si="53"/>
        <v>0</v>
      </c>
      <c r="AO615" s="1">
        <f t="shared" si="54"/>
        <v>0</v>
      </c>
      <c r="AP615" t="b" cm="1">
        <f t="array" ref="AP615">INDEX($AU$8:$BB$25,6*(R615-1)+MATCH(AB615,$AS$8:$AS$13,0),MATCH(O615,$AU$7:$BB$7,0))</f>
        <v>1</v>
      </c>
    </row>
    <row r="616" spans="15:42" ht="14.25" x14ac:dyDescent="0.45">
      <c r="O616" s="43" t="s">
        <v>33</v>
      </c>
      <c r="P616" s="43">
        <v>3</v>
      </c>
      <c r="Q616" s="43">
        <v>5</v>
      </c>
      <c r="R616" s="43">
        <v>3</v>
      </c>
      <c r="S616" s="45"/>
      <c r="T616" t="b">
        <f>(S614+S615+S616)=R4</f>
        <v>0</v>
      </c>
      <c r="X616" s="1">
        <f t="shared" si="55"/>
        <v>0</v>
      </c>
      <c r="Y616" s="48">
        <v>0</v>
      </c>
      <c r="AA616" s="1">
        <v>6</v>
      </c>
      <c r="AB616" s="1" t="s">
        <v>16</v>
      </c>
      <c r="AC616" s="1" t="s">
        <v>22</v>
      </c>
      <c r="AD616" s="1">
        <v>16</v>
      </c>
      <c r="AE616" s="1">
        <v>14</v>
      </c>
      <c r="AF616" s="1">
        <v>0.8</v>
      </c>
      <c r="AG616" s="1">
        <v>0.9</v>
      </c>
      <c r="AH616" s="1">
        <v>0</v>
      </c>
      <c r="AI616" s="1">
        <v>0</v>
      </c>
      <c r="AJ616" s="1">
        <f t="shared" si="51"/>
        <v>0</v>
      </c>
      <c r="AK616" s="1">
        <f>E61</f>
        <v>0</v>
      </c>
      <c r="AL616" s="1">
        <f>E67</f>
        <v>0</v>
      </c>
      <c r="AM616" s="1">
        <f t="shared" si="52"/>
        <v>0</v>
      </c>
      <c r="AN616" s="1">
        <f t="shared" si="53"/>
        <v>0</v>
      </c>
      <c r="AO616" s="1">
        <f t="shared" si="54"/>
        <v>0</v>
      </c>
      <c r="AP616" t="b" cm="1">
        <f t="array" ref="AP616">INDEX($AU$8:$BB$25,6*(R616-1)+MATCH(AB616,$AS$8:$AS$13,0),MATCH(O616,$AU$7:$BB$7,0))</f>
        <v>1</v>
      </c>
    </row>
    <row r="617" spans="15:42" ht="14.25" x14ac:dyDescent="0.45">
      <c r="O617" s="43" t="s">
        <v>33</v>
      </c>
      <c r="P617" s="43">
        <v>3</v>
      </c>
      <c r="Q617" s="43">
        <v>6</v>
      </c>
      <c r="R617" s="43">
        <v>1</v>
      </c>
      <c r="S617" s="45"/>
      <c r="T617" t="b">
        <f>(S617+S618+S619)=R4</f>
        <v>0</v>
      </c>
      <c r="X617" s="1">
        <f t="shared" si="55"/>
        <v>0</v>
      </c>
      <c r="Y617" s="48">
        <v>0</v>
      </c>
      <c r="AA617" s="1">
        <v>1</v>
      </c>
      <c r="AB617" s="1" t="s">
        <v>14</v>
      </c>
      <c r="AC617" s="1" t="s">
        <v>20</v>
      </c>
      <c r="AD617" s="1">
        <v>12</v>
      </c>
      <c r="AE617" s="1">
        <v>11</v>
      </c>
      <c r="AF617" s="1">
        <v>0.8</v>
      </c>
      <c r="AG617" s="1">
        <v>0.88</v>
      </c>
      <c r="AH617" s="1">
        <v>0</v>
      </c>
      <c r="AI617" s="1">
        <v>0</v>
      </c>
      <c r="AJ617" s="1">
        <f t="shared" si="51"/>
        <v>0</v>
      </c>
      <c r="AK617" s="1">
        <f>C59</f>
        <v>0</v>
      </c>
      <c r="AL617" s="1">
        <f>C65</f>
        <v>0</v>
      </c>
      <c r="AM617" s="1">
        <f t="shared" si="52"/>
        <v>0</v>
      </c>
      <c r="AN617" s="1">
        <f t="shared" si="53"/>
        <v>0</v>
      </c>
      <c r="AO617" s="1">
        <f t="shared" si="54"/>
        <v>0</v>
      </c>
      <c r="AP617" t="b" cm="1">
        <f t="array" ref="AP617">INDEX($AU$8:$BB$25,6*(R617-1)+MATCH(AB617,$AS$8:$AS$13,0),MATCH(O617,$AU$7:$BB$7,0))</f>
        <v>1</v>
      </c>
    </row>
    <row r="618" spans="15:42" ht="14.25" x14ac:dyDescent="0.45">
      <c r="O618" s="43" t="s">
        <v>33</v>
      </c>
      <c r="P618" s="43">
        <v>3</v>
      </c>
      <c r="Q618" s="43">
        <v>6</v>
      </c>
      <c r="R618" s="43">
        <v>2</v>
      </c>
      <c r="S618" s="45"/>
      <c r="T618" t="b">
        <f>(S617+S618+S619)=R4</f>
        <v>0</v>
      </c>
      <c r="X618" s="1">
        <f t="shared" si="55"/>
        <v>0</v>
      </c>
      <c r="Y618" s="48">
        <v>0</v>
      </c>
      <c r="AA618" s="1">
        <v>1</v>
      </c>
      <c r="AB618" s="1" t="s">
        <v>14</v>
      </c>
      <c r="AC618" s="1" t="s">
        <v>20</v>
      </c>
      <c r="AD618" s="1">
        <v>12</v>
      </c>
      <c r="AE618" s="1">
        <v>11</v>
      </c>
      <c r="AF618" s="1">
        <v>0.8</v>
      </c>
      <c r="AG618" s="1">
        <v>0.88</v>
      </c>
      <c r="AH618" s="1">
        <v>0</v>
      </c>
      <c r="AI618" s="1">
        <v>0</v>
      </c>
      <c r="AJ618" s="1">
        <f t="shared" si="51"/>
        <v>0</v>
      </c>
      <c r="AK618" s="1">
        <f>D59</f>
        <v>0</v>
      </c>
      <c r="AL618" s="1">
        <f>D65</f>
        <v>0</v>
      </c>
      <c r="AM618" s="1">
        <f t="shared" si="52"/>
        <v>0</v>
      </c>
      <c r="AN618" s="1">
        <f t="shared" si="53"/>
        <v>0</v>
      </c>
      <c r="AO618" s="1">
        <f t="shared" si="54"/>
        <v>0</v>
      </c>
      <c r="AP618" t="b" cm="1">
        <f t="array" ref="AP618">INDEX($AU$8:$BB$25,6*(R618-1)+MATCH(AB618,$AS$8:$AS$13,0),MATCH(O618,$AU$7:$BB$7,0))</f>
        <v>1</v>
      </c>
    </row>
    <row r="619" spans="15:42" ht="14.25" x14ac:dyDescent="0.45">
      <c r="O619" s="43" t="s">
        <v>33</v>
      </c>
      <c r="P619" s="43">
        <v>3</v>
      </c>
      <c r="Q619" s="43">
        <v>6</v>
      </c>
      <c r="R619" s="43">
        <v>3</v>
      </c>
      <c r="S619" s="45"/>
      <c r="T619" t="b">
        <f>(S617+S618+S619)=R4</f>
        <v>0</v>
      </c>
      <c r="X619" s="1">
        <f t="shared" si="55"/>
        <v>0</v>
      </c>
      <c r="Y619" s="48">
        <v>0</v>
      </c>
      <c r="AA619" s="1">
        <v>1</v>
      </c>
      <c r="AB619" s="1" t="s">
        <v>14</v>
      </c>
      <c r="AC619" s="1" t="s">
        <v>20</v>
      </c>
      <c r="AD619" s="1">
        <v>12</v>
      </c>
      <c r="AE619" s="1">
        <v>11</v>
      </c>
      <c r="AF619" s="1">
        <v>0.8</v>
      </c>
      <c r="AG619" s="1">
        <v>0.88</v>
      </c>
      <c r="AH619" s="1">
        <v>0</v>
      </c>
      <c r="AI619" s="1">
        <v>0</v>
      </c>
      <c r="AJ619" s="1">
        <f t="shared" si="51"/>
        <v>0</v>
      </c>
      <c r="AK619" s="1">
        <f>E59</f>
        <v>0</v>
      </c>
      <c r="AL619" s="1">
        <f>E65</f>
        <v>0</v>
      </c>
      <c r="AM619" s="1">
        <f t="shared" si="52"/>
        <v>0</v>
      </c>
      <c r="AN619" s="1">
        <f t="shared" si="53"/>
        <v>0</v>
      </c>
      <c r="AO619" s="1">
        <f t="shared" si="54"/>
        <v>0</v>
      </c>
      <c r="AP619" t="b" cm="1">
        <f t="array" ref="AP619">INDEX($AU$8:$BB$25,6*(R619-1)+MATCH(AB619,$AS$8:$AS$13,0),MATCH(O619,$AU$7:$BB$7,0))</f>
        <v>1</v>
      </c>
    </row>
    <row r="620" spans="15:42" ht="14.25" x14ac:dyDescent="0.45">
      <c r="O620" s="43" t="s">
        <v>33</v>
      </c>
      <c r="P620" s="43">
        <v>3</v>
      </c>
      <c r="Q620" s="43">
        <v>7</v>
      </c>
      <c r="R620" s="43">
        <v>1</v>
      </c>
      <c r="S620" s="45"/>
      <c r="T620" t="b">
        <f>(S620+S621+S622)=R4</f>
        <v>0</v>
      </c>
      <c r="X620" s="1">
        <f t="shared" si="55"/>
        <v>0</v>
      </c>
      <c r="Y620" s="48">
        <v>0</v>
      </c>
      <c r="AA620" s="1">
        <v>3</v>
      </c>
      <c r="AB620" s="1" t="s">
        <v>13</v>
      </c>
      <c r="AC620" s="1" t="s">
        <v>19</v>
      </c>
      <c r="AD620" s="1">
        <v>24</v>
      </c>
      <c r="AE620" s="1">
        <v>21</v>
      </c>
      <c r="AF620" s="1">
        <v>0.8</v>
      </c>
      <c r="AG620" s="1">
        <v>0.86</v>
      </c>
      <c r="AH620" s="1">
        <v>0</v>
      </c>
      <c r="AI620" s="1">
        <v>0</v>
      </c>
      <c r="AJ620" s="1">
        <f t="shared" si="51"/>
        <v>0</v>
      </c>
      <c r="AK620" s="1">
        <f>C58</f>
        <v>0</v>
      </c>
      <c r="AL620" s="1">
        <f>C64</f>
        <v>0</v>
      </c>
      <c r="AM620" s="1">
        <f t="shared" si="52"/>
        <v>0</v>
      </c>
      <c r="AN620" s="1">
        <f t="shared" si="53"/>
        <v>0</v>
      </c>
      <c r="AO620" s="1">
        <f t="shared" si="54"/>
        <v>0</v>
      </c>
      <c r="AP620" t="b" cm="1">
        <f t="array" ref="AP620">INDEX($AU$8:$BB$25,6*(R620-1)+MATCH(AB620,$AS$8:$AS$13,0),MATCH(O620,$AU$7:$BB$7,0))</f>
        <v>1</v>
      </c>
    </row>
    <row r="621" spans="15:42" ht="14.25" x14ac:dyDescent="0.45">
      <c r="O621" s="43" t="s">
        <v>33</v>
      </c>
      <c r="P621" s="43">
        <v>3</v>
      </c>
      <c r="Q621" s="43">
        <v>7</v>
      </c>
      <c r="R621" s="43">
        <v>2</v>
      </c>
      <c r="S621" s="45"/>
      <c r="T621" t="b">
        <f>(S620+S621+S622)=R4</f>
        <v>0</v>
      </c>
      <c r="X621" s="1">
        <f t="shared" si="55"/>
        <v>0</v>
      </c>
      <c r="Y621" s="48">
        <v>0</v>
      </c>
      <c r="AA621" s="1">
        <v>3</v>
      </c>
      <c r="AB621" s="1" t="s">
        <v>13</v>
      </c>
      <c r="AC621" s="1" t="s">
        <v>19</v>
      </c>
      <c r="AD621" s="1">
        <v>24</v>
      </c>
      <c r="AE621" s="1">
        <v>21</v>
      </c>
      <c r="AF621" s="1">
        <v>0.8</v>
      </c>
      <c r="AG621" s="1">
        <v>0.86</v>
      </c>
      <c r="AH621" s="1">
        <v>0</v>
      </c>
      <c r="AI621" s="1">
        <v>0</v>
      </c>
      <c r="AJ621" s="1">
        <f t="shared" si="51"/>
        <v>0</v>
      </c>
      <c r="AK621" s="1">
        <f>D58</f>
        <v>0</v>
      </c>
      <c r="AL621" s="1">
        <f>D64</f>
        <v>0</v>
      </c>
      <c r="AM621" s="1">
        <f t="shared" si="52"/>
        <v>0</v>
      </c>
      <c r="AN621" s="1">
        <f t="shared" si="53"/>
        <v>0</v>
      </c>
      <c r="AO621" s="1">
        <f t="shared" si="54"/>
        <v>0</v>
      </c>
      <c r="AP621" t="b" cm="1">
        <f t="array" ref="AP621">INDEX($AU$8:$BB$25,6*(R621-1)+MATCH(AB621,$AS$8:$AS$13,0),MATCH(O621,$AU$7:$BB$7,0))</f>
        <v>1</v>
      </c>
    </row>
    <row r="622" spans="15:42" ht="14.25" x14ac:dyDescent="0.45">
      <c r="O622" s="43" t="s">
        <v>33</v>
      </c>
      <c r="P622" s="43">
        <v>3</v>
      </c>
      <c r="Q622" s="43">
        <v>7</v>
      </c>
      <c r="R622" s="43">
        <v>3</v>
      </c>
      <c r="S622" s="45"/>
      <c r="T622" t="b">
        <f>(S620+S621+S622)=R4</f>
        <v>0</v>
      </c>
      <c r="X622" s="1">
        <f t="shared" si="55"/>
        <v>0</v>
      </c>
      <c r="Y622" s="48">
        <v>0</v>
      </c>
      <c r="AA622" s="1">
        <v>3</v>
      </c>
      <c r="AB622" s="1" t="s">
        <v>13</v>
      </c>
      <c r="AC622" s="1" t="s">
        <v>19</v>
      </c>
      <c r="AD622" s="1">
        <v>24</v>
      </c>
      <c r="AE622" s="1">
        <v>21</v>
      </c>
      <c r="AF622" s="1">
        <v>0.8</v>
      </c>
      <c r="AG622" s="1">
        <v>0.86</v>
      </c>
      <c r="AH622" s="1">
        <v>0</v>
      </c>
      <c r="AI622" s="1">
        <v>0</v>
      </c>
      <c r="AJ622" s="1">
        <f t="shared" si="51"/>
        <v>0</v>
      </c>
      <c r="AK622" s="1">
        <f>E58</f>
        <v>0</v>
      </c>
      <c r="AL622" s="1">
        <f>E64</f>
        <v>0</v>
      </c>
      <c r="AM622" s="1">
        <f t="shared" si="52"/>
        <v>0</v>
      </c>
      <c r="AN622" s="1">
        <f t="shared" si="53"/>
        <v>0</v>
      </c>
      <c r="AO622" s="1">
        <f t="shared" si="54"/>
        <v>0</v>
      </c>
      <c r="AP622" t="b" cm="1">
        <f t="array" ref="AP622">INDEX($AU$8:$BB$25,6*(R622-1)+MATCH(AB622,$AS$8:$AS$13,0),MATCH(O622,$AU$7:$BB$7,0))</f>
        <v>1</v>
      </c>
    </row>
    <row r="623" spans="15:42" ht="14.25" x14ac:dyDescent="0.45">
      <c r="O623" s="43" t="s">
        <v>33</v>
      </c>
      <c r="P623" s="43">
        <v>3</v>
      </c>
      <c r="Q623" s="43">
        <v>8</v>
      </c>
      <c r="R623" s="43">
        <v>1</v>
      </c>
      <c r="S623" s="45"/>
      <c r="T623" t="b">
        <f>(S623+S624+S625)=R4</f>
        <v>0</v>
      </c>
      <c r="X623" s="1">
        <f t="shared" si="55"/>
        <v>0</v>
      </c>
      <c r="Y623" s="48">
        <v>0</v>
      </c>
      <c r="AA623" s="1">
        <v>5</v>
      </c>
      <c r="AB623" s="1" t="s">
        <v>13</v>
      </c>
      <c r="AC623" s="1" t="s">
        <v>19</v>
      </c>
      <c r="AD623" s="1">
        <v>19</v>
      </c>
      <c r="AE623" s="1">
        <v>13</v>
      </c>
      <c r="AF623" s="1">
        <v>0.8</v>
      </c>
      <c r="AG623" s="1">
        <v>0.86</v>
      </c>
      <c r="AH623" s="1">
        <v>0</v>
      </c>
      <c r="AI623" s="1">
        <v>0</v>
      </c>
      <c r="AJ623" s="1">
        <f t="shared" si="51"/>
        <v>0</v>
      </c>
      <c r="AK623" s="1">
        <f>C58</f>
        <v>0</v>
      </c>
      <c r="AL623" s="1">
        <f>C64</f>
        <v>0</v>
      </c>
      <c r="AM623" s="1">
        <f t="shared" si="52"/>
        <v>0</v>
      </c>
      <c r="AN623" s="1">
        <f t="shared" si="53"/>
        <v>0</v>
      </c>
      <c r="AO623" s="1">
        <f t="shared" si="54"/>
        <v>0</v>
      </c>
      <c r="AP623" t="b" cm="1">
        <f t="array" ref="AP623">INDEX($AU$8:$BB$25,6*(R623-1)+MATCH(AB623,$AS$8:$AS$13,0),MATCH(O623,$AU$7:$BB$7,0))</f>
        <v>1</v>
      </c>
    </row>
    <row r="624" spans="15:42" ht="14.25" x14ac:dyDescent="0.45">
      <c r="O624" s="43" t="s">
        <v>33</v>
      </c>
      <c r="P624" s="43">
        <v>3</v>
      </c>
      <c r="Q624" s="43">
        <v>8</v>
      </c>
      <c r="R624" s="43">
        <v>2</v>
      </c>
      <c r="S624" s="45"/>
      <c r="T624" t="b">
        <f>(S623+S624+S625)=R4</f>
        <v>0</v>
      </c>
      <c r="X624" s="1">
        <f t="shared" si="55"/>
        <v>0</v>
      </c>
      <c r="Y624" s="48">
        <v>0</v>
      </c>
      <c r="AA624" s="1">
        <v>5</v>
      </c>
      <c r="AB624" s="1" t="s">
        <v>13</v>
      </c>
      <c r="AC624" s="1" t="s">
        <v>19</v>
      </c>
      <c r="AD624" s="1">
        <v>19</v>
      </c>
      <c r="AE624" s="1">
        <v>13</v>
      </c>
      <c r="AF624" s="1">
        <v>0.8</v>
      </c>
      <c r="AG624" s="1">
        <v>0.86</v>
      </c>
      <c r="AH624" s="1">
        <v>0</v>
      </c>
      <c r="AI624" s="1">
        <v>0</v>
      </c>
      <c r="AJ624" s="1">
        <f t="shared" si="51"/>
        <v>0</v>
      </c>
      <c r="AK624" s="1">
        <f>D58</f>
        <v>0</v>
      </c>
      <c r="AL624" s="1">
        <f>D64</f>
        <v>0</v>
      </c>
      <c r="AM624" s="1">
        <f t="shared" si="52"/>
        <v>0</v>
      </c>
      <c r="AN624" s="1">
        <f t="shared" si="53"/>
        <v>0</v>
      </c>
      <c r="AO624" s="1">
        <f t="shared" si="54"/>
        <v>0</v>
      </c>
      <c r="AP624" t="b" cm="1">
        <f t="array" ref="AP624">INDEX($AU$8:$BB$25,6*(R624-1)+MATCH(AB624,$AS$8:$AS$13,0),MATCH(O624,$AU$7:$BB$7,0))</f>
        <v>1</v>
      </c>
    </row>
    <row r="625" spans="15:42" ht="14.25" x14ac:dyDescent="0.45">
      <c r="O625" s="43" t="s">
        <v>33</v>
      </c>
      <c r="P625" s="43">
        <v>3</v>
      </c>
      <c r="Q625" s="43">
        <v>8</v>
      </c>
      <c r="R625" s="43">
        <v>3</v>
      </c>
      <c r="S625" s="45"/>
      <c r="T625" t="b">
        <f>(S623+S624+S625)=R4</f>
        <v>0</v>
      </c>
      <c r="X625" s="1">
        <f t="shared" si="55"/>
        <v>0</v>
      </c>
      <c r="Y625" s="48">
        <v>0</v>
      </c>
      <c r="AA625" s="1">
        <v>5</v>
      </c>
      <c r="AB625" s="1" t="s">
        <v>13</v>
      </c>
      <c r="AC625" s="1" t="s">
        <v>19</v>
      </c>
      <c r="AD625" s="1">
        <v>19</v>
      </c>
      <c r="AE625" s="1">
        <v>13</v>
      </c>
      <c r="AF625" s="1">
        <v>0.8</v>
      </c>
      <c r="AG625" s="1">
        <v>0.86</v>
      </c>
      <c r="AH625" s="1">
        <v>0</v>
      </c>
      <c r="AI625" s="1">
        <v>0</v>
      </c>
      <c r="AJ625" s="1">
        <f t="shared" si="51"/>
        <v>0</v>
      </c>
      <c r="AK625" s="1">
        <f>E58</f>
        <v>0</v>
      </c>
      <c r="AL625" s="1">
        <f>E64</f>
        <v>0</v>
      </c>
      <c r="AM625" s="1">
        <f t="shared" si="52"/>
        <v>0</v>
      </c>
      <c r="AN625" s="1">
        <f t="shared" si="53"/>
        <v>0</v>
      </c>
      <c r="AO625" s="1">
        <f t="shared" si="54"/>
        <v>0</v>
      </c>
      <c r="AP625" t="b" cm="1">
        <f t="array" ref="AP625">INDEX($AU$8:$BB$25,6*(R625-1)+MATCH(AB625,$AS$8:$AS$13,0),MATCH(O625,$AU$7:$BB$7,0))</f>
        <v>1</v>
      </c>
    </row>
    <row r="626" spans="15:42" ht="14.25" x14ac:dyDescent="0.45">
      <c r="O626" s="43" t="s">
        <v>33</v>
      </c>
      <c r="P626" s="43">
        <v>3</v>
      </c>
      <c r="Q626" s="43">
        <v>9</v>
      </c>
      <c r="R626" s="43">
        <v>1</v>
      </c>
      <c r="S626" s="45"/>
      <c r="T626" t="b">
        <f>(S626+S627+S628)=R4</f>
        <v>0</v>
      </c>
      <c r="X626" s="1">
        <f t="shared" si="55"/>
        <v>0</v>
      </c>
      <c r="Y626" s="48">
        <v>0</v>
      </c>
      <c r="AA626" s="1">
        <v>3</v>
      </c>
      <c r="AB626" s="1" t="s">
        <v>14</v>
      </c>
      <c r="AC626" s="1" t="s">
        <v>20</v>
      </c>
      <c r="AD626" s="1">
        <v>15</v>
      </c>
      <c r="AE626" s="1">
        <v>13</v>
      </c>
      <c r="AF626" s="1">
        <v>0.8</v>
      </c>
      <c r="AG626" s="1">
        <v>0.88</v>
      </c>
      <c r="AH626" s="1">
        <v>0</v>
      </c>
      <c r="AI626" s="1">
        <v>0</v>
      </c>
      <c r="AJ626" s="1">
        <f t="shared" si="51"/>
        <v>0</v>
      </c>
      <c r="AK626" s="1">
        <f>C59</f>
        <v>0</v>
      </c>
      <c r="AL626" s="1">
        <f>C65</f>
        <v>0</v>
      </c>
      <c r="AM626" s="1">
        <f t="shared" si="52"/>
        <v>0</v>
      </c>
      <c r="AN626" s="1">
        <f t="shared" si="53"/>
        <v>0</v>
      </c>
      <c r="AO626" s="1">
        <f t="shared" si="54"/>
        <v>0</v>
      </c>
      <c r="AP626" t="b" cm="1">
        <f t="array" ref="AP626">INDEX($AU$8:$BB$25,6*(R626-1)+MATCH(AB626,$AS$8:$AS$13,0),MATCH(O626,$AU$7:$BB$7,0))</f>
        <v>1</v>
      </c>
    </row>
    <row r="627" spans="15:42" ht="14.25" x14ac:dyDescent="0.45">
      <c r="O627" s="43" t="s">
        <v>33</v>
      </c>
      <c r="P627" s="43">
        <v>3</v>
      </c>
      <c r="Q627" s="43">
        <v>9</v>
      </c>
      <c r="R627" s="43">
        <v>2</v>
      </c>
      <c r="S627" s="45"/>
      <c r="T627" t="b">
        <f>(S626+S627+S628)=R4</f>
        <v>0</v>
      </c>
      <c r="X627" s="1">
        <f t="shared" si="55"/>
        <v>0</v>
      </c>
      <c r="Y627" s="48">
        <v>0</v>
      </c>
      <c r="AA627" s="1">
        <v>3</v>
      </c>
      <c r="AB627" s="1" t="s">
        <v>14</v>
      </c>
      <c r="AC627" s="1" t="s">
        <v>20</v>
      </c>
      <c r="AD627" s="1">
        <v>15</v>
      </c>
      <c r="AE627" s="1">
        <v>13</v>
      </c>
      <c r="AF627" s="1">
        <v>0.8</v>
      </c>
      <c r="AG627" s="1">
        <v>0.88</v>
      </c>
      <c r="AH627" s="1">
        <v>0</v>
      </c>
      <c r="AI627" s="1">
        <v>0</v>
      </c>
      <c r="AJ627" s="1">
        <f t="shared" si="51"/>
        <v>0</v>
      </c>
      <c r="AK627" s="1">
        <f>D59</f>
        <v>0</v>
      </c>
      <c r="AL627" s="1">
        <f>D65</f>
        <v>0</v>
      </c>
      <c r="AM627" s="1">
        <f t="shared" si="52"/>
        <v>0</v>
      </c>
      <c r="AN627" s="1">
        <f t="shared" si="53"/>
        <v>0</v>
      </c>
      <c r="AO627" s="1">
        <f t="shared" si="54"/>
        <v>0</v>
      </c>
      <c r="AP627" t="b" cm="1">
        <f t="array" ref="AP627">INDEX($AU$8:$BB$25,6*(R627-1)+MATCH(AB627,$AS$8:$AS$13,0),MATCH(O627,$AU$7:$BB$7,0))</f>
        <v>1</v>
      </c>
    </row>
    <row r="628" spans="15:42" ht="14.25" x14ac:dyDescent="0.45">
      <c r="O628" s="43" t="s">
        <v>33</v>
      </c>
      <c r="P628" s="43">
        <v>3</v>
      </c>
      <c r="Q628" s="43">
        <v>9</v>
      </c>
      <c r="R628" s="43">
        <v>3</v>
      </c>
      <c r="S628" s="45"/>
      <c r="T628" t="b">
        <f>(S626+S627+S628)=R4</f>
        <v>0</v>
      </c>
      <c r="X628" s="1">
        <f t="shared" si="55"/>
        <v>0</v>
      </c>
      <c r="Y628" s="48">
        <v>0</v>
      </c>
      <c r="AA628" s="1">
        <v>3</v>
      </c>
      <c r="AB628" s="1" t="s">
        <v>14</v>
      </c>
      <c r="AC628" s="1" t="s">
        <v>20</v>
      </c>
      <c r="AD628" s="1">
        <v>15</v>
      </c>
      <c r="AE628" s="1">
        <v>13</v>
      </c>
      <c r="AF628" s="1">
        <v>0.8</v>
      </c>
      <c r="AG628" s="1">
        <v>0.88</v>
      </c>
      <c r="AH628" s="1">
        <v>0</v>
      </c>
      <c r="AI628" s="1">
        <v>0</v>
      </c>
      <c r="AJ628" s="1">
        <f t="shared" si="51"/>
        <v>0</v>
      </c>
      <c r="AK628" s="1">
        <f>E59</f>
        <v>0</v>
      </c>
      <c r="AL628" s="1">
        <f>E65</f>
        <v>0</v>
      </c>
      <c r="AM628" s="1">
        <f t="shared" si="52"/>
        <v>0</v>
      </c>
      <c r="AN628" s="1">
        <f t="shared" si="53"/>
        <v>0</v>
      </c>
      <c r="AO628" s="1">
        <f t="shared" si="54"/>
        <v>0</v>
      </c>
      <c r="AP628" t="b" cm="1">
        <f t="array" ref="AP628">INDEX($AU$8:$BB$25,6*(R628-1)+MATCH(AB628,$AS$8:$AS$13,0),MATCH(O628,$AU$7:$BB$7,0))</f>
        <v>1</v>
      </c>
    </row>
    <row r="629" spans="15:42" ht="14.25" x14ac:dyDescent="0.45">
      <c r="O629" s="43" t="s">
        <v>33</v>
      </c>
      <c r="P629" s="43">
        <v>3</v>
      </c>
      <c r="Q629" s="43">
        <v>10</v>
      </c>
      <c r="R629" s="43">
        <v>1</v>
      </c>
      <c r="S629" s="45"/>
      <c r="T629" t="b">
        <f>(S629+S630+S631)=R4</f>
        <v>0</v>
      </c>
      <c r="X629" s="1">
        <f t="shared" si="55"/>
        <v>0</v>
      </c>
      <c r="Y629" s="48">
        <v>0</v>
      </c>
      <c r="AA629" s="1">
        <v>5</v>
      </c>
      <c r="AB629" s="1" t="s">
        <v>14</v>
      </c>
      <c r="AC629" s="1" t="s">
        <v>20</v>
      </c>
      <c r="AD629" s="1">
        <v>24</v>
      </c>
      <c r="AE629" s="1">
        <v>20</v>
      </c>
      <c r="AF629" s="1">
        <v>0.8</v>
      </c>
      <c r="AG629" s="1">
        <v>0.88</v>
      </c>
      <c r="AH629" s="1">
        <v>0</v>
      </c>
      <c r="AI629" s="1">
        <v>0</v>
      </c>
      <c r="AJ629" s="1">
        <f t="shared" si="51"/>
        <v>0</v>
      </c>
      <c r="AK629" s="1">
        <f>C59</f>
        <v>0</v>
      </c>
      <c r="AL629" s="1">
        <f>C65</f>
        <v>0</v>
      </c>
      <c r="AM629" s="1">
        <f t="shared" si="52"/>
        <v>0</v>
      </c>
      <c r="AN629" s="1">
        <f t="shared" si="53"/>
        <v>0</v>
      </c>
      <c r="AO629" s="1">
        <f t="shared" si="54"/>
        <v>0</v>
      </c>
      <c r="AP629" t="b" cm="1">
        <f t="array" ref="AP629">INDEX($AU$8:$BB$25,6*(R629-1)+MATCH(AB629,$AS$8:$AS$13,0),MATCH(O629,$AU$7:$BB$7,0))</f>
        <v>1</v>
      </c>
    </row>
    <row r="630" spans="15:42" ht="14.25" x14ac:dyDescent="0.45">
      <c r="O630" s="43" t="s">
        <v>33</v>
      </c>
      <c r="P630" s="43">
        <v>3</v>
      </c>
      <c r="Q630" s="43">
        <v>10</v>
      </c>
      <c r="R630" s="43">
        <v>2</v>
      </c>
      <c r="S630" s="45"/>
      <c r="T630" t="b">
        <f>(S629+S630+S631)=R4</f>
        <v>0</v>
      </c>
      <c r="X630" s="1">
        <f t="shared" si="55"/>
        <v>0</v>
      </c>
      <c r="Y630" s="48">
        <v>0</v>
      </c>
      <c r="AA630" s="1">
        <v>5</v>
      </c>
      <c r="AB630" s="1" t="s">
        <v>14</v>
      </c>
      <c r="AC630" s="1" t="s">
        <v>20</v>
      </c>
      <c r="AD630" s="1">
        <v>24</v>
      </c>
      <c r="AE630" s="1">
        <v>20</v>
      </c>
      <c r="AF630" s="1">
        <v>0.8</v>
      </c>
      <c r="AG630" s="1">
        <v>0.88</v>
      </c>
      <c r="AH630" s="1">
        <v>0</v>
      </c>
      <c r="AI630" s="1">
        <v>0</v>
      </c>
      <c r="AJ630" s="1">
        <f t="shared" si="51"/>
        <v>0</v>
      </c>
      <c r="AK630" s="1">
        <f>D59</f>
        <v>0</v>
      </c>
      <c r="AL630" s="1">
        <f>D65</f>
        <v>0</v>
      </c>
      <c r="AM630" s="1">
        <f t="shared" si="52"/>
        <v>0</v>
      </c>
      <c r="AN630" s="1">
        <f t="shared" si="53"/>
        <v>0</v>
      </c>
      <c r="AO630" s="1">
        <f t="shared" si="54"/>
        <v>0</v>
      </c>
      <c r="AP630" t="b" cm="1">
        <f t="array" ref="AP630">INDEX($AU$8:$BB$25,6*(R630-1)+MATCH(AB630,$AS$8:$AS$13,0),MATCH(O630,$AU$7:$BB$7,0))</f>
        <v>1</v>
      </c>
    </row>
    <row r="631" spans="15:42" ht="14.25" x14ac:dyDescent="0.45">
      <c r="O631" s="43" t="s">
        <v>33</v>
      </c>
      <c r="P631" s="43">
        <v>3</v>
      </c>
      <c r="Q631" s="43">
        <v>10</v>
      </c>
      <c r="R631" s="43">
        <v>3</v>
      </c>
      <c r="S631" s="45"/>
      <c r="T631" t="b">
        <f>(S629+S630+S631)=R4</f>
        <v>0</v>
      </c>
      <c r="X631" s="1">
        <f t="shared" si="55"/>
        <v>0</v>
      </c>
      <c r="Y631" s="48">
        <v>0</v>
      </c>
      <c r="AA631" s="1">
        <v>5</v>
      </c>
      <c r="AB631" s="1" t="s">
        <v>14</v>
      </c>
      <c r="AC631" s="1" t="s">
        <v>20</v>
      </c>
      <c r="AD631" s="1">
        <v>24</v>
      </c>
      <c r="AE631" s="1">
        <v>20</v>
      </c>
      <c r="AF631" s="1">
        <v>0.8</v>
      </c>
      <c r="AG631" s="1">
        <v>0.88</v>
      </c>
      <c r="AH631" s="1">
        <v>0</v>
      </c>
      <c r="AI631" s="1">
        <v>0</v>
      </c>
      <c r="AJ631" s="1">
        <f t="shared" si="51"/>
        <v>0</v>
      </c>
      <c r="AK631" s="1">
        <f>E59</f>
        <v>0</v>
      </c>
      <c r="AL631" s="1">
        <f>E65</f>
        <v>0</v>
      </c>
      <c r="AM631" s="1">
        <f t="shared" si="52"/>
        <v>0</v>
      </c>
      <c r="AN631" s="1">
        <f t="shared" si="53"/>
        <v>0</v>
      </c>
      <c r="AO631" s="1">
        <f t="shared" si="54"/>
        <v>0</v>
      </c>
      <c r="AP631" t="b" cm="1">
        <f t="array" ref="AP631">INDEX($AU$8:$BB$25,6*(R631-1)+MATCH(AB631,$AS$8:$AS$13,0),MATCH(O631,$AU$7:$BB$7,0))</f>
        <v>1</v>
      </c>
    </row>
    <row r="632" spans="15:42" ht="14.25" x14ac:dyDescent="0.45">
      <c r="O632" s="43" t="s">
        <v>33</v>
      </c>
      <c r="P632" s="43">
        <v>3</v>
      </c>
      <c r="Q632" s="43">
        <v>11</v>
      </c>
      <c r="R632" s="43">
        <v>1</v>
      </c>
      <c r="S632" s="45"/>
      <c r="T632" t="b">
        <f>(S632+S633+S634)=R4</f>
        <v>0</v>
      </c>
      <c r="X632" s="1">
        <f t="shared" si="55"/>
        <v>0</v>
      </c>
      <c r="Y632" s="48">
        <v>0</v>
      </c>
      <c r="AA632" s="1">
        <v>3</v>
      </c>
      <c r="AB632" s="1" t="s">
        <v>15</v>
      </c>
      <c r="AC632" s="1" t="s">
        <v>21</v>
      </c>
      <c r="AD632" s="1">
        <v>17</v>
      </c>
      <c r="AE632" s="1">
        <v>15</v>
      </c>
      <c r="AF632" s="1">
        <v>0.76</v>
      </c>
      <c r="AG632" s="1">
        <v>0.84</v>
      </c>
      <c r="AH632" s="1">
        <v>0</v>
      </c>
      <c r="AI632" s="1">
        <v>0</v>
      </c>
      <c r="AJ632" s="1">
        <f t="shared" si="51"/>
        <v>0</v>
      </c>
      <c r="AK632" s="1">
        <f>C60</f>
        <v>0</v>
      </c>
      <c r="AL632" s="1">
        <f>C66</f>
        <v>0</v>
      </c>
      <c r="AM632" s="1">
        <f t="shared" si="52"/>
        <v>0</v>
      </c>
      <c r="AN632" s="1">
        <f t="shared" si="53"/>
        <v>0</v>
      </c>
      <c r="AO632" s="1">
        <f t="shared" si="54"/>
        <v>0</v>
      </c>
      <c r="AP632" t="b" cm="1">
        <f t="array" ref="AP632">INDEX($AU$8:$BB$25,6*(R632-1)+MATCH(AB632,$AS$8:$AS$13,0),MATCH(O632,$AU$7:$BB$7,0))</f>
        <v>1</v>
      </c>
    </row>
    <row r="633" spans="15:42" ht="14.25" x14ac:dyDescent="0.45">
      <c r="O633" s="43" t="s">
        <v>33</v>
      </c>
      <c r="P633" s="43">
        <v>3</v>
      </c>
      <c r="Q633" s="43">
        <v>11</v>
      </c>
      <c r="R633" s="43">
        <v>2</v>
      </c>
      <c r="S633" s="45"/>
      <c r="T633" t="b">
        <f>(S632+S633+S634)=R4</f>
        <v>0</v>
      </c>
      <c r="X633" s="1">
        <f t="shared" si="55"/>
        <v>0</v>
      </c>
      <c r="Y633" s="48">
        <v>0</v>
      </c>
      <c r="AA633" s="1">
        <v>3</v>
      </c>
      <c r="AB633" s="1" t="s">
        <v>15</v>
      </c>
      <c r="AC633" s="1" t="s">
        <v>21</v>
      </c>
      <c r="AD633" s="1">
        <v>17</v>
      </c>
      <c r="AE633" s="1">
        <v>15</v>
      </c>
      <c r="AF633" s="1">
        <v>0.76</v>
      </c>
      <c r="AG633" s="1">
        <v>0.84</v>
      </c>
      <c r="AH633" s="1">
        <v>0</v>
      </c>
      <c r="AI633" s="1">
        <v>0</v>
      </c>
      <c r="AJ633" s="1">
        <f t="shared" si="51"/>
        <v>0</v>
      </c>
      <c r="AK633" s="1">
        <f>D60</f>
        <v>0</v>
      </c>
      <c r="AL633" s="1">
        <f>D66</f>
        <v>0</v>
      </c>
      <c r="AM633" s="1">
        <f t="shared" si="52"/>
        <v>0</v>
      </c>
      <c r="AN633" s="1">
        <f t="shared" si="53"/>
        <v>0</v>
      </c>
      <c r="AO633" s="1">
        <f t="shared" si="54"/>
        <v>0</v>
      </c>
      <c r="AP633" t="b" cm="1">
        <f t="array" ref="AP633">INDEX($AU$8:$BB$25,6*(R633-1)+MATCH(AB633,$AS$8:$AS$13,0),MATCH(O633,$AU$7:$BB$7,0))</f>
        <v>1</v>
      </c>
    </row>
    <row r="634" spans="15:42" ht="14.25" x14ac:dyDescent="0.45">
      <c r="O634" s="43" t="s">
        <v>33</v>
      </c>
      <c r="P634" s="43">
        <v>3</v>
      </c>
      <c r="Q634" s="43">
        <v>11</v>
      </c>
      <c r="R634" s="43">
        <v>3</v>
      </c>
      <c r="S634" s="45"/>
      <c r="T634" t="b">
        <f>(S632+S633+S634)=R4</f>
        <v>0</v>
      </c>
      <c r="X634" s="1">
        <f t="shared" si="55"/>
        <v>0</v>
      </c>
      <c r="Y634" s="48">
        <v>0</v>
      </c>
      <c r="AA634" s="1">
        <v>3</v>
      </c>
      <c r="AB634" s="1" t="s">
        <v>15</v>
      </c>
      <c r="AC634" s="1" t="s">
        <v>21</v>
      </c>
      <c r="AD634" s="1">
        <v>17</v>
      </c>
      <c r="AE634" s="1">
        <v>15</v>
      </c>
      <c r="AF634" s="1">
        <v>0.76</v>
      </c>
      <c r="AG634" s="1">
        <v>0.84</v>
      </c>
      <c r="AH634" s="1">
        <v>0</v>
      </c>
      <c r="AI634" s="1">
        <v>0</v>
      </c>
      <c r="AJ634" s="1">
        <f t="shared" si="51"/>
        <v>0</v>
      </c>
      <c r="AK634" s="1">
        <f>E60</f>
        <v>0</v>
      </c>
      <c r="AL634" s="1">
        <f>E66</f>
        <v>0</v>
      </c>
      <c r="AM634" s="1">
        <f t="shared" si="52"/>
        <v>0</v>
      </c>
      <c r="AN634" s="1">
        <f t="shared" si="53"/>
        <v>0</v>
      </c>
      <c r="AO634" s="1">
        <f t="shared" si="54"/>
        <v>0</v>
      </c>
      <c r="AP634" t="b" cm="1">
        <f t="array" ref="AP634">INDEX($AU$8:$BB$25,6*(R634-1)+MATCH(AB634,$AS$8:$AS$13,0),MATCH(O634,$AU$7:$BB$7,0))</f>
        <v>1</v>
      </c>
    </row>
    <row r="635" spans="15:42" ht="14.25" x14ac:dyDescent="0.45">
      <c r="O635" s="43" t="s">
        <v>33</v>
      </c>
      <c r="P635" s="43">
        <v>3</v>
      </c>
      <c r="Q635" s="43">
        <v>12</v>
      </c>
      <c r="R635" s="43">
        <v>1</v>
      </c>
      <c r="S635" s="45"/>
      <c r="T635" t="b">
        <f>(S635+S636+S637)=R4</f>
        <v>0</v>
      </c>
      <c r="X635" s="1">
        <f t="shared" si="55"/>
        <v>0</v>
      </c>
      <c r="Y635" s="48">
        <v>0</v>
      </c>
      <c r="AA635" s="1">
        <v>10</v>
      </c>
      <c r="AB635" s="1" t="s">
        <v>15</v>
      </c>
      <c r="AC635" s="1" t="s">
        <v>21</v>
      </c>
      <c r="AD635" s="1">
        <v>18</v>
      </c>
      <c r="AE635" s="1">
        <v>13</v>
      </c>
      <c r="AF635" s="1">
        <v>0.76</v>
      </c>
      <c r="AG635" s="1">
        <v>0.84</v>
      </c>
      <c r="AH635" s="1">
        <v>0</v>
      </c>
      <c r="AI635" s="1">
        <v>0</v>
      </c>
      <c r="AJ635" s="1">
        <f t="shared" si="51"/>
        <v>0</v>
      </c>
      <c r="AK635" s="1">
        <f>C60</f>
        <v>0</v>
      </c>
      <c r="AL635" s="1">
        <f>C66</f>
        <v>0</v>
      </c>
      <c r="AM635" s="1">
        <f t="shared" si="52"/>
        <v>0</v>
      </c>
      <c r="AN635" s="1">
        <f t="shared" si="53"/>
        <v>0</v>
      </c>
      <c r="AO635" s="1">
        <f t="shared" si="54"/>
        <v>0</v>
      </c>
      <c r="AP635" t="b" cm="1">
        <f t="array" ref="AP635">INDEX($AU$8:$BB$25,6*(R635-1)+MATCH(AB635,$AS$8:$AS$13,0),MATCH(O635,$AU$7:$BB$7,0))</f>
        <v>1</v>
      </c>
    </row>
    <row r="636" spans="15:42" ht="14.25" x14ac:dyDescent="0.45">
      <c r="O636" s="43" t="s">
        <v>33</v>
      </c>
      <c r="P636" s="43">
        <v>3</v>
      </c>
      <c r="Q636" s="43">
        <v>12</v>
      </c>
      <c r="R636" s="43">
        <v>2</v>
      </c>
      <c r="S636" s="45"/>
      <c r="T636" t="b">
        <f>(S635+S636+S637)=R4</f>
        <v>0</v>
      </c>
      <c r="X636" s="1">
        <f t="shared" si="55"/>
        <v>0</v>
      </c>
      <c r="Y636" s="48">
        <v>0</v>
      </c>
      <c r="AA636" s="1">
        <v>10</v>
      </c>
      <c r="AB636" s="1" t="s">
        <v>15</v>
      </c>
      <c r="AC636" s="1" t="s">
        <v>21</v>
      </c>
      <c r="AD636" s="1">
        <v>18</v>
      </c>
      <c r="AE636" s="1">
        <v>13</v>
      </c>
      <c r="AF636" s="1">
        <v>0.76</v>
      </c>
      <c r="AG636" s="1">
        <v>0.84</v>
      </c>
      <c r="AH636" s="1">
        <v>0</v>
      </c>
      <c r="AI636" s="1">
        <v>0</v>
      </c>
      <c r="AJ636" s="1">
        <f t="shared" si="51"/>
        <v>0</v>
      </c>
      <c r="AK636" s="1">
        <f>D60</f>
        <v>0</v>
      </c>
      <c r="AL636" s="1">
        <f>D66</f>
        <v>0</v>
      </c>
      <c r="AM636" s="1">
        <f t="shared" si="52"/>
        <v>0</v>
      </c>
      <c r="AN636" s="1">
        <f t="shared" si="53"/>
        <v>0</v>
      </c>
      <c r="AO636" s="1">
        <f t="shared" si="54"/>
        <v>0</v>
      </c>
      <c r="AP636" t="b" cm="1">
        <f t="array" ref="AP636">INDEX($AU$8:$BB$25,6*(R636-1)+MATCH(AB636,$AS$8:$AS$13,0),MATCH(O636,$AU$7:$BB$7,0))</f>
        <v>1</v>
      </c>
    </row>
    <row r="637" spans="15:42" ht="14.25" x14ac:dyDescent="0.45">
      <c r="O637" s="43" t="s">
        <v>33</v>
      </c>
      <c r="P637" s="43">
        <v>3</v>
      </c>
      <c r="Q637" s="43">
        <v>12</v>
      </c>
      <c r="R637" s="43">
        <v>3</v>
      </c>
      <c r="S637" s="45"/>
      <c r="T637" t="b">
        <f>(S635+S636+S637)=R4</f>
        <v>0</v>
      </c>
      <c r="X637" s="1">
        <f t="shared" si="55"/>
        <v>0</v>
      </c>
      <c r="Y637" s="48">
        <v>0</v>
      </c>
      <c r="AA637" s="1">
        <v>10</v>
      </c>
      <c r="AB637" s="1" t="s">
        <v>15</v>
      </c>
      <c r="AC637" s="1" t="s">
        <v>21</v>
      </c>
      <c r="AD637" s="1">
        <v>18</v>
      </c>
      <c r="AE637" s="1">
        <v>13</v>
      </c>
      <c r="AF637" s="1">
        <v>0.76</v>
      </c>
      <c r="AG637" s="1">
        <v>0.84</v>
      </c>
      <c r="AH637" s="1">
        <v>0</v>
      </c>
      <c r="AI637" s="1">
        <v>0</v>
      </c>
      <c r="AJ637" s="1">
        <f t="shared" si="51"/>
        <v>0</v>
      </c>
      <c r="AK637" s="1">
        <f>E60</f>
        <v>0</v>
      </c>
      <c r="AL637" s="1">
        <f>E66</f>
        <v>0</v>
      </c>
      <c r="AM637" s="1">
        <f t="shared" si="52"/>
        <v>0</v>
      </c>
      <c r="AN637" s="1">
        <f t="shared" si="53"/>
        <v>0</v>
      </c>
      <c r="AO637" s="1">
        <f t="shared" si="54"/>
        <v>0</v>
      </c>
      <c r="AP637" t="b" cm="1">
        <f t="array" ref="AP637">INDEX($AU$8:$BB$25,6*(R637-1)+MATCH(AB637,$AS$8:$AS$13,0),MATCH(O637,$AU$7:$BB$7,0))</f>
        <v>1</v>
      </c>
    </row>
    <row r="638" spans="15:42" ht="14.25" x14ac:dyDescent="0.45">
      <c r="O638" s="43" t="s">
        <v>33</v>
      </c>
      <c r="P638" s="43">
        <v>3</v>
      </c>
      <c r="Q638" s="43">
        <v>13</v>
      </c>
      <c r="R638" s="43">
        <v>1</v>
      </c>
      <c r="S638" s="45"/>
      <c r="T638" t="b">
        <f>(S638+S639+S640)=R4</f>
        <v>0</v>
      </c>
      <c r="X638" s="1">
        <f t="shared" si="55"/>
        <v>0</v>
      </c>
      <c r="Y638" s="48">
        <v>0</v>
      </c>
      <c r="AA638" s="1">
        <v>2</v>
      </c>
      <c r="AB638" s="1" t="s">
        <v>16</v>
      </c>
      <c r="AC638" s="1" t="s">
        <v>22</v>
      </c>
      <c r="AD638" s="1">
        <v>20</v>
      </c>
      <c r="AE638" s="1">
        <v>18</v>
      </c>
      <c r="AF638" s="1">
        <v>0.8</v>
      </c>
      <c r="AG638" s="1">
        <v>0.9</v>
      </c>
      <c r="AH638" s="1">
        <v>0</v>
      </c>
      <c r="AI638" s="1">
        <v>0</v>
      </c>
      <c r="AJ638" s="1">
        <f t="shared" si="51"/>
        <v>0</v>
      </c>
      <c r="AK638" s="1">
        <f>C61</f>
        <v>0</v>
      </c>
      <c r="AL638" s="1">
        <f>C67</f>
        <v>0</v>
      </c>
      <c r="AM638" s="1">
        <f t="shared" si="52"/>
        <v>0</v>
      </c>
      <c r="AN638" s="1">
        <f t="shared" si="53"/>
        <v>0</v>
      </c>
      <c r="AO638" s="1">
        <f t="shared" si="54"/>
        <v>0</v>
      </c>
      <c r="AP638" t="b" cm="1">
        <f t="array" ref="AP638">INDEX($AU$8:$BB$25,6*(R638-1)+MATCH(AB638,$AS$8:$AS$13,0),MATCH(O638,$AU$7:$BB$7,0))</f>
        <v>1</v>
      </c>
    </row>
    <row r="639" spans="15:42" ht="14.25" x14ac:dyDescent="0.45">
      <c r="O639" s="43" t="s">
        <v>33</v>
      </c>
      <c r="P639" s="43">
        <v>3</v>
      </c>
      <c r="Q639" s="43">
        <v>13</v>
      </c>
      <c r="R639" s="43">
        <v>2</v>
      </c>
      <c r="S639" s="45"/>
      <c r="T639" t="b">
        <f>(S638+S639+S640)=R4</f>
        <v>0</v>
      </c>
      <c r="X639" s="1">
        <f t="shared" si="55"/>
        <v>0</v>
      </c>
      <c r="Y639" s="48">
        <v>0</v>
      </c>
      <c r="AA639" s="1">
        <v>2</v>
      </c>
      <c r="AB639" s="1" t="s">
        <v>16</v>
      </c>
      <c r="AC639" s="1" t="s">
        <v>22</v>
      </c>
      <c r="AD639" s="1">
        <v>20</v>
      </c>
      <c r="AE639" s="1">
        <v>18</v>
      </c>
      <c r="AF639" s="1">
        <v>0.8</v>
      </c>
      <c r="AG639" s="1">
        <v>0.9</v>
      </c>
      <c r="AH639" s="1">
        <v>0</v>
      </c>
      <c r="AI639" s="1">
        <v>0</v>
      </c>
      <c r="AJ639" s="1">
        <f t="shared" si="51"/>
        <v>0</v>
      </c>
      <c r="AK639" s="1">
        <f>D61</f>
        <v>0</v>
      </c>
      <c r="AL639" s="1">
        <f>D67</f>
        <v>0</v>
      </c>
      <c r="AM639" s="1">
        <f t="shared" si="52"/>
        <v>0</v>
      </c>
      <c r="AN639" s="1">
        <f t="shared" si="53"/>
        <v>0</v>
      </c>
      <c r="AO639" s="1">
        <f t="shared" si="54"/>
        <v>0</v>
      </c>
      <c r="AP639" t="b" cm="1">
        <f t="array" ref="AP639">INDEX($AU$8:$BB$25,6*(R639-1)+MATCH(AB639,$AS$8:$AS$13,0),MATCH(O639,$AU$7:$BB$7,0))</f>
        <v>1</v>
      </c>
    </row>
    <row r="640" spans="15:42" ht="14.25" x14ac:dyDescent="0.45">
      <c r="O640" s="43" t="s">
        <v>33</v>
      </c>
      <c r="P640" s="43">
        <v>3</v>
      </c>
      <c r="Q640" s="43">
        <v>13</v>
      </c>
      <c r="R640" s="43">
        <v>3</v>
      </c>
      <c r="S640" s="45"/>
      <c r="T640" t="b">
        <f>(S638+S639+S640)=R4</f>
        <v>0</v>
      </c>
      <c r="X640" s="1">
        <f t="shared" si="55"/>
        <v>0</v>
      </c>
      <c r="Y640" s="48">
        <v>0</v>
      </c>
      <c r="AA640" s="1">
        <v>2</v>
      </c>
      <c r="AB640" s="1" t="s">
        <v>16</v>
      </c>
      <c r="AC640" s="1" t="s">
        <v>22</v>
      </c>
      <c r="AD640" s="1">
        <v>20</v>
      </c>
      <c r="AE640" s="1">
        <v>18</v>
      </c>
      <c r="AF640" s="1">
        <v>0.8</v>
      </c>
      <c r="AG640" s="1">
        <v>0.9</v>
      </c>
      <c r="AH640" s="1">
        <v>0</v>
      </c>
      <c r="AI640" s="1">
        <v>0</v>
      </c>
      <c r="AJ640" s="1">
        <f t="shared" si="51"/>
        <v>0</v>
      </c>
      <c r="AK640" s="1">
        <f>E61</f>
        <v>0</v>
      </c>
      <c r="AL640" s="1">
        <f>E67</f>
        <v>0</v>
      </c>
      <c r="AM640" s="1">
        <f t="shared" si="52"/>
        <v>0</v>
      </c>
      <c r="AN640" s="1">
        <f t="shared" si="53"/>
        <v>0</v>
      </c>
      <c r="AO640" s="1">
        <f t="shared" si="54"/>
        <v>0</v>
      </c>
      <c r="AP640" t="b" cm="1">
        <f t="array" ref="AP640">INDEX($AU$8:$BB$25,6*(R640-1)+MATCH(AB640,$AS$8:$AS$13,0),MATCH(O640,$AU$7:$BB$7,0))</f>
        <v>1</v>
      </c>
    </row>
    <row r="641" spans="15:42" ht="14.25" x14ac:dyDescent="0.45">
      <c r="O641" s="43" t="s">
        <v>33</v>
      </c>
      <c r="P641" s="43">
        <v>3</v>
      </c>
      <c r="Q641" s="43">
        <v>14</v>
      </c>
      <c r="R641" s="43">
        <v>1</v>
      </c>
      <c r="S641" s="45"/>
      <c r="T641" t="b">
        <f>(S641+S642+S643)=R4</f>
        <v>0</v>
      </c>
      <c r="X641" s="1">
        <f t="shared" si="55"/>
        <v>0</v>
      </c>
      <c r="Y641" s="48">
        <v>0</v>
      </c>
      <c r="AA641" s="1">
        <v>2</v>
      </c>
      <c r="AB641" s="1" t="s">
        <v>13</v>
      </c>
      <c r="AC641" s="1" t="s">
        <v>19</v>
      </c>
      <c r="AD641" s="1">
        <v>12</v>
      </c>
      <c r="AE641" s="1">
        <v>11</v>
      </c>
      <c r="AF641" s="1">
        <v>0.8</v>
      </c>
      <c r="AG641" s="1">
        <v>0.86</v>
      </c>
      <c r="AH641" s="1">
        <v>0</v>
      </c>
      <c r="AI641" s="1">
        <v>0</v>
      </c>
      <c r="AJ641" s="1">
        <f t="shared" si="51"/>
        <v>0</v>
      </c>
      <c r="AK641" s="1">
        <f>C58</f>
        <v>0</v>
      </c>
      <c r="AL641" s="1">
        <f>C64</f>
        <v>0</v>
      </c>
      <c r="AM641" s="1">
        <f t="shared" si="52"/>
        <v>0</v>
      </c>
      <c r="AN641" s="1">
        <f t="shared" si="53"/>
        <v>0</v>
      </c>
      <c r="AO641" s="1">
        <f t="shared" si="54"/>
        <v>0</v>
      </c>
      <c r="AP641" t="b" cm="1">
        <f t="array" ref="AP641">INDEX($AU$8:$BB$25,6*(R641-1)+MATCH(AB641,$AS$8:$AS$13,0),MATCH(O641,$AU$7:$BB$7,0))</f>
        <v>1</v>
      </c>
    </row>
    <row r="642" spans="15:42" ht="14.25" x14ac:dyDescent="0.45">
      <c r="O642" s="43" t="s">
        <v>33</v>
      </c>
      <c r="P642" s="43">
        <v>3</v>
      </c>
      <c r="Q642" s="43">
        <v>14</v>
      </c>
      <c r="R642" s="43">
        <v>2</v>
      </c>
      <c r="S642" s="45"/>
      <c r="T642" t="b">
        <f>(S641+S642+S643)=R4</f>
        <v>0</v>
      </c>
      <c r="X642" s="1">
        <f t="shared" si="55"/>
        <v>0</v>
      </c>
      <c r="Y642" s="48">
        <v>0</v>
      </c>
      <c r="AA642" s="1">
        <v>2</v>
      </c>
      <c r="AB642" s="1" t="s">
        <v>13</v>
      </c>
      <c r="AC642" s="1" t="s">
        <v>19</v>
      </c>
      <c r="AD642" s="1">
        <v>12</v>
      </c>
      <c r="AE642" s="1">
        <v>11</v>
      </c>
      <c r="AF642" s="1">
        <v>0.8</v>
      </c>
      <c r="AG642" s="1">
        <v>0.86</v>
      </c>
      <c r="AH642" s="1">
        <v>0</v>
      </c>
      <c r="AI642" s="1">
        <v>0</v>
      </c>
      <c r="AJ642" s="1">
        <f t="shared" si="51"/>
        <v>0</v>
      </c>
      <c r="AK642" s="1">
        <f>D58</f>
        <v>0</v>
      </c>
      <c r="AL642" s="1">
        <f>D64</f>
        <v>0</v>
      </c>
      <c r="AM642" s="1">
        <f t="shared" si="52"/>
        <v>0</v>
      </c>
      <c r="AN642" s="1">
        <f t="shared" si="53"/>
        <v>0</v>
      </c>
      <c r="AO642" s="1">
        <f t="shared" si="54"/>
        <v>0</v>
      </c>
      <c r="AP642" t="b" cm="1">
        <f t="array" ref="AP642">INDEX($AU$8:$BB$25,6*(R642-1)+MATCH(AB642,$AS$8:$AS$13,0),MATCH(O642,$AU$7:$BB$7,0))</f>
        <v>1</v>
      </c>
    </row>
    <row r="643" spans="15:42" ht="14.25" x14ac:dyDescent="0.45">
      <c r="O643" s="43" t="s">
        <v>33</v>
      </c>
      <c r="P643" s="43">
        <v>3</v>
      </c>
      <c r="Q643" s="43">
        <v>14</v>
      </c>
      <c r="R643" s="43">
        <v>3</v>
      </c>
      <c r="S643" s="45"/>
      <c r="T643" t="b">
        <f>(S641+S642+S643)=R4</f>
        <v>0</v>
      </c>
      <c r="X643" s="1">
        <f t="shared" si="55"/>
        <v>0</v>
      </c>
      <c r="Y643" s="48">
        <v>0</v>
      </c>
      <c r="AA643" s="1">
        <v>2</v>
      </c>
      <c r="AB643" s="1" t="s">
        <v>13</v>
      </c>
      <c r="AC643" s="1" t="s">
        <v>19</v>
      </c>
      <c r="AD643" s="1">
        <v>12</v>
      </c>
      <c r="AE643" s="1">
        <v>11</v>
      </c>
      <c r="AF643" s="1">
        <v>0.8</v>
      </c>
      <c r="AG643" s="1">
        <v>0.86</v>
      </c>
      <c r="AH643" s="1">
        <v>0</v>
      </c>
      <c r="AI643" s="1">
        <v>0</v>
      </c>
      <c r="AJ643" s="1">
        <f t="shared" si="51"/>
        <v>0</v>
      </c>
      <c r="AK643" s="1">
        <f>E58</f>
        <v>0</v>
      </c>
      <c r="AL643" s="1">
        <f>E64</f>
        <v>0</v>
      </c>
      <c r="AM643" s="1">
        <f t="shared" si="52"/>
        <v>0</v>
      </c>
      <c r="AN643" s="1">
        <f t="shared" si="53"/>
        <v>0</v>
      </c>
      <c r="AO643" s="1">
        <f t="shared" si="54"/>
        <v>0</v>
      </c>
      <c r="AP643" t="b" cm="1">
        <f t="array" ref="AP643">INDEX($AU$8:$BB$25,6*(R643-1)+MATCH(AB643,$AS$8:$AS$13,0),MATCH(O643,$AU$7:$BB$7,0))</f>
        <v>1</v>
      </c>
    </row>
    <row r="644" spans="15:42" ht="14.25" x14ac:dyDescent="0.45">
      <c r="O644" s="43" t="s">
        <v>33</v>
      </c>
      <c r="P644" s="43">
        <v>3</v>
      </c>
      <c r="Q644" s="43">
        <v>15</v>
      </c>
      <c r="R644" s="43">
        <v>1</v>
      </c>
      <c r="S644" s="45"/>
      <c r="T644" t="b">
        <f>(S644+S645+S646)=R4</f>
        <v>0</v>
      </c>
      <c r="X644" s="1">
        <f t="shared" si="55"/>
        <v>0</v>
      </c>
      <c r="Y644" s="48">
        <v>0</v>
      </c>
      <c r="AA644" s="1">
        <v>2</v>
      </c>
      <c r="AB644" s="1" t="s">
        <v>14</v>
      </c>
      <c r="AC644" s="1" t="s">
        <v>20</v>
      </c>
      <c r="AD644" s="1">
        <v>11</v>
      </c>
      <c r="AE644" s="1">
        <v>10</v>
      </c>
      <c r="AF644" s="1">
        <v>0.8</v>
      </c>
      <c r="AG644" s="1">
        <v>0.88</v>
      </c>
      <c r="AH644" s="1">
        <v>0</v>
      </c>
      <c r="AI644" s="1">
        <v>0</v>
      </c>
      <c r="AJ644" s="1">
        <f t="shared" si="51"/>
        <v>0</v>
      </c>
      <c r="AK644" s="1">
        <f>C59</f>
        <v>0</v>
      </c>
      <c r="AL644" s="1">
        <f>C65</f>
        <v>0</v>
      </c>
      <c r="AM644" s="1">
        <f t="shared" si="52"/>
        <v>0</v>
      </c>
      <c r="AN644" s="1">
        <f t="shared" si="53"/>
        <v>0</v>
      </c>
      <c r="AO644" s="1">
        <f t="shared" si="54"/>
        <v>0</v>
      </c>
      <c r="AP644" t="b" cm="1">
        <f t="array" ref="AP644">INDEX($AU$8:$BB$25,6*(R644-1)+MATCH(AB644,$AS$8:$AS$13,0),MATCH(O644,$AU$7:$BB$7,0))</f>
        <v>1</v>
      </c>
    </row>
    <row r="645" spans="15:42" ht="14.25" x14ac:dyDescent="0.45">
      <c r="O645" s="43" t="s">
        <v>33</v>
      </c>
      <c r="P645" s="43">
        <v>3</v>
      </c>
      <c r="Q645" s="43">
        <v>15</v>
      </c>
      <c r="R645" s="43">
        <v>2</v>
      </c>
      <c r="S645" s="45"/>
      <c r="T645" t="b">
        <f>(S644+S645+S646)=R4</f>
        <v>0</v>
      </c>
      <c r="X645" s="1">
        <f t="shared" si="55"/>
        <v>0</v>
      </c>
      <c r="Y645" s="48">
        <v>0</v>
      </c>
      <c r="AA645" s="1">
        <v>2</v>
      </c>
      <c r="AB645" s="1" t="s">
        <v>14</v>
      </c>
      <c r="AC645" s="1" t="s">
        <v>20</v>
      </c>
      <c r="AD645" s="1">
        <v>11</v>
      </c>
      <c r="AE645" s="1">
        <v>10</v>
      </c>
      <c r="AF645" s="1">
        <v>0.8</v>
      </c>
      <c r="AG645" s="1">
        <v>0.88</v>
      </c>
      <c r="AH645" s="1">
        <v>0</v>
      </c>
      <c r="AI645" s="1">
        <v>0</v>
      </c>
      <c r="AJ645" s="1">
        <f t="shared" si="51"/>
        <v>0</v>
      </c>
      <c r="AK645" s="1">
        <f>D59</f>
        <v>0</v>
      </c>
      <c r="AL645" s="1">
        <f>D65</f>
        <v>0</v>
      </c>
      <c r="AM645" s="1">
        <f t="shared" si="52"/>
        <v>0</v>
      </c>
      <c r="AN645" s="1">
        <f t="shared" si="53"/>
        <v>0</v>
      </c>
      <c r="AO645" s="1">
        <f t="shared" si="54"/>
        <v>0</v>
      </c>
      <c r="AP645" t="b" cm="1">
        <f t="array" ref="AP645">INDEX($AU$8:$BB$25,6*(R645-1)+MATCH(AB645,$AS$8:$AS$13,0),MATCH(O645,$AU$7:$BB$7,0))</f>
        <v>1</v>
      </c>
    </row>
    <row r="646" spans="15:42" ht="14.25" x14ac:dyDescent="0.45">
      <c r="O646" s="43" t="s">
        <v>33</v>
      </c>
      <c r="P646" s="43">
        <v>3</v>
      </c>
      <c r="Q646" s="43">
        <v>15</v>
      </c>
      <c r="R646" s="43">
        <v>3</v>
      </c>
      <c r="S646" s="45"/>
      <c r="T646" t="b">
        <f>(S644+S645+S646)=R4</f>
        <v>0</v>
      </c>
      <c r="X646" s="1">
        <f t="shared" si="55"/>
        <v>0</v>
      </c>
      <c r="Y646" s="48">
        <v>0</v>
      </c>
      <c r="AA646" s="1">
        <v>2</v>
      </c>
      <c r="AB646" s="1" t="s">
        <v>14</v>
      </c>
      <c r="AC646" s="1" t="s">
        <v>20</v>
      </c>
      <c r="AD646" s="1">
        <v>11</v>
      </c>
      <c r="AE646" s="1">
        <v>10</v>
      </c>
      <c r="AF646" s="1">
        <v>0.8</v>
      </c>
      <c r="AG646" s="1">
        <v>0.88</v>
      </c>
      <c r="AH646" s="1">
        <v>0</v>
      </c>
      <c r="AI646" s="1">
        <v>0</v>
      </c>
      <c r="AJ646" s="1">
        <f t="shared" si="51"/>
        <v>0</v>
      </c>
      <c r="AK646" s="1">
        <f>E59</f>
        <v>0</v>
      </c>
      <c r="AL646" s="1">
        <f>E65</f>
        <v>0</v>
      </c>
      <c r="AM646" s="1">
        <f t="shared" si="52"/>
        <v>0</v>
      </c>
      <c r="AN646" s="1">
        <f t="shared" si="53"/>
        <v>0</v>
      </c>
      <c r="AO646" s="1">
        <f t="shared" si="54"/>
        <v>0</v>
      </c>
      <c r="AP646" t="b" cm="1">
        <f t="array" ref="AP646">INDEX($AU$8:$BB$25,6*(R646-1)+MATCH(AB646,$AS$8:$AS$13,0),MATCH(O646,$AU$7:$BB$7,0))</f>
        <v>1</v>
      </c>
    </row>
    <row r="647" spans="15:42" ht="14.25" x14ac:dyDescent="0.45">
      <c r="O647" s="43" t="s">
        <v>33</v>
      </c>
      <c r="P647" s="43">
        <v>3</v>
      </c>
      <c r="Q647" s="43">
        <v>16</v>
      </c>
      <c r="R647" s="43">
        <v>1</v>
      </c>
      <c r="S647" s="45"/>
      <c r="T647" t="b">
        <f>(S647+S648+S649)=R4</f>
        <v>0</v>
      </c>
      <c r="X647" s="1">
        <f t="shared" si="55"/>
        <v>0</v>
      </c>
      <c r="Y647" s="48">
        <v>0</v>
      </c>
      <c r="AA647" s="1">
        <v>4</v>
      </c>
      <c r="AB647" s="1" t="s">
        <v>13</v>
      </c>
      <c r="AC647" s="1" t="s">
        <v>19</v>
      </c>
      <c r="AD647" s="1">
        <v>25</v>
      </c>
      <c r="AE647" s="1">
        <v>20</v>
      </c>
      <c r="AF647" s="1">
        <v>0.8</v>
      </c>
      <c r="AG647" s="1">
        <v>0.86</v>
      </c>
      <c r="AH647" s="1">
        <v>0</v>
      </c>
      <c r="AI647" s="1">
        <v>0</v>
      </c>
      <c r="AJ647" s="1">
        <f t="shared" si="51"/>
        <v>0</v>
      </c>
      <c r="AK647" s="1">
        <f>C58</f>
        <v>0</v>
      </c>
      <c r="AL647" s="1">
        <f>C64</f>
        <v>0</v>
      </c>
      <c r="AM647" s="1">
        <f t="shared" si="52"/>
        <v>0</v>
      </c>
      <c r="AN647" s="1">
        <f t="shared" si="53"/>
        <v>0</v>
      </c>
      <c r="AO647" s="1">
        <f t="shared" si="54"/>
        <v>0</v>
      </c>
      <c r="AP647" t="b" cm="1">
        <f t="array" ref="AP647">INDEX($AU$8:$BB$25,6*(R647-1)+MATCH(AB647,$AS$8:$AS$13,0),MATCH(O647,$AU$7:$BB$7,0))</f>
        <v>1</v>
      </c>
    </row>
    <row r="648" spans="15:42" ht="14.25" x14ac:dyDescent="0.45">
      <c r="O648" s="43" t="s">
        <v>33</v>
      </c>
      <c r="P648" s="43">
        <v>3</v>
      </c>
      <c r="Q648" s="43">
        <v>16</v>
      </c>
      <c r="R648" s="43">
        <v>2</v>
      </c>
      <c r="S648" s="45"/>
      <c r="T648" t="b">
        <f>(S647+S648+S649)=R4</f>
        <v>0</v>
      </c>
      <c r="X648" s="1">
        <f t="shared" si="55"/>
        <v>0</v>
      </c>
      <c r="Y648" s="48">
        <v>0</v>
      </c>
      <c r="AA648" s="1">
        <v>4</v>
      </c>
      <c r="AB648" s="1" t="s">
        <v>13</v>
      </c>
      <c r="AC648" s="1" t="s">
        <v>19</v>
      </c>
      <c r="AD648" s="1">
        <v>25</v>
      </c>
      <c r="AE648" s="1">
        <v>20</v>
      </c>
      <c r="AF648" s="1">
        <v>0.8</v>
      </c>
      <c r="AG648" s="1">
        <v>0.86</v>
      </c>
      <c r="AH648" s="1">
        <v>0</v>
      </c>
      <c r="AI648" s="1">
        <v>0</v>
      </c>
      <c r="AJ648" s="1">
        <f t="shared" si="51"/>
        <v>0</v>
      </c>
      <c r="AK648" s="1">
        <f>D58</f>
        <v>0</v>
      </c>
      <c r="AL648" s="1">
        <f>D64</f>
        <v>0</v>
      </c>
      <c r="AM648" s="1">
        <f t="shared" si="52"/>
        <v>0</v>
      </c>
      <c r="AN648" s="1">
        <f t="shared" si="53"/>
        <v>0</v>
      </c>
      <c r="AO648" s="1">
        <f t="shared" si="54"/>
        <v>0</v>
      </c>
      <c r="AP648" t="b" cm="1">
        <f t="array" ref="AP648">INDEX($AU$8:$BB$25,6*(R648-1)+MATCH(AB648,$AS$8:$AS$13,0),MATCH(O648,$AU$7:$BB$7,0))</f>
        <v>1</v>
      </c>
    </row>
    <row r="649" spans="15:42" ht="14.25" x14ac:dyDescent="0.45">
      <c r="O649" s="43" t="s">
        <v>33</v>
      </c>
      <c r="P649" s="43">
        <v>3</v>
      </c>
      <c r="Q649" s="43">
        <v>16</v>
      </c>
      <c r="R649" s="43">
        <v>3</v>
      </c>
      <c r="S649" s="45"/>
      <c r="T649" t="b">
        <f>(S647+S648+S649)=R4</f>
        <v>0</v>
      </c>
      <c r="X649" s="1">
        <f t="shared" si="55"/>
        <v>0</v>
      </c>
      <c r="Y649" s="48">
        <v>0</v>
      </c>
      <c r="AA649" s="1">
        <v>4</v>
      </c>
      <c r="AB649" s="1" t="s">
        <v>13</v>
      </c>
      <c r="AC649" s="1" t="s">
        <v>19</v>
      </c>
      <c r="AD649" s="1">
        <v>25</v>
      </c>
      <c r="AE649" s="1">
        <v>20</v>
      </c>
      <c r="AF649" s="1">
        <v>0.8</v>
      </c>
      <c r="AG649" s="1">
        <v>0.86</v>
      </c>
      <c r="AH649" s="1">
        <v>0</v>
      </c>
      <c r="AI649" s="1">
        <v>0</v>
      </c>
      <c r="AJ649" s="1">
        <f t="shared" ref="AJ649:AJ712" si="56">SUMIFS(AH$8:AH$1039,$O$8:$O$1039,O649,$AB$8:$AB$1039,AB649,$R$8:$R$1039,R649,$AA$8:$AA$1039,"&lt;="&amp;AA649)</f>
        <v>0</v>
      </c>
      <c r="AK649" s="1">
        <f>E58</f>
        <v>0</v>
      </c>
      <c r="AL649" s="1">
        <f>E64</f>
        <v>0</v>
      </c>
      <c r="AM649" s="1">
        <f t="shared" ref="AM649:AM712" si="57">MAX(0,AJ649-AK649)</f>
        <v>0</v>
      </c>
      <c r="AN649" s="1">
        <f t="shared" ref="AN649:AN712" si="58">IF(AM649=0,AH649,IF(AM649&gt;=AH649,0,AH649-AM649))</f>
        <v>0</v>
      </c>
      <c r="AO649" s="1">
        <f t="shared" ref="AO649:AO712" si="59">IF(AM649&gt;=AH649,AI649,AI649*AM649/AH649)</f>
        <v>0</v>
      </c>
      <c r="AP649" t="b" cm="1">
        <f t="array" ref="AP649">INDEX($AU$8:$BB$25,6*(R649-1)+MATCH(AB649,$AS$8:$AS$13,0),MATCH(O649,$AU$7:$BB$7,0))</f>
        <v>1</v>
      </c>
    </row>
    <row r="650" spans="15:42" ht="14.25" x14ac:dyDescent="0.45">
      <c r="O650" s="43" t="s">
        <v>33</v>
      </c>
      <c r="P650" s="43">
        <v>3</v>
      </c>
      <c r="Q650" s="43">
        <v>17</v>
      </c>
      <c r="R650" s="43">
        <v>1</v>
      </c>
      <c r="S650" s="45"/>
      <c r="T650" t="b">
        <f>(S650+S651+S652)=R4</f>
        <v>0</v>
      </c>
      <c r="X650" s="1">
        <f t="shared" si="55"/>
        <v>0</v>
      </c>
      <c r="Y650" s="48">
        <v>0</v>
      </c>
      <c r="AA650" s="1">
        <v>1</v>
      </c>
      <c r="AB650" s="1" t="s">
        <v>16</v>
      </c>
      <c r="AC650" s="1" t="s">
        <v>22</v>
      </c>
      <c r="AD650" s="1">
        <v>14</v>
      </c>
      <c r="AE650" s="1">
        <v>13</v>
      </c>
      <c r="AF650" s="1">
        <v>0.8</v>
      </c>
      <c r="AG650" s="1">
        <v>0.9</v>
      </c>
      <c r="AH650" s="1">
        <v>0</v>
      </c>
      <c r="AI650" s="1">
        <v>0</v>
      </c>
      <c r="AJ650" s="1">
        <f t="shared" si="56"/>
        <v>0</v>
      </c>
      <c r="AK650" s="1">
        <f>C61</f>
        <v>0</v>
      </c>
      <c r="AL650" s="1">
        <f>C67</f>
        <v>0</v>
      </c>
      <c r="AM650" s="1">
        <f t="shared" si="57"/>
        <v>0</v>
      </c>
      <c r="AN650" s="1">
        <f t="shared" si="58"/>
        <v>0</v>
      </c>
      <c r="AO650" s="1">
        <f t="shared" si="59"/>
        <v>0</v>
      </c>
      <c r="AP650" t="b" cm="1">
        <f t="array" ref="AP650">INDEX($AU$8:$BB$25,6*(R650-1)+MATCH(AB650,$AS$8:$AS$13,0),MATCH(O650,$AU$7:$BB$7,0))</f>
        <v>1</v>
      </c>
    </row>
    <row r="651" spans="15:42" ht="14.25" x14ac:dyDescent="0.45">
      <c r="O651" s="43" t="s">
        <v>33</v>
      </c>
      <c r="P651" s="43">
        <v>3</v>
      </c>
      <c r="Q651" s="43">
        <v>17</v>
      </c>
      <c r="R651" s="43">
        <v>2</v>
      </c>
      <c r="S651" s="45"/>
      <c r="T651" t="b">
        <f>(S650+S651+S652)=R4</f>
        <v>0</v>
      </c>
      <c r="X651" s="1">
        <f t="shared" si="55"/>
        <v>0</v>
      </c>
      <c r="Y651" s="48">
        <v>0</v>
      </c>
      <c r="AA651" s="1">
        <v>1</v>
      </c>
      <c r="AB651" s="1" t="s">
        <v>16</v>
      </c>
      <c r="AC651" s="1" t="s">
        <v>22</v>
      </c>
      <c r="AD651" s="1">
        <v>14</v>
      </c>
      <c r="AE651" s="1">
        <v>13</v>
      </c>
      <c r="AF651" s="1">
        <v>0.8</v>
      </c>
      <c r="AG651" s="1">
        <v>0.9</v>
      </c>
      <c r="AH651" s="1">
        <v>0</v>
      </c>
      <c r="AI651" s="1">
        <v>0</v>
      </c>
      <c r="AJ651" s="1">
        <f t="shared" si="56"/>
        <v>0</v>
      </c>
      <c r="AK651" s="1">
        <f>D61</f>
        <v>0</v>
      </c>
      <c r="AL651" s="1">
        <f>D67</f>
        <v>0</v>
      </c>
      <c r="AM651" s="1">
        <f t="shared" si="57"/>
        <v>0</v>
      </c>
      <c r="AN651" s="1">
        <f t="shared" si="58"/>
        <v>0</v>
      </c>
      <c r="AO651" s="1">
        <f t="shared" si="59"/>
        <v>0</v>
      </c>
      <c r="AP651" t="b" cm="1">
        <f t="array" ref="AP651">INDEX($AU$8:$BB$25,6*(R651-1)+MATCH(AB651,$AS$8:$AS$13,0),MATCH(O651,$AU$7:$BB$7,0))</f>
        <v>1</v>
      </c>
    </row>
    <row r="652" spans="15:42" ht="14.25" x14ac:dyDescent="0.45">
      <c r="O652" s="43" t="s">
        <v>33</v>
      </c>
      <c r="P652" s="43">
        <v>3</v>
      </c>
      <c r="Q652" s="43">
        <v>17</v>
      </c>
      <c r="R652" s="43">
        <v>3</v>
      </c>
      <c r="S652" s="45"/>
      <c r="T652" t="b">
        <f>(S650+S651+S652)=R4</f>
        <v>0</v>
      </c>
      <c r="X652" s="1">
        <f t="shared" si="55"/>
        <v>0</v>
      </c>
      <c r="Y652" s="48">
        <v>0</v>
      </c>
      <c r="AA652" s="1">
        <v>1</v>
      </c>
      <c r="AB652" s="1" t="s">
        <v>16</v>
      </c>
      <c r="AC652" s="1" t="s">
        <v>22</v>
      </c>
      <c r="AD652" s="1">
        <v>14</v>
      </c>
      <c r="AE652" s="1">
        <v>13</v>
      </c>
      <c r="AF652" s="1">
        <v>0.8</v>
      </c>
      <c r="AG652" s="1">
        <v>0.9</v>
      </c>
      <c r="AH652" s="1">
        <v>0</v>
      </c>
      <c r="AI652" s="1">
        <v>0</v>
      </c>
      <c r="AJ652" s="1">
        <f t="shared" si="56"/>
        <v>0</v>
      </c>
      <c r="AK652" s="1">
        <f>E61</f>
        <v>0</v>
      </c>
      <c r="AL652" s="1">
        <f>E67</f>
        <v>0</v>
      </c>
      <c r="AM652" s="1">
        <f t="shared" si="57"/>
        <v>0</v>
      </c>
      <c r="AN652" s="1">
        <f t="shared" si="58"/>
        <v>0</v>
      </c>
      <c r="AO652" s="1">
        <f t="shared" si="59"/>
        <v>0</v>
      </c>
      <c r="AP652" t="b" cm="1">
        <f t="array" ref="AP652">INDEX($AU$8:$BB$25,6*(R652-1)+MATCH(AB652,$AS$8:$AS$13,0),MATCH(O652,$AU$7:$BB$7,0))</f>
        <v>1</v>
      </c>
    </row>
    <row r="653" spans="15:42" ht="14.25" x14ac:dyDescent="0.45">
      <c r="O653" s="43" t="s">
        <v>34</v>
      </c>
      <c r="P653" s="43">
        <v>1</v>
      </c>
      <c r="Q653" s="43">
        <v>1</v>
      </c>
      <c r="R653" s="43">
        <v>1</v>
      </c>
      <c r="S653" s="45"/>
      <c r="T653" t="b">
        <f>(S653+S654+S655)=S2</f>
        <v>0</v>
      </c>
      <c r="X653" s="1">
        <v>0</v>
      </c>
      <c r="Y653" s="48">
        <v>0</v>
      </c>
      <c r="AA653" s="1">
        <v>4</v>
      </c>
      <c r="AB653" s="1" t="s">
        <v>14</v>
      </c>
      <c r="AC653" s="1" t="s">
        <v>20</v>
      </c>
      <c r="AD653" s="1">
        <v>14</v>
      </c>
      <c r="AE653" s="1">
        <v>12</v>
      </c>
      <c r="AF653" s="1">
        <v>0.8</v>
      </c>
      <c r="AG653" s="1">
        <v>0.88</v>
      </c>
      <c r="AH653" s="1">
        <v>0</v>
      </c>
      <c r="AI653" s="1">
        <v>0</v>
      </c>
      <c r="AJ653" s="1">
        <f t="shared" si="56"/>
        <v>0</v>
      </c>
      <c r="AK653" s="1">
        <f>C71</f>
        <v>0</v>
      </c>
      <c r="AL653" s="1">
        <f>C77</f>
        <v>0</v>
      </c>
      <c r="AM653" s="1">
        <f t="shared" si="57"/>
        <v>0</v>
      </c>
      <c r="AN653" s="1">
        <f t="shared" si="58"/>
        <v>0</v>
      </c>
      <c r="AO653" s="1">
        <f t="shared" si="59"/>
        <v>0</v>
      </c>
      <c r="AP653" t="b" cm="1">
        <f t="array" ref="AP653">INDEX($AU$8:$BB$25,6*(R653-1)+MATCH(AB653,$AS$8:$AS$13,0),MATCH(O653,$AU$7:$BB$7,0))</f>
        <v>1</v>
      </c>
    </row>
    <row r="654" spans="15:42" ht="14.25" x14ac:dyDescent="0.45">
      <c r="O654" s="43" t="s">
        <v>34</v>
      </c>
      <c r="P654" s="43">
        <v>1</v>
      </c>
      <c r="Q654" s="43">
        <v>1</v>
      </c>
      <c r="R654" s="43">
        <v>2</v>
      </c>
      <c r="S654" s="45"/>
      <c r="T654" t="b">
        <f>(S653+S654+S655)=S2</f>
        <v>0</v>
      </c>
      <c r="X654" s="1">
        <v>0</v>
      </c>
      <c r="Y654" s="48">
        <v>0</v>
      </c>
      <c r="AA654" s="1">
        <v>4</v>
      </c>
      <c r="AB654" s="1" t="s">
        <v>14</v>
      </c>
      <c r="AC654" s="1" t="s">
        <v>20</v>
      </c>
      <c r="AD654" s="1">
        <v>14</v>
      </c>
      <c r="AE654" s="1">
        <v>12</v>
      </c>
      <c r="AF654" s="1">
        <v>0.8</v>
      </c>
      <c r="AG654" s="1">
        <v>0.88</v>
      </c>
      <c r="AH654" s="1">
        <v>0</v>
      </c>
      <c r="AI654" s="1">
        <v>0</v>
      </c>
      <c r="AJ654" s="1">
        <f t="shared" si="56"/>
        <v>0</v>
      </c>
      <c r="AK654" s="1">
        <f>D71</f>
        <v>0</v>
      </c>
      <c r="AL654" s="1">
        <f>D77</f>
        <v>0</v>
      </c>
      <c r="AM654" s="1">
        <f t="shared" si="57"/>
        <v>0</v>
      </c>
      <c r="AN654" s="1">
        <f t="shared" si="58"/>
        <v>0</v>
      </c>
      <c r="AO654" s="1">
        <f t="shared" si="59"/>
        <v>0</v>
      </c>
      <c r="AP654" t="b" cm="1">
        <f t="array" ref="AP654">INDEX($AU$8:$BB$25,6*(R654-1)+MATCH(AB654,$AS$8:$AS$13,0),MATCH(O654,$AU$7:$BB$7,0))</f>
        <v>1</v>
      </c>
    </row>
    <row r="655" spans="15:42" ht="14.25" x14ac:dyDescent="0.45">
      <c r="O655" s="43" t="s">
        <v>34</v>
      </c>
      <c r="P655" s="43">
        <v>1</v>
      </c>
      <c r="Q655" s="43">
        <v>1</v>
      </c>
      <c r="R655" s="43">
        <v>3</v>
      </c>
      <c r="S655" s="45"/>
      <c r="T655" t="b">
        <f>(S653+S654+S655)=S2</f>
        <v>0</v>
      </c>
      <c r="X655" s="1">
        <v>0</v>
      </c>
      <c r="Y655" s="48">
        <v>0</v>
      </c>
      <c r="AA655" s="1">
        <v>4</v>
      </c>
      <c r="AB655" s="1" t="s">
        <v>14</v>
      </c>
      <c r="AC655" s="1" t="s">
        <v>20</v>
      </c>
      <c r="AD655" s="1">
        <v>14</v>
      </c>
      <c r="AE655" s="1">
        <v>12</v>
      </c>
      <c r="AF655" s="1">
        <v>0.8</v>
      </c>
      <c r="AG655" s="1">
        <v>0.88</v>
      </c>
      <c r="AH655" s="1">
        <v>0</v>
      </c>
      <c r="AI655" s="1">
        <v>0</v>
      </c>
      <c r="AJ655" s="1">
        <f t="shared" si="56"/>
        <v>0</v>
      </c>
      <c r="AK655" s="1">
        <f>E71</f>
        <v>0</v>
      </c>
      <c r="AL655" s="1">
        <f>E77</f>
        <v>0</v>
      </c>
      <c r="AM655" s="1">
        <f t="shared" si="57"/>
        <v>0</v>
      </c>
      <c r="AN655" s="1">
        <f t="shared" si="58"/>
        <v>0</v>
      </c>
      <c r="AO655" s="1">
        <f t="shared" si="59"/>
        <v>0</v>
      </c>
      <c r="AP655" t="b" cm="1">
        <f t="array" ref="AP655">INDEX($AU$8:$BB$25,6*(R655-1)+MATCH(AB655,$AS$8:$AS$13,0),MATCH(O655,$AU$7:$BB$7,0))</f>
        <v>1</v>
      </c>
    </row>
    <row r="656" spans="15:42" ht="14.25" x14ac:dyDescent="0.45">
      <c r="O656" s="43" t="s">
        <v>34</v>
      </c>
      <c r="P656" s="43">
        <v>1</v>
      </c>
      <c r="Q656" s="43">
        <v>2</v>
      </c>
      <c r="R656" s="43">
        <v>1</v>
      </c>
      <c r="S656" s="45"/>
      <c r="T656" t="b">
        <f>(S656+S657+S658)=S2</f>
        <v>0</v>
      </c>
      <c r="X656" s="1">
        <f>MAX(S653-S656,0)</f>
        <v>0</v>
      </c>
      <c r="Y656" s="48">
        <v>0</v>
      </c>
      <c r="AA656" s="1">
        <v>10</v>
      </c>
      <c r="AB656" s="1" t="s">
        <v>16</v>
      </c>
      <c r="AC656" s="1" t="s">
        <v>22</v>
      </c>
      <c r="AD656" s="1">
        <v>25</v>
      </c>
      <c r="AE656" s="1">
        <v>21</v>
      </c>
      <c r="AF656" s="1">
        <v>0.8</v>
      </c>
      <c r="AG656" s="1">
        <v>0.9</v>
      </c>
      <c r="AH656" s="1">
        <v>0</v>
      </c>
      <c r="AI656" s="1">
        <v>0</v>
      </c>
      <c r="AJ656" s="1">
        <f t="shared" si="56"/>
        <v>0</v>
      </c>
      <c r="AK656" s="1">
        <f>C73</f>
        <v>0</v>
      </c>
      <c r="AL656" s="1">
        <f>C79</f>
        <v>0</v>
      </c>
      <c r="AM656" s="1">
        <f t="shared" si="57"/>
        <v>0</v>
      </c>
      <c r="AN656" s="1">
        <f t="shared" si="58"/>
        <v>0</v>
      </c>
      <c r="AO656" s="1">
        <f t="shared" si="59"/>
        <v>0</v>
      </c>
      <c r="AP656" t="b" cm="1">
        <f t="array" ref="AP656">INDEX($AU$8:$BB$25,6*(R656-1)+MATCH(AB656,$AS$8:$AS$13,0),MATCH(O656,$AU$7:$BB$7,0))</f>
        <v>1</v>
      </c>
    </row>
    <row r="657" spans="15:42" ht="14.25" x14ac:dyDescent="0.45">
      <c r="O657" s="43" t="s">
        <v>34</v>
      </c>
      <c r="P657" s="43">
        <v>1</v>
      </c>
      <c r="Q657" s="43">
        <v>2</v>
      </c>
      <c r="R657" s="43">
        <v>2</v>
      </c>
      <c r="S657" s="45"/>
      <c r="T657" t="b">
        <f>(S656+S657+S658)=S2</f>
        <v>0</v>
      </c>
      <c r="X657" s="1">
        <f t="shared" ref="X657:X685" si="60">MAX(S654-S657,0)</f>
        <v>0</v>
      </c>
      <c r="Y657" s="48">
        <v>0</v>
      </c>
      <c r="AA657" s="1">
        <v>10</v>
      </c>
      <c r="AB657" s="1" t="s">
        <v>16</v>
      </c>
      <c r="AC657" s="1" t="s">
        <v>22</v>
      </c>
      <c r="AD657" s="1">
        <v>25</v>
      </c>
      <c r="AE657" s="1">
        <v>21</v>
      </c>
      <c r="AF657" s="1">
        <v>0.8</v>
      </c>
      <c r="AG657" s="1">
        <v>0.9</v>
      </c>
      <c r="AH657" s="1">
        <v>0</v>
      </c>
      <c r="AI657" s="1">
        <v>0</v>
      </c>
      <c r="AJ657" s="1">
        <f t="shared" si="56"/>
        <v>0</v>
      </c>
      <c r="AK657" s="1">
        <f>D73</f>
        <v>0</v>
      </c>
      <c r="AL657" s="1">
        <f>D79</f>
        <v>0</v>
      </c>
      <c r="AM657" s="1">
        <f t="shared" si="57"/>
        <v>0</v>
      </c>
      <c r="AN657" s="1">
        <f t="shared" si="58"/>
        <v>0</v>
      </c>
      <c r="AO657" s="1">
        <f t="shared" si="59"/>
        <v>0</v>
      </c>
      <c r="AP657" t="b" cm="1">
        <f t="array" ref="AP657">INDEX($AU$8:$BB$25,6*(R657-1)+MATCH(AB657,$AS$8:$AS$13,0),MATCH(O657,$AU$7:$BB$7,0))</f>
        <v>1</v>
      </c>
    </row>
    <row r="658" spans="15:42" ht="14.25" x14ac:dyDescent="0.45">
      <c r="O658" s="43" t="s">
        <v>34</v>
      </c>
      <c r="P658" s="43">
        <v>1</v>
      </c>
      <c r="Q658" s="43">
        <v>2</v>
      </c>
      <c r="R658" s="43">
        <v>3</v>
      </c>
      <c r="S658" s="45"/>
      <c r="T658" t="b">
        <f>(S656+S657+S658)=S2</f>
        <v>0</v>
      </c>
      <c r="X658" s="1">
        <f t="shared" si="60"/>
        <v>0</v>
      </c>
      <c r="Y658" s="48">
        <v>0</v>
      </c>
      <c r="AA658" s="1">
        <v>10</v>
      </c>
      <c r="AB658" s="1" t="s">
        <v>16</v>
      </c>
      <c r="AC658" s="1" t="s">
        <v>22</v>
      </c>
      <c r="AD658" s="1">
        <v>25</v>
      </c>
      <c r="AE658" s="1">
        <v>21</v>
      </c>
      <c r="AF658" s="1">
        <v>0.8</v>
      </c>
      <c r="AG658" s="1">
        <v>0.9</v>
      </c>
      <c r="AH658" s="1">
        <v>0</v>
      </c>
      <c r="AI658" s="1">
        <v>0</v>
      </c>
      <c r="AJ658" s="1">
        <f t="shared" si="56"/>
        <v>0</v>
      </c>
      <c r="AK658" s="1">
        <f>E73</f>
        <v>0</v>
      </c>
      <c r="AL658" s="1">
        <f>E79</f>
        <v>0</v>
      </c>
      <c r="AM658" s="1">
        <f t="shared" si="57"/>
        <v>0</v>
      </c>
      <c r="AN658" s="1">
        <f t="shared" si="58"/>
        <v>0</v>
      </c>
      <c r="AO658" s="1">
        <f t="shared" si="59"/>
        <v>0</v>
      </c>
      <c r="AP658" t="b" cm="1">
        <f t="array" ref="AP658">INDEX($AU$8:$BB$25,6*(R658-1)+MATCH(AB658,$AS$8:$AS$13,0),MATCH(O658,$AU$7:$BB$7,0))</f>
        <v>1</v>
      </c>
    </row>
    <row r="659" spans="15:42" ht="14.25" x14ac:dyDescent="0.45">
      <c r="O659" s="43" t="s">
        <v>34</v>
      </c>
      <c r="P659" s="43">
        <v>1</v>
      </c>
      <c r="Q659" s="43">
        <v>3</v>
      </c>
      <c r="R659" s="43">
        <v>1</v>
      </c>
      <c r="S659" s="45"/>
      <c r="T659" t="b">
        <f>(S659+S660+S661)=S2</f>
        <v>0</v>
      </c>
      <c r="X659" s="1">
        <f t="shared" si="60"/>
        <v>0</v>
      </c>
      <c r="Y659" s="48">
        <v>0</v>
      </c>
      <c r="AA659" s="1">
        <v>8</v>
      </c>
      <c r="AB659" s="1" t="s">
        <v>16</v>
      </c>
      <c r="AC659" s="1" t="s">
        <v>22</v>
      </c>
      <c r="AD659" s="1">
        <v>27</v>
      </c>
      <c r="AE659" s="1">
        <v>23</v>
      </c>
      <c r="AF659" s="1">
        <v>0.8</v>
      </c>
      <c r="AG659" s="1">
        <v>0.9</v>
      </c>
      <c r="AH659" s="1">
        <v>0</v>
      </c>
      <c r="AI659" s="1">
        <v>0</v>
      </c>
      <c r="AJ659" s="1">
        <f t="shared" si="56"/>
        <v>0</v>
      </c>
      <c r="AK659" s="1">
        <f>C73</f>
        <v>0</v>
      </c>
      <c r="AL659" s="1">
        <f>C79</f>
        <v>0</v>
      </c>
      <c r="AM659" s="1">
        <f t="shared" si="57"/>
        <v>0</v>
      </c>
      <c r="AN659" s="1">
        <f t="shared" si="58"/>
        <v>0</v>
      </c>
      <c r="AO659" s="1">
        <f t="shared" si="59"/>
        <v>0</v>
      </c>
      <c r="AP659" t="b" cm="1">
        <f t="array" ref="AP659">INDEX($AU$8:$BB$25,6*(R659-1)+MATCH(AB659,$AS$8:$AS$13,0),MATCH(O659,$AU$7:$BB$7,0))</f>
        <v>1</v>
      </c>
    </row>
    <row r="660" spans="15:42" ht="14.25" x14ac:dyDescent="0.45">
      <c r="O660" s="43" t="s">
        <v>34</v>
      </c>
      <c r="P660" s="43">
        <v>1</v>
      </c>
      <c r="Q660" s="43">
        <v>3</v>
      </c>
      <c r="R660" s="43">
        <v>2</v>
      </c>
      <c r="S660" s="45"/>
      <c r="T660" t="b">
        <f>(S659+S660+S661)=S2</f>
        <v>0</v>
      </c>
      <c r="X660" s="1">
        <f t="shared" si="60"/>
        <v>0</v>
      </c>
      <c r="Y660" s="48">
        <v>0</v>
      </c>
      <c r="AA660" s="1">
        <v>8</v>
      </c>
      <c r="AB660" s="1" t="s">
        <v>16</v>
      </c>
      <c r="AC660" s="1" t="s">
        <v>22</v>
      </c>
      <c r="AD660" s="1">
        <v>27</v>
      </c>
      <c r="AE660" s="1">
        <v>23</v>
      </c>
      <c r="AF660" s="1">
        <v>0.8</v>
      </c>
      <c r="AG660" s="1">
        <v>0.9</v>
      </c>
      <c r="AH660" s="1">
        <v>0</v>
      </c>
      <c r="AI660" s="1">
        <v>0</v>
      </c>
      <c r="AJ660" s="1">
        <f t="shared" si="56"/>
        <v>0</v>
      </c>
      <c r="AK660" s="1">
        <f>D73</f>
        <v>0</v>
      </c>
      <c r="AL660" s="1">
        <f>D79</f>
        <v>0</v>
      </c>
      <c r="AM660" s="1">
        <f t="shared" si="57"/>
        <v>0</v>
      </c>
      <c r="AN660" s="1">
        <f t="shared" si="58"/>
        <v>0</v>
      </c>
      <c r="AO660" s="1">
        <f t="shared" si="59"/>
        <v>0</v>
      </c>
      <c r="AP660" t="b" cm="1">
        <f t="array" ref="AP660">INDEX($AU$8:$BB$25,6*(R660-1)+MATCH(AB660,$AS$8:$AS$13,0),MATCH(O660,$AU$7:$BB$7,0))</f>
        <v>1</v>
      </c>
    </row>
    <row r="661" spans="15:42" ht="14.25" x14ac:dyDescent="0.45">
      <c r="O661" s="43" t="s">
        <v>34</v>
      </c>
      <c r="P661" s="43">
        <v>1</v>
      </c>
      <c r="Q661" s="43">
        <v>3</v>
      </c>
      <c r="R661" s="43">
        <v>3</v>
      </c>
      <c r="S661" s="45"/>
      <c r="T661" t="b">
        <f>(S659+S660+S661)=S2</f>
        <v>0</v>
      </c>
      <c r="X661" s="1">
        <f t="shared" si="60"/>
        <v>0</v>
      </c>
      <c r="Y661" s="48">
        <v>0</v>
      </c>
      <c r="AA661" s="1">
        <v>8</v>
      </c>
      <c r="AB661" s="1" t="s">
        <v>16</v>
      </c>
      <c r="AC661" s="1" t="s">
        <v>22</v>
      </c>
      <c r="AD661" s="1">
        <v>27</v>
      </c>
      <c r="AE661" s="1">
        <v>23</v>
      </c>
      <c r="AF661" s="1">
        <v>0.8</v>
      </c>
      <c r="AG661" s="1">
        <v>0.9</v>
      </c>
      <c r="AH661" s="1">
        <v>0</v>
      </c>
      <c r="AI661" s="1">
        <v>0</v>
      </c>
      <c r="AJ661" s="1">
        <f t="shared" si="56"/>
        <v>0</v>
      </c>
      <c r="AK661" s="1">
        <f>E73</f>
        <v>0</v>
      </c>
      <c r="AL661" s="1">
        <f>E79</f>
        <v>0</v>
      </c>
      <c r="AM661" s="1">
        <f t="shared" si="57"/>
        <v>0</v>
      </c>
      <c r="AN661" s="1">
        <f t="shared" si="58"/>
        <v>0</v>
      </c>
      <c r="AO661" s="1">
        <f t="shared" si="59"/>
        <v>0</v>
      </c>
      <c r="AP661" t="b" cm="1">
        <f t="array" ref="AP661">INDEX($AU$8:$BB$25,6*(R661-1)+MATCH(AB661,$AS$8:$AS$13,0),MATCH(O661,$AU$7:$BB$7,0))</f>
        <v>1</v>
      </c>
    </row>
    <row r="662" spans="15:42" ht="14.25" x14ac:dyDescent="0.45">
      <c r="O662" s="43" t="s">
        <v>34</v>
      </c>
      <c r="P662" s="43">
        <v>1</v>
      </c>
      <c r="Q662" s="43">
        <v>4</v>
      </c>
      <c r="R662" s="43">
        <v>1</v>
      </c>
      <c r="S662" s="45"/>
      <c r="T662" t="b">
        <f>(S662+S663+S664)=S2</f>
        <v>0</v>
      </c>
      <c r="X662" s="1">
        <f t="shared" si="60"/>
        <v>0</v>
      </c>
      <c r="Y662" s="48">
        <v>0</v>
      </c>
      <c r="AA662" s="1">
        <v>3</v>
      </c>
      <c r="AB662" s="1" t="s">
        <v>10</v>
      </c>
      <c r="AC662" s="1" t="s">
        <v>17</v>
      </c>
      <c r="AD662" s="1">
        <v>20</v>
      </c>
      <c r="AE662" s="1">
        <v>16</v>
      </c>
      <c r="AF662" s="1">
        <v>0.78</v>
      </c>
      <c r="AG662" s="1">
        <v>0.84</v>
      </c>
      <c r="AH662" s="1">
        <v>0</v>
      </c>
      <c r="AI662" s="1">
        <v>0</v>
      </c>
      <c r="AJ662" s="1">
        <f t="shared" si="56"/>
        <v>0</v>
      </c>
      <c r="AK662" s="1">
        <f>C68</f>
        <v>0</v>
      </c>
      <c r="AL662" s="1">
        <f>C74</f>
        <v>0</v>
      </c>
      <c r="AM662" s="1">
        <f t="shared" si="57"/>
        <v>0</v>
      </c>
      <c r="AN662" s="1">
        <f t="shared" si="58"/>
        <v>0</v>
      </c>
      <c r="AO662" s="1">
        <f t="shared" si="59"/>
        <v>0</v>
      </c>
      <c r="AP662" t="b" cm="1">
        <f t="array" ref="AP662">INDEX($AU$8:$BB$25,6*(R662-1)+MATCH(AB662,$AS$8:$AS$13,0),MATCH(O662,$AU$7:$BB$7,0))</f>
        <v>1</v>
      </c>
    </row>
    <row r="663" spans="15:42" ht="14.25" x14ac:dyDescent="0.45">
      <c r="O663" s="43" t="s">
        <v>34</v>
      </c>
      <c r="P663" s="43">
        <v>1</v>
      </c>
      <c r="Q663" s="43">
        <v>4</v>
      </c>
      <c r="R663" s="43">
        <v>2</v>
      </c>
      <c r="S663" s="45"/>
      <c r="T663" t="b">
        <f>(S662+S663+S664)=S2</f>
        <v>0</v>
      </c>
      <c r="X663" s="1">
        <f t="shared" si="60"/>
        <v>0</v>
      </c>
      <c r="Y663" s="48">
        <v>0</v>
      </c>
      <c r="AA663" s="1">
        <v>3</v>
      </c>
      <c r="AB663" s="1" t="s">
        <v>10</v>
      </c>
      <c r="AC663" s="1" t="s">
        <v>17</v>
      </c>
      <c r="AD663" s="1">
        <v>20</v>
      </c>
      <c r="AE663" s="1">
        <v>16</v>
      </c>
      <c r="AF663" s="1">
        <v>0.78</v>
      </c>
      <c r="AG663" s="1">
        <v>0.84</v>
      </c>
      <c r="AH663" s="1">
        <v>0</v>
      </c>
      <c r="AI663" s="1">
        <v>0</v>
      </c>
      <c r="AJ663" s="1">
        <f t="shared" si="56"/>
        <v>0</v>
      </c>
      <c r="AK663" s="1">
        <f>D68</f>
        <v>0</v>
      </c>
      <c r="AL663" s="1">
        <f>D74</f>
        <v>0</v>
      </c>
      <c r="AM663" s="1">
        <f t="shared" si="57"/>
        <v>0</v>
      </c>
      <c r="AN663" s="1">
        <f t="shared" si="58"/>
        <v>0</v>
      </c>
      <c r="AO663" s="1">
        <f t="shared" si="59"/>
        <v>0</v>
      </c>
      <c r="AP663" t="b" cm="1">
        <f t="array" ref="AP663">INDEX($AU$8:$BB$25,6*(R663-1)+MATCH(AB663,$AS$8:$AS$13,0),MATCH(O663,$AU$7:$BB$7,0))</f>
        <v>1</v>
      </c>
    </row>
    <row r="664" spans="15:42" ht="14.25" x14ac:dyDescent="0.45">
      <c r="O664" s="43" t="s">
        <v>34</v>
      </c>
      <c r="P664" s="43">
        <v>1</v>
      </c>
      <c r="Q664" s="43">
        <v>4</v>
      </c>
      <c r="R664" s="43">
        <v>3</v>
      </c>
      <c r="S664" s="45"/>
      <c r="T664" t="b">
        <f>(S662+S663+S664)=S2</f>
        <v>0</v>
      </c>
      <c r="X664" s="1">
        <f t="shared" si="60"/>
        <v>0</v>
      </c>
      <c r="Y664" s="48">
        <v>0</v>
      </c>
      <c r="AA664" s="1">
        <v>3</v>
      </c>
      <c r="AB664" s="1" t="s">
        <v>10</v>
      </c>
      <c r="AC664" s="1" t="s">
        <v>17</v>
      </c>
      <c r="AD664" s="1">
        <v>20</v>
      </c>
      <c r="AE664" s="1">
        <v>16</v>
      </c>
      <c r="AF664" s="1">
        <v>0.78</v>
      </c>
      <c r="AG664" s="1">
        <v>0.84</v>
      </c>
      <c r="AH664" s="1">
        <v>0</v>
      </c>
      <c r="AI664" s="1">
        <v>0</v>
      </c>
      <c r="AJ664" s="1">
        <f t="shared" si="56"/>
        <v>0</v>
      </c>
      <c r="AK664" s="1">
        <f>E68</f>
        <v>0</v>
      </c>
      <c r="AL664" s="1">
        <f>E74</f>
        <v>0</v>
      </c>
      <c r="AM664" s="1">
        <f t="shared" si="57"/>
        <v>0</v>
      </c>
      <c r="AN664" s="1">
        <f t="shared" si="58"/>
        <v>0</v>
      </c>
      <c r="AO664" s="1">
        <f t="shared" si="59"/>
        <v>0</v>
      </c>
      <c r="AP664" t="b" cm="1">
        <f t="array" ref="AP664">INDEX($AU$8:$BB$25,6*(R664-1)+MATCH(AB664,$AS$8:$AS$13,0),MATCH(O664,$AU$7:$BB$7,0))</f>
        <v>1</v>
      </c>
    </row>
    <row r="665" spans="15:42" ht="14.25" x14ac:dyDescent="0.45">
      <c r="O665" s="43" t="s">
        <v>34</v>
      </c>
      <c r="P665" s="43">
        <v>1</v>
      </c>
      <c r="Q665" s="43">
        <v>5</v>
      </c>
      <c r="R665" s="43">
        <v>1</v>
      </c>
      <c r="S665" s="45"/>
      <c r="T665" t="b">
        <f>(S665+S666+S667)=S2</f>
        <v>0</v>
      </c>
      <c r="X665" s="1">
        <f t="shared" si="60"/>
        <v>0</v>
      </c>
      <c r="Y665" s="48">
        <v>0</v>
      </c>
      <c r="AA665" s="1">
        <v>11</v>
      </c>
      <c r="AB665" s="1" t="s">
        <v>16</v>
      </c>
      <c r="AC665" s="1" t="s">
        <v>22</v>
      </c>
      <c r="AD665" s="1">
        <v>12</v>
      </c>
      <c r="AE665" s="1">
        <v>9</v>
      </c>
      <c r="AF665" s="1">
        <v>0.8</v>
      </c>
      <c r="AG665" s="1">
        <v>0.9</v>
      </c>
      <c r="AH665" s="1">
        <v>0</v>
      </c>
      <c r="AI665" s="1">
        <v>0</v>
      </c>
      <c r="AJ665" s="1">
        <f t="shared" si="56"/>
        <v>0</v>
      </c>
      <c r="AK665" s="1">
        <f>C73</f>
        <v>0</v>
      </c>
      <c r="AL665" s="1">
        <f>C79</f>
        <v>0</v>
      </c>
      <c r="AM665" s="1">
        <f t="shared" si="57"/>
        <v>0</v>
      </c>
      <c r="AN665" s="1">
        <f t="shared" si="58"/>
        <v>0</v>
      </c>
      <c r="AO665" s="1">
        <f t="shared" si="59"/>
        <v>0</v>
      </c>
      <c r="AP665" t="b" cm="1">
        <f t="array" ref="AP665">INDEX($AU$8:$BB$25,6*(R665-1)+MATCH(AB665,$AS$8:$AS$13,0),MATCH(O665,$AU$7:$BB$7,0))</f>
        <v>1</v>
      </c>
    </row>
    <row r="666" spans="15:42" ht="14.25" x14ac:dyDescent="0.45">
      <c r="O666" s="43" t="s">
        <v>34</v>
      </c>
      <c r="P666" s="43">
        <v>1</v>
      </c>
      <c r="Q666" s="43">
        <v>5</v>
      </c>
      <c r="R666" s="43">
        <v>2</v>
      </c>
      <c r="S666" s="45"/>
      <c r="T666" t="b">
        <f>(S665+S666+S667)=S2</f>
        <v>0</v>
      </c>
      <c r="X666" s="1">
        <f t="shared" si="60"/>
        <v>0</v>
      </c>
      <c r="Y666" s="48">
        <v>0</v>
      </c>
      <c r="AA666" s="1">
        <v>11</v>
      </c>
      <c r="AB666" s="1" t="s">
        <v>16</v>
      </c>
      <c r="AC666" s="1" t="s">
        <v>22</v>
      </c>
      <c r="AD666" s="1">
        <v>12</v>
      </c>
      <c r="AE666" s="1">
        <v>9</v>
      </c>
      <c r="AF666" s="1">
        <v>0.8</v>
      </c>
      <c r="AG666" s="1">
        <v>0.9</v>
      </c>
      <c r="AH666" s="1">
        <v>0</v>
      </c>
      <c r="AI666" s="1">
        <v>0</v>
      </c>
      <c r="AJ666" s="1">
        <f t="shared" si="56"/>
        <v>0</v>
      </c>
      <c r="AK666" s="1">
        <f>D73</f>
        <v>0</v>
      </c>
      <c r="AL666" s="1">
        <f>D79</f>
        <v>0</v>
      </c>
      <c r="AM666" s="1">
        <f t="shared" si="57"/>
        <v>0</v>
      </c>
      <c r="AN666" s="1">
        <f t="shared" si="58"/>
        <v>0</v>
      </c>
      <c r="AO666" s="1">
        <f t="shared" si="59"/>
        <v>0</v>
      </c>
      <c r="AP666" t="b" cm="1">
        <f t="array" ref="AP666">INDEX($AU$8:$BB$25,6*(R666-1)+MATCH(AB666,$AS$8:$AS$13,0),MATCH(O666,$AU$7:$BB$7,0))</f>
        <v>1</v>
      </c>
    </row>
    <row r="667" spans="15:42" ht="14.25" x14ac:dyDescent="0.45">
      <c r="O667" s="43" t="s">
        <v>34</v>
      </c>
      <c r="P667" s="43">
        <v>1</v>
      </c>
      <c r="Q667" s="43">
        <v>5</v>
      </c>
      <c r="R667" s="43">
        <v>3</v>
      </c>
      <c r="S667" s="45"/>
      <c r="T667" t="b">
        <f>(S665+S666+S667)=S2</f>
        <v>0</v>
      </c>
      <c r="X667" s="1">
        <f t="shared" si="60"/>
        <v>0</v>
      </c>
      <c r="Y667" s="48">
        <v>0</v>
      </c>
      <c r="AA667" s="1">
        <v>11</v>
      </c>
      <c r="AB667" s="1" t="s">
        <v>16</v>
      </c>
      <c r="AC667" s="1" t="s">
        <v>22</v>
      </c>
      <c r="AD667" s="1">
        <v>12</v>
      </c>
      <c r="AE667" s="1">
        <v>9</v>
      </c>
      <c r="AF667" s="1">
        <v>0.8</v>
      </c>
      <c r="AG667" s="1">
        <v>0.9</v>
      </c>
      <c r="AH667" s="1">
        <v>0</v>
      </c>
      <c r="AI667" s="1">
        <v>0</v>
      </c>
      <c r="AJ667" s="1">
        <f t="shared" si="56"/>
        <v>0</v>
      </c>
      <c r="AK667" s="1">
        <f>E73</f>
        <v>0</v>
      </c>
      <c r="AL667" s="1">
        <f>E79</f>
        <v>0</v>
      </c>
      <c r="AM667" s="1">
        <f t="shared" si="57"/>
        <v>0</v>
      </c>
      <c r="AN667" s="1">
        <f t="shared" si="58"/>
        <v>0</v>
      </c>
      <c r="AO667" s="1">
        <f t="shared" si="59"/>
        <v>0</v>
      </c>
      <c r="AP667" t="b" cm="1">
        <f t="array" ref="AP667">INDEX($AU$8:$BB$25,6*(R667-1)+MATCH(AB667,$AS$8:$AS$13,0),MATCH(O667,$AU$7:$BB$7,0))</f>
        <v>1</v>
      </c>
    </row>
    <row r="668" spans="15:42" ht="14.25" x14ac:dyDescent="0.45">
      <c r="O668" s="43" t="s">
        <v>34</v>
      </c>
      <c r="P668" s="43">
        <v>1</v>
      </c>
      <c r="Q668" s="43">
        <v>6</v>
      </c>
      <c r="R668" s="43">
        <v>1</v>
      </c>
      <c r="S668" s="45"/>
      <c r="T668" t="b">
        <f>(S668+S669+S670)=S2</f>
        <v>0</v>
      </c>
      <c r="X668" s="1">
        <f t="shared" si="60"/>
        <v>0</v>
      </c>
      <c r="Y668" s="48">
        <v>0</v>
      </c>
      <c r="AA668" s="1">
        <v>7</v>
      </c>
      <c r="AB668" s="1" t="s">
        <v>14</v>
      </c>
      <c r="AC668" s="1" t="s">
        <v>20</v>
      </c>
      <c r="AD668" s="1">
        <v>27</v>
      </c>
      <c r="AE668" s="1">
        <v>21</v>
      </c>
      <c r="AF668" s="1">
        <v>0.8</v>
      </c>
      <c r="AG668" s="1">
        <v>0.88</v>
      </c>
      <c r="AH668" s="1">
        <v>0</v>
      </c>
      <c r="AI668" s="1">
        <v>0</v>
      </c>
      <c r="AJ668" s="1">
        <f t="shared" si="56"/>
        <v>0</v>
      </c>
      <c r="AK668" s="1">
        <f>C71</f>
        <v>0</v>
      </c>
      <c r="AL668" s="1">
        <f>C77</f>
        <v>0</v>
      </c>
      <c r="AM668" s="1">
        <f t="shared" si="57"/>
        <v>0</v>
      </c>
      <c r="AN668" s="1">
        <f t="shared" si="58"/>
        <v>0</v>
      </c>
      <c r="AO668" s="1">
        <f t="shared" si="59"/>
        <v>0</v>
      </c>
      <c r="AP668" t="b" cm="1">
        <f t="array" ref="AP668">INDEX($AU$8:$BB$25,6*(R668-1)+MATCH(AB668,$AS$8:$AS$13,0),MATCH(O668,$AU$7:$BB$7,0))</f>
        <v>1</v>
      </c>
    </row>
    <row r="669" spans="15:42" ht="14.25" x14ac:dyDescent="0.45">
      <c r="O669" s="43" t="s">
        <v>34</v>
      </c>
      <c r="P669" s="43">
        <v>1</v>
      </c>
      <c r="Q669" s="43">
        <v>6</v>
      </c>
      <c r="R669" s="43">
        <v>2</v>
      </c>
      <c r="S669" s="45"/>
      <c r="T669" t="b">
        <f>(S668+S669+S670)=S2</f>
        <v>0</v>
      </c>
      <c r="X669" s="1">
        <f t="shared" si="60"/>
        <v>0</v>
      </c>
      <c r="Y669" s="48">
        <v>0</v>
      </c>
      <c r="AA669" s="1">
        <v>7</v>
      </c>
      <c r="AB669" s="1" t="s">
        <v>14</v>
      </c>
      <c r="AC669" s="1" t="s">
        <v>20</v>
      </c>
      <c r="AD669" s="1">
        <v>27</v>
      </c>
      <c r="AE669" s="1">
        <v>21</v>
      </c>
      <c r="AF669" s="1">
        <v>0.8</v>
      </c>
      <c r="AG669" s="1">
        <v>0.88</v>
      </c>
      <c r="AH669" s="1">
        <v>0</v>
      </c>
      <c r="AI669" s="1">
        <v>0</v>
      </c>
      <c r="AJ669" s="1">
        <f t="shared" si="56"/>
        <v>0</v>
      </c>
      <c r="AK669" s="1">
        <f>D71</f>
        <v>0</v>
      </c>
      <c r="AL669" s="1">
        <f>D77</f>
        <v>0</v>
      </c>
      <c r="AM669" s="1">
        <f t="shared" si="57"/>
        <v>0</v>
      </c>
      <c r="AN669" s="1">
        <f t="shared" si="58"/>
        <v>0</v>
      </c>
      <c r="AO669" s="1">
        <f t="shared" si="59"/>
        <v>0</v>
      </c>
      <c r="AP669" t="b" cm="1">
        <f t="array" ref="AP669">INDEX($AU$8:$BB$25,6*(R669-1)+MATCH(AB669,$AS$8:$AS$13,0),MATCH(O669,$AU$7:$BB$7,0))</f>
        <v>1</v>
      </c>
    </row>
    <row r="670" spans="15:42" ht="14.25" x14ac:dyDescent="0.45">
      <c r="O670" s="43" t="s">
        <v>34</v>
      </c>
      <c r="P670" s="43">
        <v>1</v>
      </c>
      <c r="Q670" s="43">
        <v>6</v>
      </c>
      <c r="R670" s="43">
        <v>3</v>
      </c>
      <c r="S670" s="45"/>
      <c r="T670" t="b">
        <f>(S668+S669+S670)=S2</f>
        <v>0</v>
      </c>
      <c r="X670" s="1">
        <f t="shared" si="60"/>
        <v>0</v>
      </c>
      <c r="Y670" s="48">
        <v>0</v>
      </c>
      <c r="AA670" s="1">
        <v>7</v>
      </c>
      <c r="AB670" s="1" t="s">
        <v>14</v>
      </c>
      <c r="AC670" s="1" t="s">
        <v>20</v>
      </c>
      <c r="AD670" s="1">
        <v>27</v>
      </c>
      <c r="AE670" s="1">
        <v>21</v>
      </c>
      <c r="AF670" s="1">
        <v>0.8</v>
      </c>
      <c r="AG670" s="1">
        <v>0.88</v>
      </c>
      <c r="AH670" s="1">
        <v>0</v>
      </c>
      <c r="AI670" s="1">
        <v>0</v>
      </c>
      <c r="AJ670" s="1">
        <f t="shared" si="56"/>
        <v>0</v>
      </c>
      <c r="AK670" s="1">
        <f>E71</f>
        <v>0</v>
      </c>
      <c r="AL670" s="1">
        <f>E77</f>
        <v>0</v>
      </c>
      <c r="AM670" s="1">
        <f t="shared" si="57"/>
        <v>0</v>
      </c>
      <c r="AN670" s="1">
        <f t="shared" si="58"/>
        <v>0</v>
      </c>
      <c r="AO670" s="1">
        <f t="shared" si="59"/>
        <v>0</v>
      </c>
      <c r="AP670" t="b" cm="1">
        <f t="array" ref="AP670">INDEX($AU$8:$BB$25,6*(R670-1)+MATCH(AB670,$AS$8:$AS$13,0),MATCH(O670,$AU$7:$BB$7,0))</f>
        <v>1</v>
      </c>
    </row>
    <row r="671" spans="15:42" ht="14.25" x14ac:dyDescent="0.45">
      <c r="O671" s="43" t="s">
        <v>34</v>
      </c>
      <c r="P671" s="43">
        <v>1</v>
      </c>
      <c r="Q671" s="43">
        <v>7</v>
      </c>
      <c r="R671" s="43">
        <v>1</v>
      </c>
      <c r="S671" s="45"/>
      <c r="T671" t="b">
        <f>(S671+S672+S673)=S2</f>
        <v>0</v>
      </c>
      <c r="X671" s="1">
        <f t="shared" si="60"/>
        <v>0</v>
      </c>
      <c r="Y671" s="48">
        <v>0</v>
      </c>
      <c r="AA671" s="1">
        <v>9</v>
      </c>
      <c r="AB671" s="1" t="s">
        <v>14</v>
      </c>
      <c r="AC671" s="1" t="s">
        <v>20</v>
      </c>
      <c r="AD671" s="1">
        <v>17</v>
      </c>
      <c r="AE671" s="1">
        <v>13</v>
      </c>
      <c r="AF671" s="1">
        <v>0.8</v>
      </c>
      <c r="AG671" s="1">
        <v>0.88</v>
      </c>
      <c r="AH671" s="1">
        <v>0</v>
      </c>
      <c r="AI671" s="1">
        <v>0</v>
      </c>
      <c r="AJ671" s="1">
        <f t="shared" si="56"/>
        <v>0</v>
      </c>
      <c r="AK671" s="1">
        <f>C71</f>
        <v>0</v>
      </c>
      <c r="AL671" s="1">
        <f>C77</f>
        <v>0</v>
      </c>
      <c r="AM671" s="1">
        <f t="shared" si="57"/>
        <v>0</v>
      </c>
      <c r="AN671" s="1">
        <f t="shared" si="58"/>
        <v>0</v>
      </c>
      <c r="AO671" s="1">
        <f t="shared" si="59"/>
        <v>0</v>
      </c>
      <c r="AP671" t="b" cm="1">
        <f t="array" ref="AP671">INDEX($AU$8:$BB$25,6*(R671-1)+MATCH(AB671,$AS$8:$AS$13,0),MATCH(O671,$AU$7:$BB$7,0))</f>
        <v>1</v>
      </c>
    </row>
    <row r="672" spans="15:42" ht="14.25" x14ac:dyDescent="0.45">
      <c r="O672" s="43" t="s">
        <v>34</v>
      </c>
      <c r="P672" s="43">
        <v>1</v>
      </c>
      <c r="Q672" s="43">
        <v>7</v>
      </c>
      <c r="R672" s="43">
        <v>2</v>
      </c>
      <c r="S672" s="45"/>
      <c r="T672" t="b">
        <f>(S671+S672+S673)=S2</f>
        <v>0</v>
      </c>
      <c r="X672" s="1">
        <f t="shared" si="60"/>
        <v>0</v>
      </c>
      <c r="Y672" s="48">
        <v>0</v>
      </c>
      <c r="AA672" s="1">
        <v>9</v>
      </c>
      <c r="AB672" s="1" t="s">
        <v>14</v>
      </c>
      <c r="AC672" s="1" t="s">
        <v>20</v>
      </c>
      <c r="AD672" s="1">
        <v>17</v>
      </c>
      <c r="AE672" s="1">
        <v>13</v>
      </c>
      <c r="AF672" s="1">
        <v>0.8</v>
      </c>
      <c r="AG672" s="1">
        <v>0.88</v>
      </c>
      <c r="AH672" s="1">
        <v>0</v>
      </c>
      <c r="AI672" s="1">
        <v>0</v>
      </c>
      <c r="AJ672" s="1">
        <f t="shared" si="56"/>
        <v>0</v>
      </c>
      <c r="AK672" s="1">
        <f>D71</f>
        <v>0</v>
      </c>
      <c r="AL672" s="1">
        <f>D77</f>
        <v>0</v>
      </c>
      <c r="AM672" s="1">
        <f t="shared" si="57"/>
        <v>0</v>
      </c>
      <c r="AN672" s="1">
        <f t="shared" si="58"/>
        <v>0</v>
      </c>
      <c r="AO672" s="1">
        <f t="shared" si="59"/>
        <v>0</v>
      </c>
      <c r="AP672" t="b" cm="1">
        <f t="array" ref="AP672">INDEX($AU$8:$BB$25,6*(R672-1)+MATCH(AB672,$AS$8:$AS$13,0),MATCH(O672,$AU$7:$BB$7,0))</f>
        <v>1</v>
      </c>
    </row>
    <row r="673" spans="15:42" ht="14.25" x14ac:dyDescent="0.45">
      <c r="O673" s="43" t="s">
        <v>34</v>
      </c>
      <c r="P673" s="43">
        <v>1</v>
      </c>
      <c r="Q673" s="43">
        <v>7</v>
      </c>
      <c r="R673" s="43">
        <v>3</v>
      </c>
      <c r="S673" s="45"/>
      <c r="T673" t="b">
        <f>(S671+S672+S673)=S2</f>
        <v>0</v>
      </c>
      <c r="X673" s="1">
        <f t="shared" si="60"/>
        <v>0</v>
      </c>
      <c r="Y673" s="48">
        <v>0</v>
      </c>
      <c r="AA673" s="1">
        <v>9</v>
      </c>
      <c r="AB673" s="1" t="s">
        <v>14</v>
      </c>
      <c r="AC673" s="1" t="s">
        <v>20</v>
      </c>
      <c r="AD673" s="1">
        <v>17</v>
      </c>
      <c r="AE673" s="1">
        <v>13</v>
      </c>
      <c r="AF673" s="1">
        <v>0.8</v>
      </c>
      <c r="AG673" s="1">
        <v>0.88</v>
      </c>
      <c r="AH673" s="1">
        <v>0</v>
      </c>
      <c r="AI673" s="1">
        <v>0</v>
      </c>
      <c r="AJ673" s="1">
        <f t="shared" si="56"/>
        <v>0</v>
      </c>
      <c r="AK673" s="1">
        <f>E71</f>
        <v>0</v>
      </c>
      <c r="AL673" s="1">
        <f>E77</f>
        <v>0</v>
      </c>
      <c r="AM673" s="1">
        <f t="shared" si="57"/>
        <v>0</v>
      </c>
      <c r="AN673" s="1">
        <f t="shared" si="58"/>
        <v>0</v>
      </c>
      <c r="AO673" s="1">
        <f t="shared" si="59"/>
        <v>0</v>
      </c>
      <c r="AP673" t="b" cm="1">
        <f t="array" ref="AP673">INDEX($AU$8:$BB$25,6*(R673-1)+MATCH(AB673,$AS$8:$AS$13,0),MATCH(O673,$AU$7:$BB$7,0))</f>
        <v>1</v>
      </c>
    </row>
    <row r="674" spans="15:42" ht="14.25" x14ac:dyDescent="0.45">
      <c r="O674" s="43" t="s">
        <v>34</v>
      </c>
      <c r="P674" s="43">
        <v>1</v>
      </c>
      <c r="Q674" s="43">
        <v>8</v>
      </c>
      <c r="R674" s="43">
        <v>1</v>
      </c>
      <c r="S674" s="45"/>
      <c r="T674" t="b">
        <f>(S674+S675+S676)=S2</f>
        <v>0</v>
      </c>
      <c r="X674" s="1">
        <f t="shared" si="60"/>
        <v>0</v>
      </c>
      <c r="Y674" s="48">
        <v>0</v>
      </c>
      <c r="AA674" s="1">
        <v>1</v>
      </c>
      <c r="AB674" s="1" t="s">
        <v>10</v>
      </c>
      <c r="AC674" s="1" t="s">
        <v>17</v>
      </c>
      <c r="AD674" s="1">
        <v>18</v>
      </c>
      <c r="AE674" s="1">
        <v>16</v>
      </c>
      <c r="AF674" s="1">
        <v>0.78</v>
      </c>
      <c r="AG674" s="1">
        <v>0.84</v>
      </c>
      <c r="AH674" s="1">
        <v>0</v>
      </c>
      <c r="AI674" s="1">
        <v>0</v>
      </c>
      <c r="AJ674" s="1">
        <f t="shared" si="56"/>
        <v>0</v>
      </c>
      <c r="AK674" s="1">
        <f>C68</f>
        <v>0</v>
      </c>
      <c r="AL674" s="1">
        <f>C74</f>
        <v>0</v>
      </c>
      <c r="AM674" s="1">
        <f t="shared" si="57"/>
        <v>0</v>
      </c>
      <c r="AN674" s="1">
        <f t="shared" si="58"/>
        <v>0</v>
      </c>
      <c r="AO674" s="1">
        <f t="shared" si="59"/>
        <v>0</v>
      </c>
      <c r="AP674" t="b" cm="1">
        <f t="array" ref="AP674">INDEX($AU$8:$BB$25,6*(R674-1)+MATCH(AB674,$AS$8:$AS$13,0),MATCH(O674,$AU$7:$BB$7,0))</f>
        <v>1</v>
      </c>
    </row>
    <row r="675" spans="15:42" ht="14.25" x14ac:dyDescent="0.45">
      <c r="O675" s="43" t="s">
        <v>34</v>
      </c>
      <c r="P675" s="43">
        <v>1</v>
      </c>
      <c r="Q675" s="43">
        <v>8</v>
      </c>
      <c r="R675" s="43">
        <v>2</v>
      </c>
      <c r="S675" s="45"/>
      <c r="T675" t="b">
        <f>(S674+S675+S676)=S2</f>
        <v>0</v>
      </c>
      <c r="X675" s="1">
        <f t="shared" si="60"/>
        <v>0</v>
      </c>
      <c r="Y675" s="48">
        <v>0</v>
      </c>
      <c r="AA675" s="1">
        <v>1</v>
      </c>
      <c r="AB675" s="1" t="s">
        <v>10</v>
      </c>
      <c r="AC675" s="1" t="s">
        <v>17</v>
      </c>
      <c r="AD675" s="1">
        <v>18</v>
      </c>
      <c r="AE675" s="1">
        <v>16</v>
      </c>
      <c r="AF675" s="1">
        <v>0.78</v>
      </c>
      <c r="AG675" s="1">
        <v>0.84</v>
      </c>
      <c r="AH675" s="1">
        <v>0</v>
      </c>
      <c r="AI675" s="1">
        <v>0</v>
      </c>
      <c r="AJ675" s="1">
        <f t="shared" si="56"/>
        <v>0</v>
      </c>
      <c r="AK675" s="1">
        <f>D68</f>
        <v>0</v>
      </c>
      <c r="AL675" s="1">
        <f>D74</f>
        <v>0</v>
      </c>
      <c r="AM675" s="1">
        <f t="shared" si="57"/>
        <v>0</v>
      </c>
      <c r="AN675" s="1">
        <f t="shared" si="58"/>
        <v>0</v>
      </c>
      <c r="AO675" s="1">
        <f t="shared" si="59"/>
        <v>0</v>
      </c>
      <c r="AP675" t="b" cm="1">
        <f t="array" ref="AP675">INDEX($AU$8:$BB$25,6*(R675-1)+MATCH(AB675,$AS$8:$AS$13,0),MATCH(O675,$AU$7:$BB$7,0))</f>
        <v>1</v>
      </c>
    </row>
    <row r="676" spans="15:42" ht="14.25" x14ac:dyDescent="0.45">
      <c r="O676" s="43" t="s">
        <v>34</v>
      </c>
      <c r="P676" s="43">
        <v>1</v>
      </c>
      <c r="Q676" s="43">
        <v>8</v>
      </c>
      <c r="R676" s="43">
        <v>3</v>
      </c>
      <c r="S676" s="45"/>
      <c r="T676" t="b">
        <f>(S674+S675+S676)=S2</f>
        <v>0</v>
      </c>
      <c r="X676" s="1">
        <f t="shared" si="60"/>
        <v>0</v>
      </c>
      <c r="Y676" s="48">
        <v>0</v>
      </c>
      <c r="AA676" s="1">
        <v>1</v>
      </c>
      <c r="AB676" s="1" t="s">
        <v>10</v>
      </c>
      <c r="AC676" s="1" t="s">
        <v>17</v>
      </c>
      <c r="AD676" s="1">
        <v>18</v>
      </c>
      <c r="AE676" s="1">
        <v>16</v>
      </c>
      <c r="AF676" s="1">
        <v>0.78</v>
      </c>
      <c r="AG676" s="1">
        <v>0.84</v>
      </c>
      <c r="AH676" s="1">
        <v>0</v>
      </c>
      <c r="AI676" s="1">
        <v>0</v>
      </c>
      <c r="AJ676" s="1">
        <f t="shared" si="56"/>
        <v>0</v>
      </c>
      <c r="AK676" s="1">
        <f>E68</f>
        <v>0</v>
      </c>
      <c r="AL676" s="1">
        <f>E74</f>
        <v>0</v>
      </c>
      <c r="AM676" s="1">
        <f t="shared" si="57"/>
        <v>0</v>
      </c>
      <c r="AN676" s="1">
        <f t="shared" si="58"/>
        <v>0</v>
      </c>
      <c r="AO676" s="1">
        <f t="shared" si="59"/>
        <v>0</v>
      </c>
      <c r="AP676" t="b" cm="1">
        <f t="array" ref="AP676">INDEX($AU$8:$BB$25,6*(R676-1)+MATCH(AB676,$AS$8:$AS$13,0),MATCH(O676,$AU$7:$BB$7,0))</f>
        <v>1</v>
      </c>
    </row>
    <row r="677" spans="15:42" ht="14.25" x14ac:dyDescent="0.45">
      <c r="O677" s="43" t="s">
        <v>34</v>
      </c>
      <c r="P677" s="43">
        <v>1</v>
      </c>
      <c r="Q677" s="43">
        <v>9</v>
      </c>
      <c r="R677" s="43">
        <v>1</v>
      </c>
      <c r="S677" s="45"/>
      <c r="T677" t="b">
        <f>(S677+S678+S679)=S2</f>
        <v>0</v>
      </c>
      <c r="X677" s="1">
        <f t="shared" si="60"/>
        <v>0</v>
      </c>
      <c r="Y677" s="48">
        <v>0</v>
      </c>
      <c r="AA677" s="1">
        <v>2</v>
      </c>
      <c r="AB677" s="1" t="s">
        <v>10</v>
      </c>
      <c r="AC677" s="1" t="s">
        <v>17</v>
      </c>
      <c r="AD677" s="1">
        <v>16</v>
      </c>
      <c r="AE677" s="1">
        <v>13</v>
      </c>
      <c r="AF677" s="1">
        <v>0.78</v>
      </c>
      <c r="AG677" s="1">
        <v>0.84</v>
      </c>
      <c r="AH677" s="1">
        <v>0</v>
      </c>
      <c r="AI677" s="1">
        <v>0</v>
      </c>
      <c r="AJ677" s="1">
        <f t="shared" si="56"/>
        <v>0</v>
      </c>
      <c r="AK677" s="1">
        <f>C68</f>
        <v>0</v>
      </c>
      <c r="AL677" s="1">
        <f>C74</f>
        <v>0</v>
      </c>
      <c r="AM677" s="1">
        <f t="shared" si="57"/>
        <v>0</v>
      </c>
      <c r="AN677" s="1">
        <f t="shared" si="58"/>
        <v>0</v>
      </c>
      <c r="AO677" s="1">
        <f t="shared" si="59"/>
        <v>0</v>
      </c>
      <c r="AP677" t="b" cm="1">
        <f t="array" ref="AP677">INDEX($AU$8:$BB$25,6*(R677-1)+MATCH(AB677,$AS$8:$AS$13,0),MATCH(O677,$AU$7:$BB$7,0))</f>
        <v>1</v>
      </c>
    </row>
    <row r="678" spans="15:42" ht="14.25" x14ac:dyDescent="0.45">
      <c r="O678" s="43" t="s">
        <v>34</v>
      </c>
      <c r="P678" s="43">
        <v>1</v>
      </c>
      <c r="Q678" s="43">
        <v>9</v>
      </c>
      <c r="R678" s="43">
        <v>2</v>
      </c>
      <c r="S678" s="45"/>
      <c r="T678" t="b">
        <f>(S677+S678+S679)=S2</f>
        <v>0</v>
      </c>
      <c r="X678" s="1">
        <f t="shared" si="60"/>
        <v>0</v>
      </c>
      <c r="Y678" s="48">
        <v>0</v>
      </c>
      <c r="AA678" s="1">
        <v>2</v>
      </c>
      <c r="AB678" s="1" t="s">
        <v>10</v>
      </c>
      <c r="AC678" s="1" t="s">
        <v>17</v>
      </c>
      <c r="AD678" s="1">
        <v>16</v>
      </c>
      <c r="AE678" s="1">
        <v>13</v>
      </c>
      <c r="AF678" s="1">
        <v>0.78</v>
      </c>
      <c r="AG678" s="1">
        <v>0.84</v>
      </c>
      <c r="AH678" s="1">
        <v>0</v>
      </c>
      <c r="AI678" s="1">
        <v>0</v>
      </c>
      <c r="AJ678" s="1">
        <f t="shared" si="56"/>
        <v>0</v>
      </c>
      <c r="AK678" s="1">
        <f>D68</f>
        <v>0</v>
      </c>
      <c r="AL678" s="1">
        <f>D74</f>
        <v>0</v>
      </c>
      <c r="AM678" s="1">
        <f t="shared" si="57"/>
        <v>0</v>
      </c>
      <c r="AN678" s="1">
        <f t="shared" si="58"/>
        <v>0</v>
      </c>
      <c r="AO678" s="1">
        <f t="shared" si="59"/>
        <v>0</v>
      </c>
      <c r="AP678" t="b" cm="1">
        <f t="array" ref="AP678">INDEX($AU$8:$BB$25,6*(R678-1)+MATCH(AB678,$AS$8:$AS$13,0),MATCH(O678,$AU$7:$BB$7,0))</f>
        <v>1</v>
      </c>
    </row>
    <row r="679" spans="15:42" ht="14.25" x14ac:dyDescent="0.45">
      <c r="O679" s="43" t="s">
        <v>34</v>
      </c>
      <c r="P679" s="43">
        <v>1</v>
      </c>
      <c r="Q679" s="43">
        <v>9</v>
      </c>
      <c r="R679" s="43">
        <v>3</v>
      </c>
      <c r="S679" s="45"/>
      <c r="T679" t="b">
        <f>(S677+S678+S679)=S2</f>
        <v>0</v>
      </c>
      <c r="X679" s="1">
        <f t="shared" si="60"/>
        <v>0</v>
      </c>
      <c r="Y679" s="48">
        <v>0</v>
      </c>
      <c r="AA679" s="1">
        <v>2</v>
      </c>
      <c r="AB679" s="1" t="s">
        <v>10</v>
      </c>
      <c r="AC679" s="1" t="s">
        <v>17</v>
      </c>
      <c r="AD679" s="1">
        <v>16</v>
      </c>
      <c r="AE679" s="1">
        <v>13</v>
      </c>
      <c r="AF679" s="1">
        <v>0.78</v>
      </c>
      <c r="AG679" s="1">
        <v>0.84</v>
      </c>
      <c r="AH679" s="1">
        <v>0</v>
      </c>
      <c r="AI679" s="1">
        <v>0</v>
      </c>
      <c r="AJ679" s="1">
        <f t="shared" si="56"/>
        <v>0</v>
      </c>
      <c r="AK679" s="1">
        <f>E68</f>
        <v>0</v>
      </c>
      <c r="AL679" s="1">
        <f>E74</f>
        <v>0</v>
      </c>
      <c r="AM679" s="1">
        <f t="shared" si="57"/>
        <v>0</v>
      </c>
      <c r="AN679" s="1">
        <f t="shared" si="58"/>
        <v>0</v>
      </c>
      <c r="AO679" s="1">
        <f t="shared" si="59"/>
        <v>0</v>
      </c>
      <c r="AP679" t="b" cm="1">
        <f t="array" ref="AP679">INDEX($AU$8:$BB$25,6*(R679-1)+MATCH(AB679,$AS$8:$AS$13,0),MATCH(O679,$AU$7:$BB$7,0))</f>
        <v>1</v>
      </c>
    </row>
    <row r="680" spans="15:42" ht="14.25" x14ac:dyDescent="0.45">
      <c r="O680" s="43" t="s">
        <v>34</v>
      </c>
      <c r="P680" s="43">
        <v>1</v>
      </c>
      <c r="Q680" s="43">
        <v>10</v>
      </c>
      <c r="R680" s="43">
        <v>1</v>
      </c>
      <c r="S680" s="45"/>
      <c r="T680" t="b">
        <f>(S680+S681+S682)=S2</f>
        <v>0</v>
      </c>
      <c r="X680" s="1">
        <f t="shared" si="60"/>
        <v>0</v>
      </c>
      <c r="Y680" s="48">
        <v>0</v>
      </c>
      <c r="AA680" s="1">
        <v>6</v>
      </c>
      <c r="AB680" s="1" t="s">
        <v>14</v>
      </c>
      <c r="AC680" s="1" t="s">
        <v>20</v>
      </c>
      <c r="AD680" s="1">
        <v>14</v>
      </c>
      <c r="AE680" s="1">
        <v>11</v>
      </c>
      <c r="AF680" s="1">
        <v>0.8</v>
      </c>
      <c r="AG680" s="1">
        <v>0.88</v>
      </c>
      <c r="AH680" s="1">
        <v>0</v>
      </c>
      <c r="AI680" s="1">
        <v>0</v>
      </c>
      <c r="AJ680" s="1">
        <f t="shared" si="56"/>
        <v>0</v>
      </c>
      <c r="AK680" s="1">
        <f>C71</f>
        <v>0</v>
      </c>
      <c r="AL680" s="1">
        <f>C77</f>
        <v>0</v>
      </c>
      <c r="AM680" s="1">
        <f t="shared" si="57"/>
        <v>0</v>
      </c>
      <c r="AN680" s="1">
        <f t="shared" si="58"/>
        <v>0</v>
      </c>
      <c r="AO680" s="1">
        <f t="shared" si="59"/>
        <v>0</v>
      </c>
      <c r="AP680" t="b" cm="1">
        <f t="array" ref="AP680">INDEX($AU$8:$BB$25,6*(R680-1)+MATCH(AB680,$AS$8:$AS$13,0),MATCH(O680,$AU$7:$BB$7,0))</f>
        <v>1</v>
      </c>
    </row>
    <row r="681" spans="15:42" ht="14.25" x14ac:dyDescent="0.45">
      <c r="O681" s="43" t="s">
        <v>34</v>
      </c>
      <c r="P681" s="43">
        <v>1</v>
      </c>
      <c r="Q681" s="43">
        <v>10</v>
      </c>
      <c r="R681" s="43">
        <v>2</v>
      </c>
      <c r="S681" s="45"/>
      <c r="T681" t="b">
        <f>(S680+S681+S682)=S2</f>
        <v>0</v>
      </c>
      <c r="X681" s="1">
        <f t="shared" si="60"/>
        <v>0</v>
      </c>
      <c r="Y681" s="48">
        <v>0</v>
      </c>
      <c r="AA681" s="1">
        <v>6</v>
      </c>
      <c r="AB681" s="1" t="s">
        <v>14</v>
      </c>
      <c r="AC681" s="1" t="s">
        <v>20</v>
      </c>
      <c r="AD681" s="1">
        <v>14</v>
      </c>
      <c r="AE681" s="1">
        <v>11</v>
      </c>
      <c r="AF681" s="1">
        <v>0.8</v>
      </c>
      <c r="AG681" s="1">
        <v>0.88</v>
      </c>
      <c r="AH681" s="1">
        <v>0</v>
      </c>
      <c r="AI681" s="1">
        <v>0</v>
      </c>
      <c r="AJ681" s="1">
        <f t="shared" si="56"/>
        <v>0</v>
      </c>
      <c r="AK681" s="1">
        <f>D71</f>
        <v>0</v>
      </c>
      <c r="AL681" s="1">
        <f>D77</f>
        <v>0</v>
      </c>
      <c r="AM681" s="1">
        <f t="shared" si="57"/>
        <v>0</v>
      </c>
      <c r="AN681" s="1">
        <f t="shared" si="58"/>
        <v>0</v>
      </c>
      <c r="AO681" s="1">
        <f t="shared" si="59"/>
        <v>0</v>
      </c>
      <c r="AP681" t="b" cm="1">
        <f t="array" ref="AP681">INDEX($AU$8:$BB$25,6*(R681-1)+MATCH(AB681,$AS$8:$AS$13,0),MATCH(O681,$AU$7:$BB$7,0))</f>
        <v>1</v>
      </c>
    </row>
    <row r="682" spans="15:42" ht="14.25" x14ac:dyDescent="0.45">
      <c r="O682" s="43" t="s">
        <v>34</v>
      </c>
      <c r="P682" s="43">
        <v>1</v>
      </c>
      <c r="Q682" s="43">
        <v>10</v>
      </c>
      <c r="R682" s="43">
        <v>3</v>
      </c>
      <c r="S682" s="45"/>
      <c r="T682" t="b">
        <f>(S680+S681+S682)=S2</f>
        <v>0</v>
      </c>
      <c r="X682" s="1">
        <f t="shared" si="60"/>
        <v>0</v>
      </c>
      <c r="Y682" s="48">
        <v>0</v>
      </c>
      <c r="AA682" s="1">
        <v>6</v>
      </c>
      <c r="AB682" s="1" t="s">
        <v>14</v>
      </c>
      <c r="AC682" s="1" t="s">
        <v>20</v>
      </c>
      <c r="AD682" s="1">
        <v>14</v>
      </c>
      <c r="AE682" s="1">
        <v>11</v>
      </c>
      <c r="AF682" s="1">
        <v>0.8</v>
      </c>
      <c r="AG682" s="1">
        <v>0.88</v>
      </c>
      <c r="AH682" s="1">
        <v>0</v>
      </c>
      <c r="AI682" s="1">
        <v>0</v>
      </c>
      <c r="AJ682" s="1">
        <f t="shared" si="56"/>
        <v>0</v>
      </c>
      <c r="AK682" s="1">
        <f>E71</f>
        <v>0</v>
      </c>
      <c r="AL682" s="1">
        <f>E77</f>
        <v>0</v>
      </c>
      <c r="AM682" s="1">
        <f t="shared" si="57"/>
        <v>0</v>
      </c>
      <c r="AN682" s="1">
        <f t="shared" si="58"/>
        <v>0</v>
      </c>
      <c r="AO682" s="1">
        <f t="shared" si="59"/>
        <v>0</v>
      </c>
      <c r="AP682" t="b" cm="1">
        <f t="array" ref="AP682">INDEX($AU$8:$BB$25,6*(R682-1)+MATCH(AB682,$AS$8:$AS$13,0),MATCH(O682,$AU$7:$BB$7,0))</f>
        <v>1</v>
      </c>
    </row>
    <row r="683" spans="15:42" ht="14.25" x14ac:dyDescent="0.45">
      <c r="O683" s="43" t="s">
        <v>34</v>
      </c>
      <c r="P683" s="43">
        <v>1</v>
      </c>
      <c r="Q683" s="43">
        <v>11</v>
      </c>
      <c r="R683" s="43">
        <v>1</v>
      </c>
      <c r="S683" s="45"/>
      <c r="T683" t="b">
        <f>(S683+S684+S685)=S2</f>
        <v>0</v>
      </c>
      <c r="X683" s="1">
        <f t="shared" si="60"/>
        <v>0</v>
      </c>
      <c r="Y683" s="48">
        <v>0</v>
      </c>
      <c r="AA683" s="1">
        <v>3</v>
      </c>
      <c r="AB683" s="1" t="s">
        <v>16</v>
      </c>
      <c r="AC683" s="1" t="s">
        <v>22</v>
      </c>
      <c r="AD683" s="1">
        <v>18</v>
      </c>
      <c r="AE683" s="1">
        <v>16</v>
      </c>
      <c r="AF683" s="1">
        <v>0.8</v>
      </c>
      <c r="AG683" s="1">
        <v>0.9</v>
      </c>
      <c r="AH683" s="1">
        <v>0</v>
      </c>
      <c r="AI683" s="1">
        <v>0</v>
      </c>
      <c r="AJ683" s="1">
        <f t="shared" si="56"/>
        <v>0</v>
      </c>
      <c r="AK683" s="1">
        <f>C73</f>
        <v>0</v>
      </c>
      <c r="AL683" s="1">
        <f>C79</f>
        <v>0</v>
      </c>
      <c r="AM683" s="1">
        <f t="shared" si="57"/>
        <v>0</v>
      </c>
      <c r="AN683" s="1">
        <f t="shared" si="58"/>
        <v>0</v>
      </c>
      <c r="AO683" s="1">
        <f t="shared" si="59"/>
        <v>0</v>
      </c>
      <c r="AP683" t="b" cm="1">
        <f t="array" ref="AP683">INDEX($AU$8:$BB$25,6*(R683-1)+MATCH(AB683,$AS$8:$AS$13,0),MATCH(O683,$AU$7:$BB$7,0))</f>
        <v>1</v>
      </c>
    </row>
    <row r="684" spans="15:42" ht="14.25" x14ac:dyDescent="0.45">
      <c r="O684" s="43" t="s">
        <v>34</v>
      </c>
      <c r="P684" s="43">
        <v>1</v>
      </c>
      <c r="Q684" s="43">
        <v>11</v>
      </c>
      <c r="R684" s="43">
        <v>2</v>
      </c>
      <c r="S684" s="45"/>
      <c r="T684" t="b">
        <f>(S683+S684+S685)=S2</f>
        <v>0</v>
      </c>
      <c r="X684" s="1">
        <f t="shared" si="60"/>
        <v>0</v>
      </c>
      <c r="Y684" s="48">
        <v>0</v>
      </c>
      <c r="AA684" s="1">
        <v>3</v>
      </c>
      <c r="AB684" s="1" t="s">
        <v>16</v>
      </c>
      <c r="AC684" s="1" t="s">
        <v>22</v>
      </c>
      <c r="AD684" s="1">
        <v>18</v>
      </c>
      <c r="AE684" s="1">
        <v>16</v>
      </c>
      <c r="AF684" s="1">
        <v>0.8</v>
      </c>
      <c r="AG684" s="1">
        <v>0.9</v>
      </c>
      <c r="AH684" s="1">
        <v>0</v>
      </c>
      <c r="AI684" s="1">
        <v>0</v>
      </c>
      <c r="AJ684" s="1">
        <f t="shared" si="56"/>
        <v>0</v>
      </c>
      <c r="AK684" s="1">
        <f>D73</f>
        <v>0</v>
      </c>
      <c r="AL684" s="1">
        <f>D79</f>
        <v>0</v>
      </c>
      <c r="AM684" s="1">
        <f t="shared" si="57"/>
        <v>0</v>
      </c>
      <c r="AN684" s="1">
        <f t="shared" si="58"/>
        <v>0</v>
      </c>
      <c r="AO684" s="1">
        <f t="shared" si="59"/>
        <v>0</v>
      </c>
      <c r="AP684" t="b" cm="1">
        <f t="array" ref="AP684">INDEX($AU$8:$BB$25,6*(R684-1)+MATCH(AB684,$AS$8:$AS$13,0),MATCH(O684,$AU$7:$BB$7,0))</f>
        <v>1</v>
      </c>
    </row>
    <row r="685" spans="15:42" ht="14.25" x14ac:dyDescent="0.45">
      <c r="O685" s="43" t="s">
        <v>34</v>
      </c>
      <c r="P685" s="43">
        <v>1</v>
      </c>
      <c r="Q685" s="43">
        <v>11</v>
      </c>
      <c r="R685" s="43">
        <v>3</v>
      </c>
      <c r="S685" s="45"/>
      <c r="T685" t="b">
        <f>(S683+S684+S685)=S2</f>
        <v>0</v>
      </c>
      <c r="X685" s="1">
        <f t="shared" si="60"/>
        <v>0</v>
      </c>
      <c r="Y685" s="48">
        <v>0</v>
      </c>
      <c r="AA685" s="1">
        <v>3</v>
      </c>
      <c r="AB685" s="1" t="s">
        <v>16</v>
      </c>
      <c r="AC685" s="1" t="s">
        <v>22</v>
      </c>
      <c r="AD685" s="1">
        <v>18</v>
      </c>
      <c r="AE685" s="1">
        <v>16</v>
      </c>
      <c r="AF685" s="1">
        <v>0.8</v>
      </c>
      <c r="AG685" s="1">
        <v>0.9</v>
      </c>
      <c r="AH685" s="1">
        <v>0</v>
      </c>
      <c r="AI685" s="1">
        <v>0</v>
      </c>
      <c r="AJ685" s="1">
        <f t="shared" si="56"/>
        <v>0</v>
      </c>
      <c r="AK685" s="1">
        <f>E73</f>
        <v>0</v>
      </c>
      <c r="AL685" s="1">
        <f>E79</f>
        <v>0</v>
      </c>
      <c r="AM685" s="1">
        <f t="shared" si="57"/>
        <v>0</v>
      </c>
      <c r="AN685" s="1">
        <f t="shared" si="58"/>
        <v>0</v>
      </c>
      <c r="AO685" s="1">
        <f t="shared" si="59"/>
        <v>0</v>
      </c>
      <c r="AP685" t="b" cm="1">
        <f t="array" ref="AP685">INDEX($AU$8:$BB$25,6*(R685-1)+MATCH(AB685,$AS$8:$AS$13,0),MATCH(O685,$AU$7:$BB$7,0))</f>
        <v>1</v>
      </c>
    </row>
    <row r="686" spans="15:42" ht="14.25" x14ac:dyDescent="0.45">
      <c r="O686" s="43" t="s">
        <v>34</v>
      </c>
      <c r="P686" s="43">
        <v>2</v>
      </c>
      <c r="Q686" s="43">
        <v>1</v>
      </c>
      <c r="R686" s="43">
        <v>1</v>
      </c>
      <c r="S686" s="45"/>
      <c r="T686" t="b">
        <f>(S686+S687+S688)=S3</f>
        <v>0</v>
      </c>
      <c r="X686" s="1">
        <v>0</v>
      </c>
      <c r="Y686" s="48">
        <v>0</v>
      </c>
      <c r="AA686" s="1">
        <v>9</v>
      </c>
      <c r="AB686" s="1" t="s">
        <v>16</v>
      </c>
      <c r="AC686" s="1" t="s">
        <v>22</v>
      </c>
      <c r="AD686" s="1">
        <v>19</v>
      </c>
      <c r="AE686" s="1">
        <v>16</v>
      </c>
      <c r="AF686" s="1">
        <v>0.8</v>
      </c>
      <c r="AG686" s="1">
        <v>0.9</v>
      </c>
      <c r="AH686" s="1">
        <v>0</v>
      </c>
      <c r="AI686" s="1">
        <v>0</v>
      </c>
      <c r="AJ686" s="1">
        <f t="shared" si="56"/>
        <v>0</v>
      </c>
      <c r="AK686" s="1">
        <f>C73</f>
        <v>0</v>
      </c>
      <c r="AL686" s="1">
        <f>C79</f>
        <v>0</v>
      </c>
      <c r="AM686" s="1">
        <f t="shared" si="57"/>
        <v>0</v>
      </c>
      <c r="AN686" s="1">
        <f t="shared" si="58"/>
        <v>0</v>
      </c>
      <c r="AO686" s="1">
        <f t="shared" si="59"/>
        <v>0</v>
      </c>
      <c r="AP686" t="b" cm="1">
        <f t="array" ref="AP686">INDEX($AU$8:$BB$25,6*(R686-1)+MATCH(AB686,$AS$8:$AS$13,0),MATCH(O686,$AU$7:$BB$7,0))</f>
        <v>1</v>
      </c>
    </row>
    <row r="687" spans="15:42" ht="14.25" x14ac:dyDescent="0.45">
      <c r="O687" s="43" t="s">
        <v>34</v>
      </c>
      <c r="P687" s="43">
        <v>2</v>
      </c>
      <c r="Q687" s="43">
        <v>1</v>
      </c>
      <c r="R687" s="43">
        <v>2</v>
      </c>
      <c r="S687" s="45"/>
      <c r="T687" t="b">
        <f>(S686+S687+S688)=S3</f>
        <v>0</v>
      </c>
      <c r="X687" s="1">
        <v>0</v>
      </c>
      <c r="Y687" s="48">
        <v>0</v>
      </c>
      <c r="AA687" s="1">
        <v>9</v>
      </c>
      <c r="AB687" s="1" t="s">
        <v>16</v>
      </c>
      <c r="AC687" s="1" t="s">
        <v>22</v>
      </c>
      <c r="AD687" s="1">
        <v>19</v>
      </c>
      <c r="AE687" s="1">
        <v>16</v>
      </c>
      <c r="AF687" s="1">
        <v>0.8</v>
      </c>
      <c r="AG687" s="1">
        <v>0.9</v>
      </c>
      <c r="AH687" s="1">
        <v>0</v>
      </c>
      <c r="AI687" s="1">
        <v>0</v>
      </c>
      <c r="AJ687" s="1">
        <f t="shared" si="56"/>
        <v>0</v>
      </c>
      <c r="AK687" s="1">
        <f>D73</f>
        <v>0</v>
      </c>
      <c r="AL687" s="1">
        <f>D79</f>
        <v>0</v>
      </c>
      <c r="AM687" s="1">
        <f t="shared" si="57"/>
        <v>0</v>
      </c>
      <c r="AN687" s="1">
        <f t="shared" si="58"/>
        <v>0</v>
      </c>
      <c r="AO687" s="1">
        <f t="shared" si="59"/>
        <v>0</v>
      </c>
      <c r="AP687" t="b" cm="1">
        <f t="array" ref="AP687">INDEX($AU$8:$BB$25,6*(R687-1)+MATCH(AB687,$AS$8:$AS$13,0),MATCH(O687,$AU$7:$BB$7,0))</f>
        <v>1</v>
      </c>
    </row>
    <row r="688" spans="15:42" ht="14.25" x14ac:dyDescent="0.45">
      <c r="O688" s="43" t="s">
        <v>34</v>
      </c>
      <c r="P688" s="43">
        <v>2</v>
      </c>
      <c r="Q688" s="43">
        <v>1</v>
      </c>
      <c r="R688" s="43">
        <v>3</v>
      </c>
      <c r="S688" s="45"/>
      <c r="T688" t="b">
        <f>(S686+S687+S688)=S3</f>
        <v>0</v>
      </c>
      <c r="X688" s="1">
        <v>0</v>
      </c>
      <c r="Y688" s="48">
        <v>0</v>
      </c>
      <c r="AA688" s="1">
        <v>9</v>
      </c>
      <c r="AB688" s="1" t="s">
        <v>16</v>
      </c>
      <c r="AC688" s="1" t="s">
        <v>22</v>
      </c>
      <c r="AD688" s="1">
        <v>19</v>
      </c>
      <c r="AE688" s="1">
        <v>16</v>
      </c>
      <c r="AF688" s="1">
        <v>0.8</v>
      </c>
      <c r="AG688" s="1">
        <v>0.9</v>
      </c>
      <c r="AH688" s="1">
        <v>0</v>
      </c>
      <c r="AI688" s="1">
        <v>0</v>
      </c>
      <c r="AJ688" s="1">
        <f t="shared" si="56"/>
        <v>0</v>
      </c>
      <c r="AK688" s="1">
        <f>E73</f>
        <v>0</v>
      </c>
      <c r="AL688" s="1">
        <f>E79</f>
        <v>0</v>
      </c>
      <c r="AM688" s="1">
        <f t="shared" si="57"/>
        <v>0</v>
      </c>
      <c r="AN688" s="1">
        <f t="shared" si="58"/>
        <v>0</v>
      </c>
      <c r="AO688" s="1">
        <f t="shared" si="59"/>
        <v>0</v>
      </c>
      <c r="AP688" t="b" cm="1">
        <f t="array" ref="AP688">INDEX($AU$8:$BB$25,6*(R688-1)+MATCH(AB688,$AS$8:$AS$13,0),MATCH(O688,$AU$7:$BB$7,0))</f>
        <v>1</v>
      </c>
    </row>
    <row r="689" spans="15:42" ht="14.25" x14ac:dyDescent="0.45">
      <c r="O689" s="43" t="s">
        <v>34</v>
      </c>
      <c r="P689" s="43">
        <v>2</v>
      </c>
      <c r="Q689" s="43">
        <v>2</v>
      </c>
      <c r="R689" s="43">
        <v>1</v>
      </c>
      <c r="S689" s="45"/>
      <c r="T689" t="b">
        <f>(S689+S690+S691)=S3</f>
        <v>0</v>
      </c>
      <c r="X689" s="1">
        <f t="shared" ref="X689:X730" si="61">MAX(S686-S689,0)</f>
        <v>0</v>
      </c>
      <c r="Y689" s="48">
        <v>0</v>
      </c>
      <c r="AA689" s="1">
        <v>1</v>
      </c>
      <c r="AB689" s="1" t="s">
        <v>12</v>
      </c>
      <c r="AC689" s="1" t="s">
        <v>18</v>
      </c>
      <c r="AD689" s="1">
        <v>20</v>
      </c>
      <c r="AE689" s="1">
        <v>18</v>
      </c>
      <c r="AF689" s="1">
        <v>0.76</v>
      </c>
      <c r="AG689" s="1">
        <v>0.81</v>
      </c>
      <c r="AH689" s="1">
        <v>0</v>
      </c>
      <c r="AI689" s="1">
        <v>0</v>
      </c>
      <c r="AJ689" s="1">
        <f t="shared" si="56"/>
        <v>0</v>
      </c>
      <c r="AK689" s="1">
        <f>C69</f>
        <v>0</v>
      </c>
      <c r="AL689" s="1">
        <f>C75</f>
        <v>0</v>
      </c>
      <c r="AM689" s="1">
        <f t="shared" si="57"/>
        <v>0</v>
      </c>
      <c r="AN689" s="1">
        <f t="shared" si="58"/>
        <v>0</v>
      </c>
      <c r="AO689" s="1">
        <f t="shared" si="59"/>
        <v>0</v>
      </c>
      <c r="AP689" t="b" cm="1">
        <f t="array" ref="AP689">INDEX($AU$8:$BB$25,6*(R689-1)+MATCH(AB689,$AS$8:$AS$13,0),MATCH(O689,$AU$7:$BB$7,0))</f>
        <v>1</v>
      </c>
    </row>
    <row r="690" spans="15:42" ht="14.25" x14ac:dyDescent="0.45">
      <c r="O690" s="43" t="s">
        <v>34</v>
      </c>
      <c r="P690" s="43">
        <v>2</v>
      </c>
      <c r="Q690" s="43">
        <v>2</v>
      </c>
      <c r="R690" s="43">
        <v>2</v>
      </c>
      <c r="S690" s="45"/>
      <c r="T690" t="b">
        <f>(S689+S690+S691)=S3</f>
        <v>0</v>
      </c>
      <c r="X690" s="1">
        <f t="shared" si="61"/>
        <v>0</v>
      </c>
      <c r="Y690" s="48">
        <v>0</v>
      </c>
      <c r="AA690" s="1">
        <v>1</v>
      </c>
      <c r="AB690" s="1" t="s">
        <v>12</v>
      </c>
      <c r="AC690" s="1" t="s">
        <v>18</v>
      </c>
      <c r="AD690" s="1">
        <v>20</v>
      </c>
      <c r="AE690" s="1">
        <v>18</v>
      </c>
      <c r="AF690" s="1">
        <v>0.76</v>
      </c>
      <c r="AG690" s="1">
        <v>0.81</v>
      </c>
      <c r="AH690" s="1">
        <v>0</v>
      </c>
      <c r="AI690" s="1">
        <v>0</v>
      </c>
      <c r="AJ690" s="1">
        <f t="shared" si="56"/>
        <v>0</v>
      </c>
      <c r="AK690" s="1">
        <f>D69</f>
        <v>0</v>
      </c>
      <c r="AL690" s="1">
        <f>D75</f>
        <v>0</v>
      </c>
      <c r="AM690" s="1">
        <f t="shared" si="57"/>
        <v>0</v>
      </c>
      <c r="AN690" s="1">
        <f t="shared" si="58"/>
        <v>0</v>
      </c>
      <c r="AO690" s="1">
        <f t="shared" si="59"/>
        <v>0</v>
      </c>
      <c r="AP690" t="b" cm="1">
        <f t="array" ref="AP690">INDEX($AU$8:$BB$25,6*(R690-1)+MATCH(AB690,$AS$8:$AS$13,0),MATCH(O690,$AU$7:$BB$7,0))</f>
        <v>1</v>
      </c>
    </row>
    <row r="691" spans="15:42" ht="14.25" x14ac:dyDescent="0.45">
      <c r="O691" s="43" t="s">
        <v>34</v>
      </c>
      <c r="P691" s="43">
        <v>2</v>
      </c>
      <c r="Q691" s="43">
        <v>2</v>
      </c>
      <c r="R691" s="43">
        <v>3</v>
      </c>
      <c r="S691" s="45"/>
      <c r="T691" t="b">
        <f>(S689+S690+S691)=S3</f>
        <v>0</v>
      </c>
      <c r="X691" s="1">
        <f t="shared" si="61"/>
        <v>0</v>
      </c>
      <c r="Y691" s="48">
        <v>0</v>
      </c>
      <c r="AA691" s="1">
        <v>1</v>
      </c>
      <c r="AB691" s="1" t="s">
        <v>12</v>
      </c>
      <c r="AC691" s="1" t="s">
        <v>18</v>
      </c>
      <c r="AD691" s="1">
        <v>20</v>
      </c>
      <c r="AE691" s="1">
        <v>18</v>
      </c>
      <c r="AF691" s="1">
        <v>0.76</v>
      </c>
      <c r="AG691" s="1">
        <v>0.81</v>
      </c>
      <c r="AH691" s="1">
        <v>0</v>
      </c>
      <c r="AI691" s="1">
        <v>0</v>
      </c>
      <c r="AJ691" s="1">
        <f t="shared" si="56"/>
        <v>0</v>
      </c>
      <c r="AK691" s="1">
        <f>E69</f>
        <v>0</v>
      </c>
      <c r="AL691" s="1">
        <f>E75</f>
        <v>0</v>
      </c>
      <c r="AM691" s="1">
        <f t="shared" si="57"/>
        <v>0</v>
      </c>
      <c r="AN691" s="1">
        <f t="shared" si="58"/>
        <v>0</v>
      </c>
      <c r="AO691" s="1">
        <f t="shared" si="59"/>
        <v>0</v>
      </c>
      <c r="AP691" t="b" cm="1">
        <f t="array" ref="AP691">INDEX($AU$8:$BB$25,6*(R691-1)+MATCH(AB691,$AS$8:$AS$13,0),MATCH(O691,$AU$7:$BB$7,0))</f>
        <v>1</v>
      </c>
    </row>
    <row r="692" spans="15:42" ht="14.25" x14ac:dyDescent="0.45">
      <c r="O692" s="43" t="s">
        <v>34</v>
      </c>
      <c r="P692" s="43">
        <v>2</v>
      </c>
      <c r="Q692" s="43">
        <v>3</v>
      </c>
      <c r="R692" s="43">
        <v>1</v>
      </c>
      <c r="S692" s="45"/>
      <c r="T692" t="b">
        <f>(S692+S693+S694)=S3</f>
        <v>0</v>
      </c>
      <c r="X692" s="1">
        <f t="shared" si="61"/>
        <v>0</v>
      </c>
      <c r="Y692" s="48">
        <v>0</v>
      </c>
      <c r="AA692" s="1">
        <v>11</v>
      </c>
      <c r="AB692" s="1" t="s">
        <v>15</v>
      </c>
      <c r="AC692" s="1" t="s">
        <v>21</v>
      </c>
      <c r="AD692" s="1">
        <v>10</v>
      </c>
      <c r="AE692" s="1">
        <v>7</v>
      </c>
      <c r="AF692" s="1">
        <v>0.76</v>
      </c>
      <c r="AG692" s="1">
        <v>0.84</v>
      </c>
      <c r="AH692" s="1">
        <v>0</v>
      </c>
      <c r="AI692" s="1">
        <v>0</v>
      </c>
      <c r="AJ692" s="1">
        <f t="shared" si="56"/>
        <v>0</v>
      </c>
      <c r="AK692" s="1">
        <f>C72</f>
        <v>0</v>
      </c>
      <c r="AL692" s="1">
        <f>C78</f>
        <v>0</v>
      </c>
      <c r="AM692" s="1">
        <f t="shared" si="57"/>
        <v>0</v>
      </c>
      <c r="AN692" s="1">
        <f t="shared" si="58"/>
        <v>0</v>
      </c>
      <c r="AO692" s="1">
        <f t="shared" si="59"/>
        <v>0</v>
      </c>
      <c r="AP692" t="b" cm="1">
        <f t="array" ref="AP692">INDEX($AU$8:$BB$25,6*(R692-1)+MATCH(AB692,$AS$8:$AS$13,0),MATCH(O692,$AU$7:$BB$7,0))</f>
        <v>1</v>
      </c>
    </row>
    <row r="693" spans="15:42" ht="14.25" x14ac:dyDescent="0.45">
      <c r="O693" s="43" t="s">
        <v>34</v>
      </c>
      <c r="P693" s="43">
        <v>2</v>
      </c>
      <c r="Q693" s="43">
        <v>3</v>
      </c>
      <c r="R693" s="43">
        <v>2</v>
      </c>
      <c r="S693" s="45"/>
      <c r="T693" t="b">
        <f>(S692+S693+S694)=S3</f>
        <v>0</v>
      </c>
      <c r="X693" s="1">
        <f t="shared" si="61"/>
        <v>0</v>
      </c>
      <c r="Y693" s="48">
        <v>0</v>
      </c>
      <c r="AA693" s="1">
        <v>11</v>
      </c>
      <c r="AB693" s="1" t="s">
        <v>15</v>
      </c>
      <c r="AC693" s="1" t="s">
        <v>21</v>
      </c>
      <c r="AD693" s="1">
        <v>10</v>
      </c>
      <c r="AE693" s="1">
        <v>7</v>
      </c>
      <c r="AF693" s="1">
        <v>0.76</v>
      </c>
      <c r="AG693" s="1">
        <v>0.84</v>
      </c>
      <c r="AH693" s="1">
        <v>0</v>
      </c>
      <c r="AI693" s="1">
        <v>0</v>
      </c>
      <c r="AJ693" s="1">
        <f t="shared" si="56"/>
        <v>0</v>
      </c>
      <c r="AK693" s="1">
        <f>D72</f>
        <v>0</v>
      </c>
      <c r="AL693" s="1">
        <f>D78</f>
        <v>0</v>
      </c>
      <c r="AM693" s="1">
        <f t="shared" si="57"/>
        <v>0</v>
      </c>
      <c r="AN693" s="1">
        <f t="shared" si="58"/>
        <v>0</v>
      </c>
      <c r="AO693" s="1">
        <f t="shared" si="59"/>
        <v>0</v>
      </c>
      <c r="AP693" t="b" cm="1">
        <f t="array" ref="AP693">INDEX($AU$8:$BB$25,6*(R693-1)+MATCH(AB693,$AS$8:$AS$13,0),MATCH(O693,$AU$7:$BB$7,0))</f>
        <v>1</v>
      </c>
    </row>
    <row r="694" spans="15:42" ht="14.25" x14ac:dyDescent="0.45">
      <c r="O694" s="43" t="s">
        <v>34</v>
      </c>
      <c r="P694" s="43">
        <v>2</v>
      </c>
      <c r="Q694" s="43">
        <v>3</v>
      </c>
      <c r="R694" s="43">
        <v>3</v>
      </c>
      <c r="S694" s="45"/>
      <c r="T694" t="b">
        <f>(S692+S693+S694)=S3</f>
        <v>0</v>
      </c>
      <c r="X694" s="1">
        <f t="shared" si="61"/>
        <v>0</v>
      </c>
      <c r="Y694" s="48">
        <v>0</v>
      </c>
      <c r="AA694" s="1">
        <v>11</v>
      </c>
      <c r="AB694" s="1" t="s">
        <v>15</v>
      </c>
      <c r="AC694" s="1" t="s">
        <v>21</v>
      </c>
      <c r="AD694" s="1">
        <v>10</v>
      </c>
      <c r="AE694" s="1">
        <v>7</v>
      </c>
      <c r="AF694" s="1">
        <v>0.76</v>
      </c>
      <c r="AG694" s="1">
        <v>0.84</v>
      </c>
      <c r="AH694" s="1">
        <v>0</v>
      </c>
      <c r="AI694" s="1">
        <v>0</v>
      </c>
      <c r="AJ694" s="1">
        <f t="shared" si="56"/>
        <v>0</v>
      </c>
      <c r="AK694" s="1">
        <f>E72</f>
        <v>0</v>
      </c>
      <c r="AL694" s="1">
        <f>E78</f>
        <v>0</v>
      </c>
      <c r="AM694" s="1">
        <f t="shared" si="57"/>
        <v>0</v>
      </c>
      <c r="AN694" s="1">
        <f t="shared" si="58"/>
        <v>0</v>
      </c>
      <c r="AO694" s="1">
        <f t="shared" si="59"/>
        <v>0</v>
      </c>
      <c r="AP694" t="b" cm="1">
        <f t="array" ref="AP694">INDEX($AU$8:$BB$25,6*(R694-1)+MATCH(AB694,$AS$8:$AS$13,0),MATCH(O694,$AU$7:$BB$7,0))</f>
        <v>1</v>
      </c>
    </row>
    <row r="695" spans="15:42" ht="14.25" x14ac:dyDescent="0.45">
      <c r="O695" s="43" t="s">
        <v>34</v>
      </c>
      <c r="P695" s="43">
        <v>2</v>
      </c>
      <c r="Q695" s="43">
        <v>4</v>
      </c>
      <c r="R695" s="43">
        <v>1</v>
      </c>
      <c r="S695" s="45"/>
      <c r="T695" t="b">
        <f>(S695+S696+S697)=S3</f>
        <v>0</v>
      </c>
      <c r="X695" s="1">
        <f t="shared" si="61"/>
        <v>0</v>
      </c>
      <c r="Y695" s="48">
        <v>0</v>
      </c>
      <c r="AA695" s="1">
        <v>2</v>
      </c>
      <c r="AB695" s="1" t="s">
        <v>12</v>
      </c>
      <c r="AC695" s="1" t="s">
        <v>18</v>
      </c>
      <c r="AD695" s="1">
        <v>25</v>
      </c>
      <c r="AE695" s="1">
        <v>19</v>
      </c>
      <c r="AF695" s="1">
        <v>0.76</v>
      </c>
      <c r="AG695" s="1">
        <v>0.81</v>
      </c>
      <c r="AH695" s="1">
        <v>0</v>
      </c>
      <c r="AI695" s="1">
        <v>0</v>
      </c>
      <c r="AJ695" s="1">
        <f t="shared" si="56"/>
        <v>0</v>
      </c>
      <c r="AK695" s="1">
        <f>C69</f>
        <v>0</v>
      </c>
      <c r="AL695" s="1">
        <f>C75</f>
        <v>0</v>
      </c>
      <c r="AM695" s="1">
        <f t="shared" si="57"/>
        <v>0</v>
      </c>
      <c r="AN695" s="1">
        <f t="shared" si="58"/>
        <v>0</v>
      </c>
      <c r="AO695" s="1">
        <f t="shared" si="59"/>
        <v>0</v>
      </c>
      <c r="AP695" t="b" cm="1">
        <f t="array" ref="AP695">INDEX($AU$8:$BB$25,6*(R695-1)+MATCH(AB695,$AS$8:$AS$13,0),MATCH(O695,$AU$7:$BB$7,0))</f>
        <v>1</v>
      </c>
    </row>
    <row r="696" spans="15:42" ht="14.25" x14ac:dyDescent="0.45">
      <c r="O696" s="43" t="s">
        <v>34</v>
      </c>
      <c r="P696" s="43">
        <v>2</v>
      </c>
      <c r="Q696" s="43">
        <v>4</v>
      </c>
      <c r="R696" s="43">
        <v>2</v>
      </c>
      <c r="S696" s="45"/>
      <c r="T696" t="b">
        <f>(S695+S696+S697)=S3</f>
        <v>0</v>
      </c>
      <c r="X696" s="1">
        <f t="shared" si="61"/>
        <v>0</v>
      </c>
      <c r="Y696" s="48">
        <v>0</v>
      </c>
      <c r="AA696" s="1">
        <v>2</v>
      </c>
      <c r="AB696" s="1" t="s">
        <v>12</v>
      </c>
      <c r="AC696" s="1" t="s">
        <v>18</v>
      </c>
      <c r="AD696" s="1">
        <v>25</v>
      </c>
      <c r="AE696" s="1">
        <v>19</v>
      </c>
      <c r="AF696" s="1">
        <v>0.76</v>
      </c>
      <c r="AG696" s="1">
        <v>0.81</v>
      </c>
      <c r="AH696" s="1">
        <v>0</v>
      </c>
      <c r="AI696" s="1">
        <v>0</v>
      </c>
      <c r="AJ696" s="1">
        <f t="shared" si="56"/>
        <v>0</v>
      </c>
      <c r="AK696" s="1">
        <f>D69</f>
        <v>0</v>
      </c>
      <c r="AL696" s="1">
        <f>D75</f>
        <v>0</v>
      </c>
      <c r="AM696" s="1">
        <f t="shared" si="57"/>
        <v>0</v>
      </c>
      <c r="AN696" s="1">
        <f t="shared" si="58"/>
        <v>0</v>
      </c>
      <c r="AO696" s="1">
        <f t="shared" si="59"/>
        <v>0</v>
      </c>
      <c r="AP696" t="b" cm="1">
        <f t="array" ref="AP696">INDEX($AU$8:$BB$25,6*(R696-1)+MATCH(AB696,$AS$8:$AS$13,0),MATCH(O696,$AU$7:$BB$7,0))</f>
        <v>1</v>
      </c>
    </row>
    <row r="697" spans="15:42" ht="14.25" x14ac:dyDescent="0.45">
      <c r="O697" s="43" t="s">
        <v>34</v>
      </c>
      <c r="P697" s="43">
        <v>2</v>
      </c>
      <c r="Q697" s="43">
        <v>4</v>
      </c>
      <c r="R697" s="43">
        <v>3</v>
      </c>
      <c r="S697" s="45"/>
      <c r="T697" t="b">
        <f>(S695+S696+S697)=S3</f>
        <v>0</v>
      </c>
      <c r="X697" s="1">
        <f t="shared" si="61"/>
        <v>0</v>
      </c>
      <c r="Y697" s="48">
        <v>0</v>
      </c>
      <c r="AA697" s="1">
        <v>2</v>
      </c>
      <c r="AB697" s="1" t="s">
        <v>12</v>
      </c>
      <c r="AC697" s="1" t="s">
        <v>18</v>
      </c>
      <c r="AD697" s="1">
        <v>25</v>
      </c>
      <c r="AE697" s="1">
        <v>19</v>
      </c>
      <c r="AF697" s="1">
        <v>0.76</v>
      </c>
      <c r="AG697" s="1">
        <v>0.81</v>
      </c>
      <c r="AH697" s="1">
        <v>0</v>
      </c>
      <c r="AI697" s="1">
        <v>0</v>
      </c>
      <c r="AJ697" s="1">
        <f t="shared" si="56"/>
        <v>0</v>
      </c>
      <c r="AK697" s="1">
        <f>E69</f>
        <v>0</v>
      </c>
      <c r="AL697" s="1">
        <f>E75</f>
        <v>0</v>
      </c>
      <c r="AM697" s="1">
        <f t="shared" si="57"/>
        <v>0</v>
      </c>
      <c r="AN697" s="1">
        <f t="shared" si="58"/>
        <v>0</v>
      </c>
      <c r="AO697" s="1">
        <f t="shared" si="59"/>
        <v>0</v>
      </c>
      <c r="AP697" t="b" cm="1">
        <f t="array" ref="AP697">INDEX($AU$8:$BB$25,6*(R697-1)+MATCH(AB697,$AS$8:$AS$13,0),MATCH(O697,$AU$7:$BB$7,0))</f>
        <v>1</v>
      </c>
    </row>
    <row r="698" spans="15:42" ht="14.25" x14ac:dyDescent="0.45">
      <c r="O698" s="43" t="s">
        <v>34</v>
      </c>
      <c r="P698" s="43">
        <v>2</v>
      </c>
      <c r="Q698" s="43">
        <v>5</v>
      </c>
      <c r="R698" s="43">
        <v>1</v>
      </c>
      <c r="S698" s="45"/>
      <c r="T698" t="b">
        <f>(S698+S699+S700)=S3</f>
        <v>0</v>
      </c>
      <c r="X698" s="1">
        <f t="shared" si="61"/>
        <v>0</v>
      </c>
      <c r="Y698" s="48">
        <v>0</v>
      </c>
      <c r="AA698" s="1">
        <v>3</v>
      </c>
      <c r="AB698" s="1" t="s">
        <v>12</v>
      </c>
      <c r="AC698" s="1" t="s">
        <v>18</v>
      </c>
      <c r="AD698" s="1">
        <v>15</v>
      </c>
      <c r="AE698" s="1">
        <v>11</v>
      </c>
      <c r="AF698" s="1">
        <v>0.76</v>
      </c>
      <c r="AG698" s="1">
        <v>0.81</v>
      </c>
      <c r="AH698" s="1">
        <v>0</v>
      </c>
      <c r="AI698" s="1">
        <v>0</v>
      </c>
      <c r="AJ698" s="1">
        <f t="shared" si="56"/>
        <v>0</v>
      </c>
      <c r="AK698" s="1">
        <f>C69</f>
        <v>0</v>
      </c>
      <c r="AL698" s="1">
        <f>C75</f>
        <v>0</v>
      </c>
      <c r="AM698" s="1">
        <f t="shared" si="57"/>
        <v>0</v>
      </c>
      <c r="AN698" s="1">
        <f t="shared" si="58"/>
        <v>0</v>
      </c>
      <c r="AO698" s="1">
        <f t="shared" si="59"/>
        <v>0</v>
      </c>
      <c r="AP698" t="b" cm="1">
        <f t="array" ref="AP698">INDEX($AU$8:$BB$25,6*(R698-1)+MATCH(AB698,$AS$8:$AS$13,0),MATCH(O698,$AU$7:$BB$7,0))</f>
        <v>1</v>
      </c>
    </row>
    <row r="699" spans="15:42" ht="14.25" x14ac:dyDescent="0.45">
      <c r="O699" s="43" t="s">
        <v>34</v>
      </c>
      <c r="P699" s="43">
        <v>2</v>
      </c>
      <c r="Q699" s="43">
        <v>5</v>
      </c>
      <c r="R699" s="43">
        <v>2</v>
      </c>
      <c r="S699" s="45"/>
      <c r="T699" t="b">
        <f>(S698+S699+S700)=S3</f>
        <v>0</v>
      </c>
      <c r="X699" s="1">
        <f t="shared" si="61"/>
        <v>0</v>
      </c>
      <c r="Y699" s="48">
        <v>0</v>
      </c>
      <c r="AA699" s="1">
        <v>3</v>
      </c>
      <c r="AB699" s="1" t="s">
        <v>12</v>
      </c>
      <c r="AC699" s="1" t="s">
        <v>18</v>
      </c>
      <c r="AD699" s="1">
        <v>15</v>
      </c>
      <c r="AE699" s="1">
        <v>11</v>
      </c>
      <c r="AF699" s="1">
        <v>0.76</v>
      </c>
      <c r="AG699" s="1">
        <v>0.81</v>
      </c>
      <c r="AH699" s="1">
        <v>0</v>
      </c>
      <c r="AI699" s="1">
        <v>0</v>
      </c>
      <c r="AJ699" s="1">
        <f t="shared" si="56"/>
        <v>0</v>
      </c>
      <c r="AK699" s="1">
        <f>D69</f>
        <v>0</v>
      </c>
      <c r="AL699" s="1">
        <f>D75</f>
        <v>0</v>
      </c>
      <c r="AM699" s="1">
        <f t="shared" si="57"/>
        <v>0</v>
      </c>
      <c r="AN699" s="1">
        <f t="shared" si="58"/>
        <v>0</v>
      </c>
      <c r="AO699" s="1">
        <f t="shared" si="59"/>
        <v>0</v>
      </c>
      <c r="AP699" t="b" cm="1">
        <f t="array" ref="AP699">INDEX($AU$8:$BB$25,6*(R699-1)+MATCH(AB699,$AS$8:$AS$13,0),MATCH(O699,$AU$7:$BB$7,0))</f>
        <v>1</v>
      </c>
    </row>
    <row r="700" spans="15:42" ht="14.25" x14ac:dyDescent="0.45">
      <c r="O700" s="43" t="s">
        <v>34</v>
      </c>
      <c r="P700" s="43">
        <v>2</v>
      </c>
      <c r="Q700" s="43">
        <v>5</v>
      </c>
      <c r="R700" s="43">
        <v>3</v>
      </c>
      <c r="S700" s="45"/>
      <c r="T700" t="b">
        <f>(S698+S699+S700)=S3</f>
        <v>0</v>
      </c>
      <c r="X700" s="1">
        <f t="shared" si="61"/>
        <v>0</v>
      </c>
      <c r="Y700" s="48">
        <v>0</v>
      </c>
      <c r="AA700" s="1">
        <v>3</v>
      </c>
      <c r="AB700" s="1" t="s">
        <v>12</v>
      </c>
      <c r="AC700" s="1" t="s">
        <v>18</v>
      </c>
      <c r="AD700" s="1">
        <v>15</v>
      </c>
      <c r="AE700" s="1">
        <v>11</v>
      </c>
      <c r="AF700" s="1">
        <v>0.76</v>
      </c>
      <c r="AG700" s="1">
        <v>0.81</v>
      </c>
      <c r="AH700" s="1">
        <v>0</v>
      </c>
      <c r="AI700" s="1">
        <v>0</v>
      </c>
      <c r="AJ700" s="1">
        <f t="shared" si="56"/>
        <v>0</v>
      </c>
      <c r="AK700" s="1">
        <f>E69</f>
        <v>0</v>
      </c>
      <c r="AL700" s="1">
        <f>E75</f>
        <v>0</v>
      </c>
      <c r="AM700" s="1">
        <f t="shared" si="57"/>
        <v>0</v>
      </c>
      <c r="AN700" s="1">
        <f t="shared" si="58"/>
        <v>0</v>
      </c>
      <c r="AO700" s="1">
        <f t="shared" si="59"/>
        <v>0</v>
      </c>
      <c r="AP700" t="b" cm="1">
        <f t="array" ref="AP700">INDEX($AU$8:$BB$25,6*(R700-1)+MATCH(AB700,$AS$8:$AS$13,0),MATCH(O700,$AU$7:$BB$7,0))</f>
        <v>1</v>
      </c>
    </row>
    <row r="701" spans="15:42" ht="14.25" x14ac:dyDescent="0.45">
      <c r="O701" s="43" t="s">
        <v>34</v>
      </c>
      <c r="P701" s="43">
        <v>2</v>
      </c>
      <c r="Q701" s="43">
        <v>6</v>
      </c>
      <c r="R701" s="43">
        <v>1</v>
      </c>
      <c r="S701" s="45"/>
      <c r="T701" t="b">
        <f>(S701+S702+S703)=S3</f>
        <v>0</v>
      </c>
      <c r="X701" s="1">
        <f t="shared" si="61"/>
        <v>0</v>
      </c>
      <c r="Y701" s="48">
        <v>0</v>
      </c>
      <c r="AA701" s="1">
        <v>5</v>
      </c>
      <c r="AB701" s="1" t="s">
        <v>16</v>
      </c>
      <c r="AC701" s="1" t="s">
        <v>22</v>
      </c>
      <c r="AD701" s="1">
        <v>16</v>
      </c>
      <c r="AE701" s="1">
        <v>14</v>
      </c>
      <c r="AF701" s="1">
        <v>0.8</v>
      </c>
      <c r="AG701" s="1">
        <v>0.9</v>
      </c>
      <c r="AH701" s="1">
        <v>0</v>
      </c>
      <c r="AI701" s="1">
        <v>0</v>
      </c>
      <c r="AJ701" s="1">
        <f t="shared" si="56"/>
        <v>0</v>
      </c>
      <c r="AK701" s="1">
        <f>C73</f>
        <v>0</v>
      </c>
      <c r="AL701" s="1">
        <f>C79</f>
        <v>0</v>
      </c>
      <c r="AM701" s="1">
        <f t="shared" si="57"/>
        <v>0</v>
      </c>
      <c r="AN701" s="1">
        <f t="shared" si="58"/>
        <v>0</v>
      </c>
      <c r="AO701" s="1">
        <f t="shared" si="59"/>
        <v>0</v>
      </c>
      <c r="AP701" t="b" cm="1">
        <f t="array" ref="AP701">INDEX($AU$8:$BB$25,6*(R701-1)+MATCH(AB701,$AS$8:$AS$13,0),MATCH(O701,$AU$7:$BB$7,0))</f>
        <v>1</v>
      </c>
    </row>
    <row r="702" spans="15:42" ht="14.25" x14ac:dyDescent="0.45">
      <c r="O702" s="43" t="s">
        <v>34</v>
      </c>
      <c r="P702" s="43">
        <v>2</v>
      </c>
      <c r="Q702" s="43">
        <v>6</v>
      </c>
      <c r="R702" s="43">
        <v>2</v>
      </c>
      <c r="S702" s="45"/>
      <c r="T702" t="b">
        <f>(S701+S702+S703)=S3</f>
        <v>0</v>
      </c>
      <c r="X702" s="1">
        <f t="shared" si="61"/>
        <v>0</v>
      </c>
      <c r="Y702" s="48">
        <v>0</v>
      </c>
      <c r="AA702" s="1">
        <v>5</v>
      </c>
      <c r="AB702" s="1" t="s">
        <v>16</v>
      </c>
      <c r="AC702" s="1" t="s">
        <v>22</v>
      </c>
      <c r="AD702" s="1">
        <v>16</v>
      </c>
      <c r="AE702" s="1">
        <v>14</v>
      </c>
      <c r="AF702" s="1">
        <v>0.8</v>
      </c>
      <c r="AG702" s="1">
        <v>0.9</v>
      </c>
      <c r="AH702" s="1">
        <v>0</v>
      </c>
      <c r="AI702" s="1">
        <v>0</v>
      </c>
      <c r="AJ702" s="1">
        <f t="shared" si="56"/>
        <v>0</v>
      </c>
      <c r="AK702" s="1">
        <f>D73</f>
        <v>0</v>
      </c>
      <c r="AL702" s="1">
        <f>D79</f>
        <v>0</v>
      </c>
      <c r="AM702" s="1">
        <f t="shared" si="57"/>
        <v>0</v>
      </c>
      <c r="AN702" s="1">
        <f t="shared" si="58"/>
        <v>0</v>
      </c>
      <c r="AO702" s="1">
        <f t="shared" si="59"/>
        <v>0</v>
      </c>
      <c r="AP702" t="b" cm="1">
        <f t="array" ref="AP702">INDEX($AU$8:$BB$25,6*(R702-1)+MATCH(AB702,$AS$8:$AS$13,0),MATCH(O702,$AU$7:$BB$7,0))</f>
        <v>1</v>
      </c>
    </row>
    <row r="703" spans="15:42" ht="14.25" x14ac:dyDescent="0.45">
      <c r="O703" s="43" t="s">
        <v>34</v>
      </c>
      <c r="P703" s="43">
        <v>2</v>
      </c>
      <c r="Q703" s="43">
        <v>6</v>
      </c>
      <c r="R703" s="43">
        <v>3</v>
      </c>
      <c r="S703" s="45"/>
      <c r="T703" t="b">
        <f>(S701+S702+S703)=S3</f>
        <v>0</v>
      </c>
      <c r="X703" s="1">
        <f t="shared" si="61"/>
        <v>0</v>
      </c>
      <c r="Y703" s="48">
        <v>0</v>
      </c>
      <c r="AA703" s="1">
        <v>5</v>
      </c>
      <c r="AB703" s="1" t="s">
        <v>16</v>
      </c>
      <c r="AC703" s="1" t="s">
        <v>22</v>
      </c>
      <c r="AD703" s="1">
        <v>16</v>
      </c>
      <c r="AE703" s="1">
        <v>14</v>
      </c>
      <c r="AF703" s="1">
        <v>0.8</v>
      </c>
      <c r="AG703" s="1">
        <v>0.9</v>
      </c>
      <c r="AH703" s="1">
        <v>0</v>
      </c>
      <c r="AI703" s="1">
        <v>0</v>
      </c>
      <c r="AJ703" s="1">
        <f t="shared" si="56"/>
        <v>0</v>
      </c>
      <c r="AK703" s="1">
        <f>E73</f>
        <v>0</v>
      </c>
      <c r="AL703" s="1">
        <f>E79</f>
        <v>0</v>
      </c>
      <c r="AM703" s="1">
        <f t="shared" si="57"/>
        <v>0</v>
      </c>
      <c r="AN703" s="1">
        <f t="shared" si="58"/>
        <v>0</v>
      </c>
      <c r="AO703" s="1">
        <f t="shared" si="59"/>
        <v>0</v>
      </c>
      <c r="AP703" t="b" cm="1">
        <f t="array" ref="AP703">INDEX($AU$8:$BB$25,6*(R703-1)+MATCH(AB703,$AS$8:$AS$13,0),MATCH(O703,$AU$7:$BB$7,0))</f>
        <v>1</v>
      </c>
    </row>
    <row r="704" spans="15:42" ht="14.25" x14ac:dyDescent="0.45">
      <c r="O704" s="43" t="s">
        <v>34</v>
      </c>
      <c r="P704" s="43">
        <v>2</v>
      </c>
      <c r="Q704" s="43">
        <v>7</v>
      </c>
      <c r="R704" s="43">
        <v>1</v>
      </c>
      <c r="S704" s="45"/>
      <c r="T704" t="b">
        <f>(S704+S705+S706)=S3</f>
        <v>0</v>
      </c>
      <c r="X704" s="1">
        <f t="shared" si="61"/>
        <v>0</v>
      </c>
      <c r="Y704" s="48">
        <v>0</v>
      </c>
      <c r="AA704" s="1">
        <v>4</v>
      </c>
      <c r="AB704" s="1" t="s">
        <v>16</v>
      </c>
      <c r="AC704" s="1" t="s">
        <v>22</v>
      </c>
      <c r="AD704" s="1">
        <v>17</v>
      </c>
      <c r="AE704" s="1">
        <v>15</v>
      </c>
      <c r="AF704" s="1">
        <v>0.8</v>
      </c>
      <c r="AG704" s="1">
        <v>0.9</v>
      </c>
      <c r="AH704" s="1">
        <v>0</v>
      </c>
      <c r="AI704" s="1">
        <v>0</v>
      </c>
      <c r="AJ704" s="1">
        <f t="shared" si="56"/>
        <v>0</v>
      </c>
      <c r="AK704" s="1">
        <f>C73</f>
        <v>0</v>
      </c>
      <c r="AL704" s="1">
        <f>C79</f>
        <v>0</v>
      </c>
      <c r="AM704" s="1">
        <f t="shared" si="57"/>
        <v>0</v>
      </c>
      <c r="AN704" s="1">
        <f t="shared" si="58"/>
        <v>0</v>
      </c>
      <c r="AO704" s="1">
        <f t="shared" si="59"/>
        <v>0</v>
      </c>
      <c r="AP704" t="b" cm="1">
        <f t="array" ref="AP704">INDEX($AU$8:$BB$25,6*(R704-1)+MATCH(AB704,$AS$8:$AS$13,0),MATCH(O704,$AU$7:$BB$7,0))</f>
        <v>1</v>
      </c>
    </row>
    <row r="705" spans="15:42" ht="14.25" x14ac:dyDescent="0.45">
      <c r="O705" s="43" t="s">
        <v>34</v>
      </c>
      <c r="P705" s="43">
        <v>2</v>
      </c>
      <c r="Q705" s="43">
        <v>7</v>
      </c>
      <c r="R705" s="43">
        <v>2</v>
      </c>
      <c r="S705" s="45"/>
      <c r="T705" t="b">
        <f>(S704+S705+S706)=S3</f>
        <v>0</v>
      </c>
      <c r="X705" s="1">
        <f t="shared" si="61"/>
        <v>0</v>
      </c>
      <c r="Y705" s="48">
        <v>0</v>
      </c>
      <c r="AA705" s="1">
        <v>4</v>
      </c>
      <c r="AB705" s="1" t="s">
        <v>16</v>
      </c>
      <c r="AC705" s="1" t="s">
        <v>22</v>
      </c>
      <c r="AD705" s="1">
        <v>17</v>
      </c>
      <c r="AE705" s="1">
        <v>15</v>
      </c>
      <c r="AF705" s="1">
        <v>0.8</v>
      </c>
      <c r="AG705" s="1">
        <v>0.9</v>
      </c>
      <c r="AH705" s="1">
        <v>0</v>
      </c>
      <c r="AI705" s="1">
        <v>0</v>
      </c>
      <c r="AJ705" s="1">
        <f t="shared" si="56"/>
        <v>0</v>
      </c>
      <c r="AK705" s="1">
        <f>D73</f>
        <v>0</v>
      </c>
      <c r="AL705" s="1">
        <f>D79</f>
        <v>0</v>
      </c>
      <c r="AM705" s="1">
        <f t="shared" si="57"/>
        <v>0</v>
      </c>
      <c r="AN705" s="1">
        <f t="shared" si="58"/>
        <v>0</v>
      </c>
      <c r="AO705" s="1">
        <f t="shared" si="59"/>
        <v>0</v>
      </c>
      <c r="AP705" t="b" cm="1">
        <f t="array" ref="AP705">INDEX($AU$8:$BB$25,6*(R705-1)+MATCH(AB705,$AS$8:$AS$13,0),MATCH(O705,$AU$7:$BB$7,0))</f>
        <v>1</v>
      </c>
    </row>
    <row r="706" spans="15:42" ht="14.25" x14ac:dyDescent="0.45">
      <c r="O706" s="43" t="s">
        <v>34</v>
      </c>
      <c r="P706" s="43">
        <v>2</v>
      </c>
      <c r="Q706" s="43">
        <v>7</v>
      </c>
      <c r="R706" s="43">
        <v>3</v>
      </c>
      <c r="S706" s="45"/>
      <c r="T706" t="b">
        <f>(S704+S705+S706)=S3</f>
        <v>0</v>
      </c>
      <c r="X706" s="1">
        <f t="shared" si="61"/>
        <v>0</v>
      </c>
      <c r="Y706" s="48">
        <v>0</v>
      </c>
      <c r="AA706" s="1">
        <v>4</v>
      </c>
      <c r="AB706" s="1" t="s">
        <v>16</v>
      </c>
      <c r="AC706" s="1" t="s">
        <v>22</v>
      </c>
      <c r="AD706" s="1">
        <v>17</v>
      </c>
      <c r="AE706" s="1">
        <v>15</v>
      </c>
      <c r="AF706" s="1">
        <v>0.8</v>
      </c>
      <c r="AG706" s="1">
        <v>0.9</v>
      </c>
      <c r="AH706" s="1">
        <v>0</v>
      </c>
      <c r="AI706" s="1">
        <v>0</v>
      </c>
      <c r="AJ706" s="1">
        <f t="shared" si="56"/>
        <v>0</v>
      </c>
      <c r="AK706" s="1">
        <f>E73</f>
        <v>0</v>
      </c>
      <c r="AL706" s="1">
        <f>E79</f>
        <v>0</v>
      </c>
      <c r="AM706" s="1">
        <f t="shared" si="57"/>
        <v>0</v>
      </c>
      <c r="AN706" s="1">
        <f t="shared" si="58"/>
        <v>0</v>
      </c>
      <c r="AO706" s="1">
        <f t="shared" si="59"/>
        <v>0</v>
      </c>
      <c r="AP706" t="b" cm="1">
        <f t="array" ref="AP706">INDEX($AU$8:$BB$25,6*(R706-1)+MATCH(AB706,$AS$8:$AS$13,0),MATCH(O706,$AU$7:$BB$7,0))</f>
        <v>1</v>
      </c>
    </row>
    <row r="707" spans="15:42" ht="14.25" x14ac:dyDescent="0.45">
      <c r="O707" s="43" t="s">
        <v>34</v>
      </c>
      <c r="P707" s="43">
        <v>2</v>
      </c>
      <c r="Q707" s="43">
        <v>8</v>
      </c>
      <c r="R707" s="43">
        <v>1</v>
      </c>
      <c r="S707" s="45"/>
      <c r="T707" t="b">
        <f>(S707+S708+S709)=S3</f>
        <v>0</v>
      </c>
      <c r="X707" s="1">
        <f t="shared" si="61"/>
        <v>0</v>
      </c>
      <c r="Y707" s="48">
        <v>0</v>
      </c>
      <c r="AA707" s="1">
        <v>4</v>
      </c>
      <c r="AB707" s="1" t="s">
        <v>12</v>
      </c>
      <c r="AC707" s="1" t="s">
        <v>18</v>
      </c>
      <c r="AD707" s="1">
        <v>22</v>
      </c>
      <c r="AE707" s="1">
        <v>16</v>
      </c>
      <c r="AF707" s="1">
        <v>0.76</v>
      </c>
      <c r="AG707" s="1">
        <v>0.81</v>
      </c>
      <c r="AH707" s="1">
        <v>0</v>
      </c>
      <c r="AI707" s="1">
        <v>0</v>
      </c>
      <c r="AJ707" s="1">
        <f t="shared" si="56"/>
        <v>0</v>
      </c>
      <c r="AK707" s="1">
        <f>C69</f>
        <v>0</v>
      </c>
      <c r="AL707" s="1">
        <f>C75</f>
        <v>0</v>
      </c>
      <c r="AM707" s="1">
        <f t="shared" si="57"/>
        <v>0</v>
      </c>
      <c r="AN707" s="1">
        <f t="shared" si="58"/>
        <v>0</v>
      </c>
      <c r="AO707" s="1">
        <f t="shared" si="59"/>
        <v>0</v>
      </c>
      <c r="AP707" t="b" cm="1">
        <f t="array" ref="AP707">INDEX($AU$8:$BB$25,6*(R707-1)+MATCH(AB707,$AS$8:$AS$13,0),MATCH(O707,$AU$7:$BB$7,0))</f>
        <v>1</v>
      </c>
    </row>
    <row r="708" spans="15:42" ht="14.25" x14ac:dyDescent="0.45">
      <c r="O708" s="43" t="s">
        <v>34</v>
      </c>
      <c r="P708" s="43">
        <v>2</v>
      </c>
      <c r="Q708" s="43">
        <v>8</v>
      </c>
      <c r="R708" s="43">
        <v>2</v>
      </c>
      <c r="S708" s="45"/>
      <c r="T708" t="b">
        <f>(S707+S708+S709)=S3</f>
        <v>0</v>
      </c>
      <c r="X708" s="1">
        <f t="shared" si="61"/>
        <v>0</v>
      </c>
      <c r="Y708" s="48">
        <v>0</v>
      </c>
      <c r="AA708" s="1">
        <v>4</v>
      </c>
      <c r="AB708" s="1" t="s">
        <v>12</v>
      </c>
      <c r="AC708" s="1" t="s">
        <v>18</v>
      </c>
      <c r="AD708" s="1">
        <v>22</v>
      </c>
      <c r="AE708" s="1">
        <v>16</v>
      </c>
      <c r="AF708" s="1">
        <v>0.76</v>
      </c>
      <c r="AG708" s="1">
        <v>0.81</v>
      </c>
      <c r="AH708" s="1">
        <v>0</v>
      </c>
      <c r="AI708" s="1">
        <v>0</v>
      </c>
      <c r="AJ708" s="1">
        <f t="shared" si="56"/>
        <v>0</v>
      </c>
      <c r="AK708" s="1">
        <f>D69</f>
        <v>0</v>
      </c>
      <c r="AL708" s="1">
        <f>D75</f>
        <v>0</v>
      </c>
      <c r="AM708" s="1">
        <f t="shared" si="57"/>
        <v>0</v>
      </c>
      <c r="AN708" s="1">
        <f t="shared" si="58"/>
        <v>0</v>
      </c>
      <c r="AO708" s="1">
        <f t="shared" si="59"/>
        <v>0</v>
      </c>
      <c r="AP708" t="b" cm="1">
        <f t="array" ref="AP708">INDEX($AU$8:$BB$25,6*(R708-1)+MATCH(AB708,$AS$8:$AS$13,0),MATCH(O708,$AU$7:$BB$7,0))</f>
        <v>1</v>
      </c>
    </row>
    <row r="709" spans="15:42" ht="14.25" x14ac:dyDescent="0.45">
      <c r="O709" s="43" t="s">
        <v>34</v>
      </c>
      <c r="P709" s="43">
        <v>2</v>
      </c>
      <c r="Q709" s="43">
        <v>8</v>
      </c>
      <c r="R709" s="43">
        <v>3</v>
      </c>
      <c r="S709" s="45"/>
      <c r="T709" t="b">
        <f>(S707+S708+S709)=S3</f>
        <v>0</v>
      </c>
      <c r="X709" s="1">
        <f t="shared" si="61"/>
        <v>0</v>
      </c>
      <c r="Y709" s="48">
        <v>0</v>
      </c>
      <c r="AA709" s="1">
        <v>4</v>
      </c>
      <c r="AB709" s="1" t="s">
        <v>12</v>
      </c>
      <c r="AC709" s="1" t="s">
        <v>18</v>
      </c>
      <c r="AD709" s="1">
        <v>22</v>
      </c>
      <c r="AE709" s="1">
        <v>16</v>
      </c>
      <c r="AF709" s="1">
        <v>0.76</v>
      </c>
      <c r="AG709" s="1">
        <v>0.81</v>
      </c>
      <c r="AH709" s="1">
        <v>0</v>
      </c>
      <c r="AI709" s="1">
        <v>0</v>
      </c>
      <c r="AJ709" s="1">
        <f t="shared" si="56"/>
        <v>0</v>
      </c>
      <c r="AK709" s="1">
        <f>E69</f>
        <v>0</v>
      </c>
      <c r="AL709" s="1">
        <f>E75</f>
        <v>0</v>
      </c>
      <c r="AM709" s="1">
        <f t="shared" si="57"/>
        <v>0</v>
      </c>
      <c r="AN709" s="1">
        <f t="shared" si="58"/>
        <v>0</v>
      </c>
      <c r="AO709" s="1">
        <f t="shared" si="59"/>
        <v>0</v>
      </c>
      <c r="AP709" t="b" cm="1">
        <f t="array" ref="AP709">INDEX($AU$8:$BB$25,6*(R709-1)+MATCH(AB709,$AS$8:$AS$13,0),MATCH(O709,$AU$7:$BB$7,0))</f>
        <v>1</v>
      </c>
    </row>
    <row r="710" spans="15:42" ht="14.25" x14ac:dyDescent="0.45">
      <c r="O710" s="43" t="s">
        <v>34</v>
      </c>
      <c r="P710" s="43">
        <v>2</v>
      </c>
      <c r="Q710" s="43">
        <v>9</v>
      </c>
      <c r="R710" s="43">
        <v>1</v>
      </c>
      <c r="S710" s="45"/>
      <c r="T710" t="b">
        <f>(S710+S711+S712)=S3</f>
        <v>0</v>
      </c>
      <c r="X710" s="1">
        <f t="shared" si="61"/>
        <v>0</v>
      </c>
      <c r="Y710" s="48">
        <v>0</v>
      </c>
      <c r="AA710" s="1">
        <v>4</v>
      </c>
      <c r="AB710" s="1" t="s">
        <v>15</v>
      </c>
      <c r="AC710" s="1" t="s">
        <v>21</v>
      </c>
      <c r="AD710" s="1">
        <v>7</v>
      </c>
      <c r="AE710" s="1">
        <v>6</v>
      </c>
      <c r="AF710" s="1">
        <v>0.76</v>
      </c>
      <c r="AG710" s="1">
        <v>0.84</v>
      </c>
      <c r="AH710" s="1">
        <v>0</v>
      </c>
      <c r="AI710" s="1">
        <v>0</v>
      </c>
      <c r="AJ710" s="1">
        <f t="shared" si="56"/>
        <v>0</v>
      </c>
      <c r="AK710" s="1">
        <f>C72</f>
        <v>0</v>
      </c>
      <c r="AL710" s="1">
        <f>C78</f>
        <v>0</v>
      </c>
      <c r="AM710" s="1">
        <f t="shared" si="57"/>
        <v>0</v>
      </c>
      <c r="AN710" s="1">
        <f t="shared" si="58"/>
        <v>0</v>
      </c>
      <c r="AO710" s="1">
        <f t="shared" si="59"/>
        <v>0</v>
      </c>
      <c r="AP710" t="b" cm="1">
        <f t="array" ref="AP710">INDEX($AU$8:$BB$25,6*(R710-1)+MATCH(AB710,$AS$8:$AS$13,0),MATCH(O710,$AU$7:$BB$7,0))</f>
        <v>1</v>
      </c>
    </row>
    <row r="711" spans="15:42" ht="14.25" x14ac:dyDescent="0.45">
      <c r="O711" s="43" t="s">
        <v>34</v>
      </c>
      <c r="P711" s="43">
        <v>2</v>
      </c>
      <c r="Q711" s="43">
        <v>9</v>
      </c>
      <c r="R711" s="43">
        <v>2</v>
      </c>
      <c r="S711" s="45"/>
      <c r="T711" t="b">
        <f>(S710+S711+S712)=S3</f>
        <v>0</v>
      </c>
      <c r="X711" s="1">
        <f t="shared" si="61"/>
        <v>0</v>
      </c>
      <c r="Y711" s="48">
        <v>0</v>
      </c>
      <c r="AA711" s="1">
        <v>4</v>
      </c>
      <c r="AB711" s="1" t="s">
        <v>15</v>
      </c>
      <c r="AC711" s="1" t="s">
        <v>21</v>
      </c>
      <c r="AD711" s="1">
        <v>7</v>
      </c>
      <c r="AE711" s="1">
        <v>6</v>
      </c>
      <c r="AF711" s="1">
        <v>0.76</v>
      </c>
      <c r="AG711" s="1">
        <v>0.84</v>
      </c>
      <c r="AH711" s="1">
        <v>0</v>
      </c>
      <c r="AI711" s="1">
        <v>0</v>
      </c>
      <c r="AJ711" s="1">
        <f t="shared" si="56"/>
        <v>0</v>
      </c>
      <c r="AK711" s="1">
        <f>D72</f>
        <v>0</v>
      </c>
      <c r="AL711" s="1">
        <f>D78</f>
        <v>0</v>
      </c>
      <c r="AM711" s="1">
        <f t="shared" si="57"/>
        <v>0</v>
      </c>
      <c r="AN711" s="1">
        <f t="shared" si="58"/>
        <v>0</v>
      </c>
      <c r="AO711" s="1">
        <f t="shared" si="59"/>
        <v>0</v>
      </c>
      <c r="AP711" t="b" cm="1">
        <f t="array" ref="AP711">INDEX($AU$8:$BB$25,6*(R711-1)+MATCH(AB711,$AS$8:$AS$13,0),MATCH(O711,$AU$7:$BB$7,0))</f>
        <v>1</v>
      </c>
    </row>
    <row r="712" spans="15:42" ht="14.25" x14ac:dyDescent="0.45">
      <c r="O712" s="43" t="s">
        <v>34</v>
      </c>
      <c r="P712" s="43">
        <v>2</v>
      </c>
      <c r="Q712" s="43">
        <v>9</v>
      </c>
      <c r="R712" s="43">
        <v>3</v>
      </c>
      <c r="S712" s="45"/>
      <c r="T712" t="b">
        <f>(S710+S711+S712)=S3</f>
        <v>0</v>
      </c>
      <c r="X712" s="1">
        <f t="shared" si="61"/>
        <v>0</v>
      </c>
      <c r="Y712" s="48">
        <v>0</v>
      </c>
      <c r="AA712" s="1">
        <v>4</v>
      </c>
      <c r="AB712" s="1" t="s">
        <v>15</v>
      </c>
      <c r="AC712" s="1" t="s">
        <v>21</v>
      </c>
      <c r="AD712" s="1">
        <v>7</v>
      </c>
      <c r="AE712" s="1">
        <v>6</v>
      </c>
      <c r="AF712" s="1">
        <v>0.76</v>
      </c>
      <c r="AG712" s="1">
        <v>0.84</v>
      </c>
      <c r="AH712" s="1">
        <v>0</v>
      </c>
      <c r="AI712" s="1">
        <v>0</v>
      </c>
      <c r="AJ712" s="1">
        <f t="shared" si="56"/>
        <v>0</v>
      </c>
      <c r="AK712" s="1">
        <f>E72</f>
        <v>0</v>
      </c>
      <c r="AL712" s="1">
        <f>E78</f>
        <v>0</v>
      </c>
      <c r="AM712" s="1">
        <f t="shared" si="57"/>
        <v>0</v>
      </c>
      <c r="AN712" s="1">
        <f t="shared" si="58"/>
        <v>0</v>
      </c>
      <c r="AO712" s="1">
        <f t="shared" si="59"/>
        <v>0</v>
      </c>
      <c r="AP712" t="b" cm="1">
        <f t="array" ref="AP712">INDEX($AU$8:$BB$25,6*(R712-1)+MATCH(AB712,$AS$8:$AS$13,0),MATCH(O712,$AU$7:$BB$7,0))</f>
        <v>1</v>
      </c>
    </row>
    <row r="713" spans="15:42" ht="14.25" x14ac:dyDescent="0.45">
      <c r="O713" s="43" t="s">
        <v>34</v>
      </c>
      <c r="P713" s="43">
        <v>2</v>
      </c>
      <c r="Q713" s="43">
        <v>10</v>
      </c>
      <c r="R713" s="43">
        <v>1</v>
      </c>
      <c r="S713" s="45"/>
      <c r="T713" t="b">
        <f>(S713+S714+S715)=S3</f>
        <v>0</v>
      </c>
      <c r="X713" s="1">
        <f t="shared" si="61"/>
        <v>0</v>
      </c>
      <c r="Y713" s="48">
        <v>0</v>
      </c>
      <c r="AA713" s="1">
        <v>6</v>
      </c>
      <c r="AB713" s="1" t="s">
        <v>15</v>
      </c>
      <c r="AC713" s="1" t="s">
        <v>21</v>
      </c>
      <c r="AD713" s="1">
        <v>9</v>
      </c>
      <c r="AE713" s="1">
        <v>7</v>
      </c>
      <c r="AF713" s="1">
        <v>0.76</v>
      </c>
      <c r="AG713" s="1">
        <v>0.84</v>
      </c>
      <c r="AH713" s="1">
        <v>0</v>
      </c>
      <c r="AI713" s="1">
        <v>0</v>
      </c>
      <c r="AJ713" s="1">
        <f t="shared" ref="AJ713:AJ776" si="62">SUMIFS(AH$8:AH$1039,$O$8:$O$1039,O713,$AB$8:$AB$1039,AB713,$R$8:$R$1039,R713,$AA$8:$AA$1039,"&lt;="&amp;AA713)</f>
        <v>0</v>
      </c>
      <c r="AK713" s="1">
        <f>C72</f>
        <v>0</v>
      </c>
      <c r="AL713" s="1">
        <f>C78</f>
        <v>0</v>
      </c>
      <c r="AM713" s="1">
        <f t="shared" ref="AM713:AM776" si="63">MAX(0,AJ713-AK713)</f>
        <v>0</v>
      </c>
      <c r="AN713" s="1">
        <f t="shared" ref="AN713:AN776" si="64">IF(AM713=0,AH713,IF(AM713&gt;=AH713,0,AH713-AM713))</f>
        <v>0</v>
      </c>
      <c r="AO713" s="1">
        <f t="shared" ref="AO713:AO776" si="65">IF(AM713&gt;=AH713,AI713,AI713*AM713/AH713)</f>
        <v>0</v>
      </c>
      <c r="AP713" t="b" cm="1">
        <f t="array" ref="AP713">INDEX($AU$8:$BB$25,6*(R713-1)+MATCH(AB713,$AS$8:$AS$13,0),MATCH(O713,$AU$7:$BB$7,0))</f>
        <v>1</v>
      </c>
    </row>
    <row r="714" spans="15:42" ht="14.25" x14ac:dyDescent="0.45">
      <c r="O714" s="43" t="s">
        <v>34</v>
      </c>
      <c r="P714" s="43">
        <v>2</v>
      </c>
      <c r="Q714" s="43">
        <v>10</v>
      </c>
      <c r="R714" s="43">
        <v>2</v>
      </c>
      <c r="S714" s="45"/>
      <c r="T714" t="b">
        <f>(S713+S714+S715)=S3</f>
        <v>0</v>
      </c>
      <c r="X714" s="1">
        <f t="shared" si="61"/>
        <v>0</v>
      </c>
      <c r="Y714" s="48">
        <v>0</v>
      </c>
      <c r="AA714" s="1">
        <v>6</v>
      </c>
      <c r="AB714" s="1" t="s">
        <v>15</v>
      </c>
      <c r="AC714" s="1" t="s">
        <v>21</v>
      </c>
      <c r="AD714" s="1">
        <v>9</v>
      </c>
      <c r="AE714" s="1">
        <v>7</v>
      </c>
      <c r="AF714" s="1">
        <v>0.76</v>
      </c>
      <c r="AG714" s="1">
        <v>0.84</v>
      </c>
      <c r="AH714" s="1">
        <v>0</v>
      </c>
      <c r="AI714" s="1">
        <v>0</v>
      </c>
      <c r="AJ714" s="1">
        <f t="shared" si="62"/>
        <v>0</v>
      </c>
      <c r="AK714" s="1">
        <f>D72</f>
        <v>0</v>
      </c>
      <c r="AL714" s="1">
        <f>D78</f>
        <v>0</v>
      </c>
      <c r="AM714" s="1">
        <f t="shared" si="63"/>
        <v>0</v>
      </c>
      <c r="AN714" s="1">
        <f t="shared" si="64"/>
        <v>0</v>
      </c>
      <c r="AO714" s="1">
        <f t="shared" si="65"/>
        <v>0</v>
      </c>
      <c r="AP714" t="b" cm="1">
        <f t="array" ref="AP714">INDEX($AU$8:$BB$25,6*(R714-1)+MATCH(AB714,$AS$8:$AS$13,0),MATCH(O714,$AU$7:$BB$7,0))</f>
        <v>1</v>
      </c>
    </row>
    <row r="715" spans="15:42" ht="14.25" x14ac:dyDescent="0.45">
      <c r="O715" s="43" t="s">
        <v>34</v>
      </c>
      <c r="P715" s="43">
        <v>2</v>
      </c>
      <c r="Q715" s="43">
        <v>10</v>
      </c>
      <c r="R715" s="43">
        <v>3</v>
      </c>
      <c r="S715" s="45"/>
      <c r="T715" t="b">
        <f>(S713+S714+S715)=S3</f>
        <v>0</v>
      </c>
      <c r="X715" s="1">
        <f t="shared" si="61"/>
        <v>0</v>
      </c>
      <c r="Y715" s="48">
        <v>0</v>
      </c>
      <c r="AA715" s="1">
        <v>6</v>
      </c>
      <c r="AB715" s="1" t="s">
        <v>15</v>
      </c>
      <c r="AC715" s="1" t="s">
        <v>21</v>
      </c>
      <c r="AD715" s="1">
        <v>9</v>
      </c>
      <c r="AE715" s="1">
        <v>7</v>
      </c>
      <c r="AF715" s="1">
        <v>0.76</v>
      </c>
      <c r="AG715" s="1">
        <v>0.84</v>
      </c>
      <c r="AH715" s="1">
        <v>0</v>
      </c>
      <c r="AI715" s="1">
        <v>0</v>
      </c>
      <c r="AJ715" s="1">
        <f t="shared" si="62"/>
        <v>0</v>
      </c>
      <c r="AK715" s="1">
        <f>E72</f>
        <v>0</v>
      </c>
      <c r="AL715" s="1">
        <f>E78</f>
        <v>0</v>
      </c>
      <c r="AM715" s="1">
        <f t="shared" si="63"/>
        <v>0</v>
      </c>
      <c r="AN715" s="1">
        <f t="shared" si="64"/>
        <v>0</v>
      </c>
      <c r="AO715" s="1">
        <f t="shared" si="65"/>
        <v>0</v>
      </c>
      <c r="AP715" t="b" cm="1">
        <f t="array" ref="AP715">INDEX($AU$8:$BB$25,6*(R715-1)+MATCH(AB715,$AS$8:$AS$13,0),MATCH(O715,$AU$7:$BB$7,0))</f>
        <v>1</v>
      </c>
    </row>
    <row r="716" spans="15:42" ht="14.25" x14ac:dyDescent="0.45">
      <c r="O716" s="43" t="s">
        <v>34</v>
      </c>
      <c r="P716" s="43">
        <v>2</v>
      </c>
      <c r="Q716" s="43">
        <v>11</v>
      </c>
      <c r="R716" s="43">
        <v>1</v>
      </c>
      <c r="S716" s="45"/>
      <c r="T716" t="b">
        <f>(S716+S717+S718)=S3</f>
        <v>0</v>
      </c>
      <c r="X716" s="1">
        <f t="shared" si="61"/>
        <v>0</v>
      </c>
      <c r="Y716" s="48">
        <v>0</v>
      </c>
      <c r="AA716" s="1">
        <v>2</v>
      </c>
      <c r="AB716" s="1" t="s">
        <v>15</v>
      </c>
      <c r="AC716" s="1" t="s">
        <v>21</v>
      </c>
      <c r="AD716" s="1">
        <v>20</v>
      </c>
      <c r="AE716" s="1">
        <v>19</v>
      </c>
      <c r="AF716" s="1">
        <v>0.76</v>
      </c>
      <c r="AG716" s="1">
        <v>0.84</v>
      </c>
      <c r="AH716" s="1">
        <v>0</v>
      </c>
      <c r="AI716" s="1">
        <v>0</v>
      </c>
      <c r="AJ716" s="1">
        <f t="shared" si="62"/>
        <v>0</v>
      </c>
      <c r="AK716" s="1">
        <f>C72</f>
        <v>0</v>
      </c>
      <c r="AL716" s="1">
        <f>C78</f>
        <v>0</v>
      </c>
      <c r="AM716" s="1">
        <f t="shared" si="63"/>
        <v>0</v>
      </c>
      <c r="AN716" s="1">
        <f t="shared" si="64"/>
        <v>0</v>
      </c>
      <c r="AO716" s="1">
        <f t="shared" si="65"/>
        <v>0</v>
      </c>
      <c r="AP716" t="b" cm="1">
        <f t="array" ref="AP716">INDEX($AU$8:$BB$25,6*(R716-1)+MATCH(AB716,$AS$8:$AS$13,0),MATCH(O716,$AU$7:$BB$7,0))</f>
        <v>1</v>
      </c>
    </row>
    <row r="717" spans="15:42" ht="14.25" x14ac:dyDescent="0.45">
      <c r="O717" s="43" t="s">
        <v>34</v>
      </c>
      <c r="P717" s="43">
        <v>2</v>
      </c>
      <c r="Q717" s="43">
        <v>11</v>
      </c>
      <c r="R717" s="43">
        <v>2</v>
      </c>
      <c r="S717" s="45"/>
      <c r="T717" t="b">
        <f>(S716+S717+S718)=S3</f>
        <v>0</v>
      </c>
      <c r="X717" s="1">
        <f t="shared" si="61"/>
        <v>0</v>
      </c>
      <c r="Y717" s="48">
        <v>0</v>
      </c>
      <c r="AA717" s="1">
        <v>2</v>
      </c>
      <c r="AB717" s="1" t="s">
        <v>15</v>
      </c>
      <c r="AC717" s="1" t="s">
        <v>21</v>
      </c>
      <c r="AD717" s="1">
        <v>20</v>
      </c>
      <c r="AE717" s="1">
        <v>19</v>
      </c>
      <c r="AF717" s="1">
        <v>0.76</v>
      </c>
      <c r="AG717" s="1">
        <v>0.84</v>
      </c>
      <c r="AH717" s="1">
        <v>0</v>
      </c>
      <c r="AI717" s="1">
        <v>0</v>
      </c>
      <c r="AJ717" s="1">
        <f t="shared" si="62"/>
        <v>0</v>
      </c>
      <c r="AK717" s="1">
        <f>D72</f>
        <v>0</v>
      </c>
      <c r="AL717" s="1">
        <f>D78</f>
        <v>0</v>
      </c>
      <c r="AM717" s="1">
        <f t="shared" si="63"/>
        <v>0</v>
      </c>
      <c r="AN717" s="1">
        <f t="shared" si="64"/>
        <v>0</v>
      </c>
      <c r="AO717" s="1">
        <f t="shared" si="65"/>
        <v>0</v>
      </c>
      <c r="AP717" t="b" cm="1">
        <f t="array" ref="AP717">INDEX($AU$8:$BB$25,6*(R717-1)+MATCH(AB717,$AS$8:$AS$13,0),MATCH(O717,$AU$7:$BB$7,0))</f>
        <v>1</v>
      </c>
    </row>
    <row r="718" spans="15:42" ht="14.25" x14ac:dyDescent="0.45">
      <c r="O718" s="43" t="s">
        <v>34</v>
      </c>
      <c r="P718" s="43">
        <v>2</v>
      </c>
      <c r="Q718" s="43">
        <v>11</v>
      </c>
      <c r="R718" s="43">
        <v>3</v>
      </c>
      <c r="S718" s="45"/>
      <c r="T718" t="b">
        <f>(S716+S717+S718)=S3</f>
        <v>0</v>
      </c>
      <c r="X718" s="1">
        <f t="shared" si="61"/>
        <v>0</v>
      </c>
      <c r="Y718" s="48">
        <v>0</v>
      </c>
      <c r="AA718" s="1">
        <v>2</v>
      </c>
      <c r="AB718" s="1" t="s">
        <v>15</v>
      </c>
      <c r="AC718" s="1" t="s">
        <v>21</v>
      </c>
      <c r="AD718" s="1">
        <v>20</v>
      </c>
      <c r="AE718" s="1">
        <v>19</v>
      </c>
      <c r="AF718" s="1">
        <v>0.76</v>
      </c>
      <c r="AG718" s="1">
        <v>0.84</v>
      </c>
      <c r="AH718" s="1">
        <v>0</v>
      </c>
      <c r="AI718" s="1">
        <v>0</v>
      </c>
      <c r="AJ718" s="1">
        <f t="shared" si="62"/>
        <v>0</v>
      </c>
      <c r="AK718" s="1">
        <f>E72</f>
        <v>0</v>
      </c>
      <c r="AL718" s="1">
        <f>E78</f>
        <v>0</v>
      </c>
      <c r="AM718" s="1">
        <f t="shared" si="63"/>
        <v>0</v>
      </c>
      <c r="AN718" s="1">
        <f t="shared" si="64"/>
        <v>0</v>
      </c>
      <c r="AO718" s="1">
        <f t="shared" si="65"/>
        <v>0</v>
      </c>
      <c r="AP718" t="b" cm="1">
        <f t="array" ref="AP718">INDEX($AU$8:$BB$25,6*(R718-1)+MATCH(AB718,$AS$8:$AS$13,0),MATCH(O718,$AU$7:$BB$7,0))</f>
        <v>1</v>
      </c>
    </row>
    <row r="719" spans="15:42" ht="14.25" x14ac:dyDescent="0.45">
      <c r="O719" s="43" t="s">
        <v>34</v>
      </c>
      <c r="P719" s="43">
        <v>2</v>
      </c>
      <c r="Q719" s="43">
        <v>12</v>
      </c>
      <c r="R719" s="43">
        <v>1</v>
      </c>
      <c r="S719" s="45"/>
      <c r="T719" t="b">
        <f>(S719+S720+S721)=S3</f>
        <v>0</v>
      </c>
      <c r="X719" s="1">
        <f t="shared" si="61"/>
        <v>0</v>
      </c>
      <c r="Y719" s="48">
        <v>0</v>
      </c>
      <c r="AA719" s="1">
        <v>7</v>
      </c>
      <c r="AB719" s="1" t="s">
        <v>16</v>
      </c>
      <c r="AC719" s="1" t="s">
        <v>22</v>
      </c>
      <c r="AD719" s="1">
        <v>21</v>
      </c>
      <c r="AE719" s="1">
        <v>18</v>
      </c>
      <c r="AF719" s="1">
        <v>0.8</v>
      </c>
      <c r="AG719" s="1">
        <v>0.9</v>
      </c>
      <c r="AH719" s="1">
        <v>0</v>
      </c>
      <c r="AI719" s="1">
        <v>0</v>
      </c>
      <c r="AJ719" s="1">
        <f t="shared" si="62"/>
        <v>0</v>
      </c>
      <c r="AK719" s="1">
        <f>C73</f>
        <v>0</v>
      </c>
      <c r="AL719" s="1">
        <f>C79</f>
        <v>0</v>
      </c>
      <c r="AM719" s="1">
        <f t="shared" si="63"/>
        <v>0</v>
      </c>
      <c r="AN719" s="1">
        <f t="shared" si="64"/>
        <v>0</v>
      </c>
      <c r="AO719" s="1">
        <f t="shared" si="65"/>
        <v>0</v>
      </c>
      <c r="AP719" t="b" cm="1">
        <f t="array" ref="AP719">INDEX($AU$8:$BB$25,6*(R719-1)+MATCH(AB719,$AS$8:$AS$13,0),MATCH(O719,$AU$7:$BB$7,0))</f>
        <v>1</v>
      </c>
    </row>
    <row r="720" spans="15:42" ht="14.25" x14ac:dyDescent="0.45">
      <c r="O720" s="43" t="s">
        <v>34</v>
      </c>
      <c r="P720" s="43">
        <v>2</v>
      </c>
      <c r="Q720" s="43">
        <v>12</v>
      </c>
      <c r="R720" s="43">
        <v>2</v>
      </c>
      <c r="S720" s="45"/>
      <c r="T720" t="b">
        <f>(S719+S720+S721)=S3</f>
        <v>0</v>
      </c>
      <c r="X720" s="1">
        <f t="shared" si="61"/>
        <v>0</v>
      </c>
      <c r="Y720" s="48">
        <v>0</v>
      </c>
      <c r="AA720" s="1">
        <v>7</v>
      </c>
      <c r="AB720" s="1" t="s">
        <v>16</v>
      </c>
      <c r="AC720" s="1" t="s">
        <v>22</v>
      </c>
      <c r="AD720" s="1">
        <v>21</v>
      </c>
      <c r="AE720" s="1">
        <v>18</v>
      </c>
      <c r="AF720" s="1">
        <v>0.8</v>
      </c>
      <c r="AG720" s="1">
        <v>0.9</v>
      </c>
      <c r="AH720" s="1">
        <v>0</v>
      </c>
      <c r="AI720" s="1">
        <v>0</v>
      </c>
      <c r="AJ720" s="1">
        <f t="shared" si="62"/>
        <v>0</v>
      </c>
      <c r="AK720" s="1">
        <f>D73</f>
        <v>0</v>
      </c>
      <c r="AL720" s="1">
        <f>D79</f>
        <v>0</v>
      </c>
      <c r="AM720" s="1">
        <f t="shared" si="63"/>
        <v>0</v>
      </c>
      <c r="AN720" s="1">
        <f t="shared" si="64"/>
        <v>0</v>
      </c>
      <c r="AO720" s="1">
        <f t="shared" si="65"/>
        <v>0</v>
      </c>
      <c r="AP720" t="b" cm="1">
        <f t="array" ref="AP720">INDEX($AU$8:$BB$25,6*(R720-1)+MATCH(AB720,$AS$8:$AS$13,0),MATCH(O720,$AU$7:$BB$7,0))</f>
        <v>1</v>
      </c>
    </row>
    <row r="721" spans="15:42" ht="14.25" x14ac:dyDescent="0.45">
      <c r="O721" s="43" t="s">
        <v>34</v>
      </c>
      <c r="P721" s="43">
        <v>2</v>
      </c>
      <c r="Q721" s="43">
        <v>12</v>
      </c>
      <c r="R721" s="43">
        <v>3</v>
      </c>
      <c r="S721" s="45"/>
      <c r="T721" t="b">
        <f>(S719+S720+S721)=S3</f>
        <v>0</v>
      </c>
      <c r="X721" s="1">
        <f t="shared" si="61"/>
        <v>0</v>
      </c>
      <c r="Y721" s="48">
        <v>0</v>
      </c>
      <c r="AA721" s="1">
        <v>7</v>
      </c>
      <c r="AB721" s="1" t="s">
        <v>16</v>
      </c>
      <c r="AC721" s="1" t="s">
        <v>22</v>
      </c>
      <c r="AD721" s="1">
        <v>21</v>
      </c>
      <c r="AE721" s="1">
        <v>18</v>
      </c>
      <c r="AF721" s="1">
        <v>0.8</v>
      </c>
      <c r="AG721" s="1">
        <v>0.9</v>
      </c>
      <c r="AH721" s="1">
        <v>0</v>
      </c>
      <c r="AI721" s="1">
        <v>0</v>
      </c>
      <c r="AJ721" s="1">
        <f t="shared" si="62"/>
        <v>0</v>
      </c>
      <c r="AK721" s="1">
        <f>E73</f>
        <v>0</v>
      </c>
      <c r="AL721" s="1">
        <f>E79</f>
        <v>0</v>
      </c>
      <c r="AM721" s="1">
        <f t="shared" si="63"/>
        <v>0</v>
      </c>
      <c r="AN721" s="1">
        <f t="shared" si="64"/>
        <v>0</v>
      </c>
      <c r="AO721" s="1">
        <f t="shared" si="65"/>
        <v>0</v>
      </c>
      <c r="AP721" t="b" cm="1">
        <f t="array" ref="AP721">INDEX($AU$8:$BB$25,6*(R721-1)+MATCH(AB721,$AS$8:$AS$13,0),MATCH(O721,$AU$7:$BB$7,0))</f>
        <v>1</v>
      </c>
    </row>
    <row r="722" spans="15:42" ht="14.25" x14ac:dyDescent="0.45">
      <c r="O722" s="43" t="s">
        <v>34</v>
      </c>
      <c r="P722" s="43">
        <v>2</v>
      </c>
      <c r="Q722" s="43">
        <v>13</v>
      </c>
      <c r="R722" s="43">
        <v>1</v>
      </c>
      <c r="S722" s="45"/>
      <c r="T722" t="b">
        <f>(S722+S723+S724)=S3</f>
        <v>0</v>
      </c>
      <c r="X722" s="1">
        <f t="shared" si="61"/>
        <v>0</v>
      </c>
      <c r="Y722" s="48">
        <v>0</v>
      </c>
      <c r="AA722" s="1">
        <v>8</v>
      </c>
      <c r="AB722" s="1" t="s">
        <v>15</v>
      </c>
      <c r="AC722" s="1" t="s">
        <v>21</v>
      </c>
      <c r="AD722" s="1">
        <v>12</v>
      </c>
      <c r="AE722" s="1">
        <v>9</v>
      </c>
      <c r="AF722" s="1">
        <v>0.76</v>
      </c>
      <c r="AG722" s="1">
        <v>0.84</v>
      </c>
      <c r="AH722" s="1">
        <v>0</v>
      </c>
      <c r="AI722" s="1">
        <v>0</v>
      </c>
      <c r="AJ722" s="1">
        <f t="shared" si="62"/>
        <v>0</v>
      </c>
      <c r="AK722" s="1">
        <f>C72</f>
        <v>0</v>
      </c>
      <c r="AL722" s="1">
        <f>C78</f>
        <v>0</v>
      </c>
      <c r="AM722" s="1">
        <f t="shared" si="63"/>
        <v>0</v>
      </c>
      <c r="AN722" s="1">
        <f t="shared" si="64"/>
        <v>0</v>
      </c>
      <c r="AO722" s="1">
        <f t="shared" si="65"/>
        <v>0</v>
      </c>
      <c r="AP722" t="b" cm="1">
        <f t="array" ref="AP722">INDEX($AU$8:$BB$25,6*(R722-1)+MATCH(AB722,$AS$8:$AS$13,0),MATCH(O722,$AU$7:$BB$7,0))</f>
        <v>1</v>
      </c>
    </row>
    <row r="723" spans="15:42" ht="14.25" x14ac:dyDescent="0.45">
      <c r="O723" s="43" t="s">
        <v>34</v>
      </c>
      <c r="P723" s="43">
        <v>2</v>
      </c>
      <c r="Q723" s="43">
        <v>13</v>
      </c>
      <c r="R723" s="43">
        <v>2</v>
      </c>
      <c r="S723" s="45"/>
      <c r="T723" t="b">
        <f>(S722+S723+S724)=S3</f>
        <v>0</v>
      </c>
      <c r="X723" s="1">
        <f t="shared" si="61"/>
        <v>0</v>
      </c>
      <c r="Y723" s="48">
        <v>0</v>
      </c>
      <c r="AA723" s="1">
        <v>8</v>
      </c>
      <c r="AB723" s="1" t="s">
        <v>15</v>
      </c>
      <c r="AC723" s="1" t="s">
        <v>21</v>
      </c>
      <c r="AD723" s="1">
        <v>12</v>
      </c>
      <c r="AE723" s="1">
        <v>9</v>
      </c>
      <c r="AF723" s="1">
        <v>0.76</v>
      </c>
      <c r="AG723" s="1">
        <v>0.84</v>
      </c>
      <c r="AH723" s="1">
        <v>0</v>
      </c>
      <c r="AI723" s="1">
        <v>0</v>
      </c>
      <c r="AJ723" s="1">
        <f t="shared" si="62"/>
        <v>0</v>
      </c>
      <c r="AK723" s="1">
        <f>D72</f>
        <v>0</v>
      </c>
      <c r="AL723" s="1">
        <f>D78</f>
        <v>0</v>
      </c>
      <c r="AM723" s="1">
        <f t="shared" si="63"/>
        <v>0</v>
      </c>
      <c r="AN723" s="1">
        <f t="shared" si="64"/>
        <v>0</v>
      </c>
      <c r="AO723" s="1">
        <f t="shared" si="65"/>
        <v>0</v>
      </c>
      <c r="AP723" t="b" cm="1">
        <f t="array" ref="AP723">INDEX($AU$8:$BB$25,6*(R723-1)+MATCH(AB723,$AS$8:$AS$13,0),MATCH(O723,$AU$7:$BB$7,0))</f>
        <v>1</v>
      </c>
    </row>
    <row r="724" spans="15:42" ht="14.25" x14ac:dyDescent="0.45">
      <c r="O724" s="43" t="s">
        <v>34</v>
      </c>
      <c r="P724" s="43">
        <v>2</v>
      </c>
      <c r="Q724" s="43">
        <v>13</v>
      </c>
      <c r="R724" s="43">
        <v>3</v>
      </c>
      <c r="S724" s="45"/>
      <c r="T724" t="b">
        <f>(S722+S723+S724)=S3</f>
        <v>0</v>
      </c>
      <c r="X724" s="1">
        <f t="shared" si="61"/>
        <v>0</v>
      </c>
      <c r="Y724" s="48">
        <v>0</v>
      </c>
      <c r="AA724" s="1">
        <v>8</v>
      </c>
      <c r="AB724" s="1" t="s">
        <v>15</v>
      </c>
      <c r="AC724" s="1" t="s">
        <v>21</v>
      </c>
      <c r="AD724" s="1">
        <v>12</v>
      </c>
      <c r="AE724" s="1">
        <v>9</v>
      </c>
      <c r="AF724" s="1">
        <v>0.76</v>
      </c>
      <c r="AG724" s="1">
        <v>0.84</v>
      </c>
      <c r="AH724" s="1">
        <v>0</v>
      </c>
      <c r="AI724" s="1">
        <v>0</v>
      </c>
      <c r="AJ724" s="1">
        <f t="shared" si="62"/>
        <v>0</v>
      </c>
      <c r="AK724" s="1">
        <f>E72</f>
        <v>0</v>
      </c>
      <c r="AL724" s="1">
        <f>E78</f>
        <v>0</v>
      </c>
      <c r="AM724" s="1">
        <f t="shared" si="63"/>
        <v>0</v>
      </c>
      <c r="AN724" s="1">
        <f t="shared" si="64"/>
        <v>0</v>
      </c>
      <c r="AO724" s="1">
        <f t="shared" si="65"/>
        <v>0</v>
      </c>
      <c r="AP724" t="b" cm="1">
        <f t="array" ref="AP724">INDEX($AU$8:$BB$25,6*(R724-1)+MATCH(AB724,$AS$8:$AS$13,0),MATCH(O724,$AU$7:$BB$7,0))</f>
        <v>1</v>
      </c>
    </row>
    <row r="725" spans="15:42" ht="14.25" x14ac:dyDescent="0.45">
      <c r="O725" s="43" t="s">
        <v>34</v>
      </c>
      <c r="P725" s="43">
        <v>2</v>
      </c>
      <c r="Q725" s="43">
        <v>14</v>
      </c>
      <c r="R725" s="43">
        <v>1</v>
      </c>
      <c r="S725" s="45"/>
      <c r="T725" t="b">
        <f>(S725+S726+S727)=S3</f>
        <v>0</v>
      </c>
      <c r="X725" s="1">
        <f t="shared" si="61"/>
        <v>0</v>
      </c>
      <c r="Y725" s="48">
        <v>0</v>
      </c>
      <c r="AA725" s="1">
        <v>5</v>
      </c>
      <c r="AB725" s="1" t="s">
        <v>15</v>
      </c>
      <c r="AC725" s="1" t="s">
        <v>21</v>
      </c>
      <c r="AD725" s="1">
        <v>15</v>
      </c>
      <c r="AE725" s="1">
        <v>12</v>
      </c>
      <c r="AF725" s="1">
        <v>0.76</v>
      </c>
      <c r="AG725" s="1">
        <v>0.84</v>
      </c>
      <c r="AH725" s="1">
        <v>0</v>
      </c>
      <c r="AI725" s="1">
        <v>0</v>
      </c>
      <c r="AJ725" s="1">
        <f t="shared" si="62"/>
        <v>0</v>
      </c>
      <c r="AK725" s="1">
        <f>C72</f>
        <v>0</v>
      </c>
      <c r="AL725" s="1">
        <f>C78</f>
        <v>0</v>
      </c>
      <c r="AM725" s="1">
        <f t="shared" si="63"/>
        <v>0</v>
      </c>
      <c r="AN725" s="1">
        <f t="shared" si="64"/>
        <v>0</v>
      </c>
      <c r="AO725" s="1">
        <f t="shared" si="65"/>
        <v>0</v>
      </c>
      <c r="AP725" t="b" cm="1">
        <f t="array" ref="AP725">INDEX($AU$8:$BB$25,6*(R725-1)+MATCH(AB725,$AS$8:$AS$13,0),MATCH(O725,$AU$7:$BB$7,0))</f>
        <v>1</v>
      </c>
    </row>
    <row r="726" spans="15:42" ht="14.25" x14ac:dyDescent="0.45">
      <c r="O726" s="43" t="s">
        <v>34</v>
      </c>
      <c r="P726" s="43">
        <v>2</v>
      </c>
      <c r="Q726" s="43">
        <v>14</v>
      </c>
      <c r="R726" s="43">
        <v>2</v>
      </c>
      <c r="S726" s="45"/>
      <c r="T726" t="b">
        <f>(S725+S726+S727)=S3</f>
        <v>0</v>
      </c>
      <c r="X726" s="1">
        <f t="shared" si="61"/>
        <v>0</v>
      </c>
      <c r="Y726" s="48">
        <v>0</v>
      </c>
      <c r="AA726" s="1">
        <v>5</v>
      </c>
      <c r="AB726" s="1" t="s">
        <v>15</v>
      </c>
      <c r="AC726" s="1" t="s">
        <v>21</v>
      </c>
      <c r="AD726" s="1">
        <v>15</v>
      </c>
      <c r="AE726" s="1">
        <v>12</v>
      </c>
      <c r="AF726" s="1">
        <v>0.76</v>
      </c>
      <c r="AG726" s="1">
        <v>0.84</v>
      </c>
      <c r="AH726" s="1">
        <v>0</v>
      </c>
      <c r="AI726" s="1">
        <v>0</v>
      </c>
      <c r="AJ726" s="1">
        <f t="shared" si="62"/>
        <v>0</v>
      </c>
      <c r="AK726" s="1">
        <f>D72</f>
        <v>0</v>
      </c>
      <c r="AL726" s="1">
        <f>D78</f>
        <v>0</v>
      </c>
      <c r="AM726" s="1">
        <f t="shared" si="63"/>
        <v>0</v>
      </c>
      <c r="AN726" s="1">
        <f t="shared" si="64"/>
        <v>0</v>
      </c>
      <c r="AO726" s="1">
        <f t="shared" si="65"/>
        <v>0</v>
      </c>
      <c r="AP726" t="b" cm="1">
        <f t="array" ref="AP726">INDEX($AU$8:$BB$25,6*(R726-1)+MATCH(AB726,$AS$8:$AS$13,0),MATCH(O726,$AU$7:$BB$7,0))</f>
        <v>1</v>
      </c>
    </row>
    <row r="727" spans="15:42" ht="14.25" x14ac:dyDescent="0.45">
      <c r="O727" s="43" t="s">
        <v>34</v>
      </c>
      <c r="P727" s="43">
        <v>2</v>
      </c>
      <c r="Q727" s="43">
        <v>14</v>
      </c>
      <c r="R727" s="43">
        <v>3</v>
      </c>
      <c r="S727" s="45"/>
      <c r="T727" t="b">
        <f>(S725+S726+S727)=S3</f>
        <v>0</v>
      </c>
      <c r="X727" s="1">
        <f t="shared" si="61"/>
        <v>0</v>
      </c>
      <c r="Y727" s="48">
        <v>0</v>
      </c>
      <c r="AA727" s="1">
        <v>5</v>
      </c>
      <c r="AB727" s="1" t="s">
        <v>15</v>
      </c>
      <c r="AC727" s="1" t="s">
        <v>21</v>
      </c>
      <c r="AD727" s="1">
        <v>15</v>
      </c>
      <c r="AE727" s="1">
        <v>12</v>
      </c>
      <c r="AF727" s="1">
        <v>0.76</v>
      </c>
      <c r="AG727" s="1">
        <v>0.84</v>
      </c>
      <c r="AH727" s="1">
        <v>0</v>
      </c>
      <c r="AI727" s="1">
        <v>0</v>
      </c>
      <c r="AJ727" s="1">
        <f t="shared" si="62"/>
        <v>0</v>
      </c>
      <c r="AK727" s="1">
        <f>E72</f>
        <v>0</v>
      </c>
      <c r="AL727" s="1">
        <f>E78</f>
        <v>0</v>
      </c>
      <c r="AM727" s="1">
        <f t="shared" si="63"/>
        <v>0</v>
      </c>
      <c r="AN727" s="1">
        <f t="shared" si="64"/>
        <v>0</v>
      </c>
      <c r="AO727" s="1">
        <f t="shared" si="65"/>
        <v>0</v>
      </c>
      <c r="AP727" t="b" cm="1">
        <f t="array" ref="AP727">INDEX($AU$8:$BB$25,6*(R727-1)+MATCH(AB727,$AS$8:$AS$13,0),MATCH(O727,$AU$7:$BB$7,0))</f>
        <v>1</v>
      </c>
    </row>
    <row r="728" spans="15:42" ht="14.25" x14ac:dyDescent="0.45">
      <c r="O728" s="43" t="s">
        <v>34</v>
      </c>
      <c r="P728" s="43">
        <v>2</v>
      </c>
      <c r="Q728" s="43">
        <v>15</v>
      </c>
      <c r="R728" s="43">
        <v>1</v>
      </c>
      <c r="S728" s="45"/>
      <c r="T728" t="b">
        <f>(S728+S729+S730)=S3</f>
        <v>0</v>
      </c>
      <c r="X728" s="1">
        <f t="shared" si="61"/>
        <v>0</v>
      </c>
      <c r="Y728" s="48">
        <v>0</v>
      </c>
      <c r="AA728" s="1">
        <v>7</v>
      </c>
      <c r="AB728" s="1" t="s">
        <v>15</v>
      </c>
      <c r="AC728" s="1" t="s">
        <v>21</v>
      </c>
      <c r="AD728" s="1">
        <v>13</v>
      </c>
      <c r="AE728" s="1">
        <v>10</v>
      </c>
      <c r="AF728" s="1">
        <v>0.76</v>
      </c>
      <c r="AG728" s="1">
        <v>0.84</v>
      </c>
      <c r="AH728" s="1">
        <v>0</v>
      </c>
      <c r="AI728" s="1">
        <v>0</v>
      </c>
      <c r="AJ728" s="1">
        <f t="shared" si="62"/>
        <v>0</v>
      </c>
      <c r="AK728" s="1">
        <f>C72</f>
        <v>0</v>
      </c>
      <c r="AL728" s="1">
        <f>C78</f>
        <v>0</v>
      </c>
      <c r="AM728" s="1">
        <f t="shared" si="63"/>
        <v>0</v>
      </c>
      <c r="AN728" s="1">
        <f t="shared" si="64"/>
        <v>0</v>
      </c>
      <c r="AO728" s="1">
        <f t="shared" si="65"/>
        <v>0</v>
      </c>
      <c r="AP728" t="b" cm="1">
        <f t="array" ref="AP728">INDEX($AU$8:$BB$25,6*(R728-1)+MATCH(AB728,$AS$8:$AS$13,0),MATCH(O728,$AU$7:$BB$7,0))</f>
        <v>1</v>
      </c>
    </row>
    <row r="729" spans="15:42" ht="14.25" x14ac:dyDescent="0.45">
      <c r="O729" s="43" t="s">
        <v>34</v>
      </c>
      <c r="P729" s="43">
        <v>2</v>
      </c>
      <c r="Q729" s="43">
        <v>15</v>
      </c>
      <c r="R729" s="43">
        <v>2</v>
      </c>
      <c r="S729" s="45"/>
      <c r="T729" t="b">
        <f>(S728+S729+S730)=S3</f>
        <v>0</v>
      </c>
      <c r="X729" s="1">
        <f t="shared" si="61"/>
        <v>0</v>
      </c>
      <c r="Y729" s="48">
        <v>0</v>
      </c>
      <c r="AA729" s="1">
        <v>7</v>
      </c>
      <c r="AB729" s="1" t="s">
        <v>15</v>
      </c>
      <c r="AC729" s="1" t="s">
        <v>21</v>
      </c>
      <c r="AD729" s="1">
        <v>13</v>
      </c>
      <c r="AE729" s="1">
        <v>10</v>
      </c>
      <c r="AF729" s="1">
        <v>0.76</v>
      </c>
      <c r="AG729" s="1">
        <v>0.84</v>
      </c>
      <c r="AH729" s="1">
        <v>0</v>
      </c>
      <c r="AI729" s="1">
        <v>0</v>
      </c>
      <c r="AJ729" s="1">
        <f t="shared" si="62"/>
        <v>0</v>
      </c>
      <c r="AK729" s="1">
        <f>D72</f>
        <v>0</v>
      </c>
      <c r="AL729" s="1">
        <f>D78</f>
        <v>0</v>
      </c>
      <c r="AM729" s="1">
        <f t="shared" si="63"/>
        <v>0</v>
      </c>
      <c r="AN729" s="1">
        <f t="shared" si="64"/>
        <v>0</v>
      </c>
      <c r="AO729" s="1">
        <f t="shared" si="65"/>
        <v>0</v>
      </c>
      <c r="AP729" t="b" cm="1">
        <f t="array" ref="AP729">INDEX($AU$8:$BB$25,6*(R729-1)+MATCH(AB729,$AS$8:$AS$13,0),MATCH(O729,$AU$7:$BB$7,0))</f>
        <v>1</v>
      </c>
    </row>
    <row r="730" spans="15:42" ht="14.25" x14ac:dyDescent="0.45">
      <c r="O730" s="43" t="s">
        <v>34</v>
      </c>
      <c r="P730" s="43">
        <v>2</v>
      </c>
      <c r="Q730" s="43">
        <v>15</v>
      </c>
      <c r="R730" s="43">
        <v>3</v>
      </c>
      <c r="S730" s="45"/>
      <c r="T730" t="b">
        <f>(S728+S729+S730)=S3</f>
        <v>0</v>
      </c>
      <c r="X730" s="1">
        <f t="shared" si="61"/>
        <v>0</v>
      </c>
      <c r="Y730" s="48">
        <v>0</v>
      </c>
      <c r="AA730" s="1">
        <v>7</v>
      </c>
      <c r="AB730" s="1" t="s">
        <v>15</v>
      </c>
      <c r="AC730" s="1" t="s">
        <v>21</v>
      </c>
      <c r="AD730" s="1">
        <v>13</v>
      </c>
      <c r="AE730" s="1">
        <v>10</v>
      </c>
      <c r="AF730" s="1">
        <v>0.76</v>
      </c>
      <c r="AG730" s="1">
        <v>0.84</v>
      </c>
      <c r="AH730" s="1">
        <v>0</v>
      </c>
      <c r="AI730" s="1">
        <v>0</v>
      </c>
      <c r="AJ730" s="1">
        <f t="shared" si="62"/>
        <v>0</v>
      </c>
      <c r="AK730" s="1">
        <f>E72</f>
        <v>0</v>
      </c>
      <c r="AL730" s="1">
        <f>E78</f>
        <v>0</v>
      </c>
      <c r="AM730" s="1">
        <f t="shared" si="63"/>
        <v>0</v>
      </c>
      <c r="AN730" s="1">
        <f t="shared" si="64"/>
        <v>0</v>
      </c>
      <c r="AO730" s="1">
        <f t="shared" si="65"/>
        <v>0</v>
      </c>
      <c r="AP730" t="b" cm="1">
        <f t="array" ref="AP730">INDEX($AU$8:$BB$25,6*(R730-1)+MATCH(AB730,$AS$8:$AS$13,0),MATCH(O730,$AU$7:$BB$7,0))</f>
        <v>1</v>
      </c>
    </row>
    <row r="731" spans="15:42" ht="14.25" x14ac:dyDescent="0.45">
      <c r="O731" s="43" t="s">
        <v>34</v>
      </c>
      <c r="P731" s="43">
        <v>3</v>
      </c>
      <c r="Q731" s="43">
        <v>1</v>
      </c>
      <c r="R731" s="43">
        <v>1</v>
      </c>
      <c r="S731" s="45"/>
      <c r="T731" t="b">
        <f>(S731+S732+S733)=S4</f>
        <v>0</v>
      </c>
      <c r="X731" s="1">
        <v>0</v>
      </c>
      <c r="Y731" s="48">
        <v>0</v>
      </c>
      <c r="AA731" s="1">
        <v>1</v>
      </c>
      <c r="AB731" s="1" t="s">
        <v>13</v>
      </c>
      <c r="AC731" s="1" t="s">
        <v>19</v>
      </c>
      <c r="AD731" s="1">
        <v>21</v>
      </c>
      <c r="AE731" s="1">
        <v>20</v>
      </c>
      <c r="AF731" s="1">
        <v>0.8</v>
      </c>
      <c r="AG731" s="1">
        <v>0.86</v>
      </c>
      <c r="AH731" s="1">
        <v>0</v>
      </c>
      <c r="AI731" s="1">
        <v>0</v>
      </c>
      <c r="AJ731" s="1">
        <f t="shared" si="62"/>
        <v>0</v>
      </c>
      <c r="AK731" s="1">
        <f>C70</f>
        <v>0</v>
      </c>
      <c r="AL731" s="1">
        <f>C76</f>
        <v>0</v>
      </c>
      <c r="AM731" s="1">
        <f t="shared" si="63"/>
        <v>0</v>
      </c>
      <c r="AN731" s="1">
        <f t="shared" si="64"/>
        <v>0</v>
      </c>
      <c r="AO731" s="1">
        <f t="shared" si="65"/>
        <v>0</v>
      </c>
      <c r="AP731" t="b" cm="1">
        <f t="array" ref="AP731">INDEX($AU$8:$BB$25,6*(R731-1)+MATCH(AB731,$AS$8:$AS$13,0),MATCH(O731,$AU$7:$BB$7,0))</f>
        <v>1</v>
      </c>
    </row>
    <row r="732" spans="15:42" ht="14.25" x14ac:dyDescent="0.45">
      <c r="O732" s="43" t="s">
        <v>34</v>
      </c>
      <c r="P732" s="43">
        <v>3</v>
      </c>
      <c r="Q732" s="43">
        <v>1</v>
      </c>
      <c r="R732" s="43">
        <v>2</v>
      </c>
      <c r="S732" s="45"/>
      <c r="T732" t="b">
        <f>(S731+S732+S733)=S4</f>
        <v>0</v>
      </c>
      <c r="X732" s="1">
        <v>0</v>
      </c>
      <c r="Y732" s="48">
        <v>0</v>
      </c>
      <c r="AA732" s="1">
        <v>1</v>
      </c>
      <c r="AB732" s="1" t="s">
        <v>13</v>
      </c>
      <c r="AC732" s="1" t="s">
        <v>19</v>
      </c>
      <c r="AD732" s="1">
        <v>21</v>
      </c>
      <c r="AE732" s="1">
        <v>20</v>
      </c>
      <c r="AF732" s="1">
        <v>0.8</v>
      </c>
      <c r="AG732" s="1">
        <v>0.86</v>
      </c>
      <c r="AH732" s="1">
        <v>0</v>
      </c>
      <c r="AI732" s="1">
        <v>0</v>
      </c>
      <c r="AJ732" s="1">
        <f t="shared" si="62"/>
        <v>0</v>
      </c>
      <c r="AK732" s="1">
        <f>D70</f>
        <v>0</v>
      </c>
      <c r="AL732" s="1">
        <f>D76</f>
        <v>0</v>
      </c>
      <c r="AM732" s="1">
        <f t="shared" si="63"/>
        <v>0</v>
      </c>
      <c r="AN732" s="1">
        <f t="shared" si="64"/>
        <v>0</v>
      </c>
      <c r="AO732" s="1">
        <f t="shared" si="65"/>
        <v>0</v>
      </c>
      <c r="AP732" t="b" cm="1">
        <f t="array" ref="AP732">INDEX($AU$8:$BB$25,6*(R732-1)+MATCH(AB732,$AS$8:$AS$13,0),MATCH(O732,$AU$7:$BB$7,0))</f>
        <v>1</v>
      </c>
    </row>
    <row r="733" spans="15:42" ht="14.25" x14ac:dyDescent="0.45">
      <c r="O733" s="43" t="s">
        <v>34</v>
      </c>
      <c r="P733" s="43">
        <v>3</v>
      </c>
      <c r="Q733" s="43">
        <v>1</v>
      </c>
      <c r="R733" s="43">
        <v>3</v>
      </c>
      <c r="S733" s="45"/>
      <c r="T733" t="b">
        <f>(S731+S732+S733)=S4</f>
        <v>0</v>
      </c>
      <c r="X733" s="1">
        <v>0</v>
      </c>
      <c r="Y733" s="48">
        <v>0</v>
      </c>
      <c r="AA733" s="1">
        <v>1</v>
      </c>
      <c r="AB733" s="1" t="s">
        <v>13</v>
      </c>
      <c r="AC733" s="1" t="s">
        <v>19</v>
      </c>
      <c r="AD733" s="1">
        <v>21</v>
      </c>
      <c r="AE733" s="1">
        <v>20</v>
      </c>
      <c r="AF733" s="1">
        <v>0.8</v>
      </c>
      <c r="AG733" s="1">
        <v>0.86</v>
      </c>
      <c r="AH733" s="1">
        <v>0</v>
      </c>
      <c r="AI733" s="1">
        <v>0</v>
      </c>
      <c r="AJ733" s="1">
        <f t="shared" si="62"/>
        <v>0</v>
      </c>
      <c r="AK733" s="1">
        <f>E70</f>
        <v>0</v>
      </c>
      <c r="AL733" s="1">
        <f>E76</f>
        <v>0</v>
      </c>
      <c r="AM733" s="1">
        <f t="shared" si="63"/>
        <v>0</v>
      </c>
      <c r="AN733" s="1">
        <f t="shared" si="64"/>
        <v>0</v>
      </c>
      <c r="AO733" s="1">
        <f t="shared" si="65"/>
        <v>0</v>
      </c>
      <c r="AP733" t="b" cm="1">
        <f t="array" ref="AP733">INDEX($AU$8:$BB$25,6*(R733-1)+MATCH(AB733,$AS$8:$AS$13,0),MATCH(O733,$AU$7:$BB$7,0))</f>
        <v>1</v>
      </c>
    </row>
    <row r="734" spans="15:42" ht="14.25" x14ac:dyDescent="0.45">
      <c r="O734" s="43" t="s">
        <v>34</v>
      </c>
      <c r="P734" s="43">
        <v>3</v>
      </c>
      <c r="Q734" s="43">
        <v>2</v>
      </c>
      <c r="R734" s="43">
        <v>1</v>
      </c>
      <c r="S734" s="45"/>
      <c r="T734" t="b">
        <f>(S734+S735+S736)=S4</f>
        <v>0</v>
      </c>
      <c r="X734" s="1">
        <f t="shared" ref="X734:X781" si="66">MAX(S731-S734,0)</f>
        <v>0</v>
      </c>
      <c r="Y734" s="48">
        <v>0</v>
      </c>
      <c r="AA734" s="1">
        <v>8</v>
      </c>
      <c r="AB734" s="1" t="s">
        <v>14</v>
      </c>
      <c r="AC734" s="1" t="s">
        <v>20</v>
      </c>
      <c r="AD734" s="1">
        <v>9</v>
      </c>
      <c r="AE734" s="1">
        <v>7</v>
      </c>
      <c r="AF734" s="1">
        <v>0.8</v>
      </c>
      <c r="AG734" s="1">
        <v>0.88</v>
      </c>
      <c r="AH734" s="1">
        <v>0</v>
      </c>
      <c r="AI734" s="1">
        <v>0</v>
      </c>
      <c r="AJ734" s="1">
        <f t="shared" si="62"/>
        <v>0</v>
      </c>
      <c r="AK734" s="1">
        <f>C71</f>
        <v>0</v>
      </c>
      <c r="AL734" s="1">
        <f>C77</f>
        <v>0</v>
      </c>
      <c r="AM734" s="1">
        <f t="shared" si="63"/>
        <v>0</v>
      </c>
      <c r="AN734" s="1">
        <f t="shared" si="64"/>
        <v>0</v>
      </c>
      <c r="AO734" s="1">
        <f t="shared" si="65"/>
        <v>0</v>
      </c>
      <c r="AP734" t="b" cm="1">
        <f t="array" ref="AP734">INDEX($AU$8:$BB$25,6*(R734-1)+MATCH(AB734,$AS$8:$AS$13,0),MATCH(O734,$AU$7:$BB$7,0))</f>
        <v>1</v>
      </c>
    </row>
    <row r="735" spans="15:42" ht="14.25" x14ac:dyDescent="0.45">
      <c r="O735" s="43" t="s">
        <v>34</v>
      </c>
      <c r="P735" s="43">
        <v>3</v>
      </c>
      <c r="Q735" s="43">
        <v>2</v>
      </c>
      <c r="R735" s="43">
        <v>2</v>
      </c>
      <c r="S735" s="45"/>
      <c r="T735" t="b">
        <f>(S734+S735+S736)=S4</f>
        <v>0</v>
      </c>
      <c r="X735" s="1">
        <f t="shared" si="66"/>
        <v>0</v>
      </c>
      <c r="Y735" s="48">
        <v>0</v>
      </c>
      <c r="AA735" s="1">
        <v>8</v>
      </c>
      <c r="AB735" s="1" t="s">
        <v>14</v>
      </c>
      <c r="AC735" s="1" t="s">
        <v>20</v>
      </c>
      <c r="AD735" s="1">
        <v>9</v>
      </c>
      <c r="AE735" s="1">
        <v>7</v>
      </c>
      <c r="AF735" s="1">
        <v>0.8</v>
      </c>
      <c r="AG735" s="1">
        <v>0.88</v>
      </c>
      <c r="AH735" s="1">
        <v>0</v>
      </c>
      <c r="AI735" s="1">
        <v>0</v>
      </c>
      <c r="AJ735" s="1">
        <f t="shared" si="62"/>
        <v>0</v>
      </c>
      <c r="AK735" s="1">
        <f>D71</f>
        <v>0</v>
      </c>
      <c r="AL735" s="1">
        <f>D77</f>
        <v>0</v>
      </c>
      <c r="AM735" s="1">
        <f t="shared" si="63"/>
        <v>0</v>
      </c>
      <c r="AN735" s="1">
        <f t="shared" si="64"/>
        <v>0</v>
      </c>
      <c r="AO735" s="1">
        <f t="shared" si="65"/>
        <v>0</v>
      </c>
      <c r="AP735" t="b" cm="1">
        <f t="array" ref="AP735">INDEX($AU$8:$BB$25,6*(R735-1)+MATCH(AB735,$AS$8:$AS$13,0),MATCH(O735,$AU$7:$BB$7,0))</f>
        <v>1</v>
      </c>
    </row>
    <row r="736" spans="15:42" ht="14.25" x14ac:dyDescent="0.45">
      <c r="O736" s="43" t="s">
        <v>34</v>
      </c>
      <c r="P736" s="43">
        <v>3</v>
      </c>
      <c r="Q736" s="43">
        <v>2</v>
      </c>
      <c r="R736" s="43">
        <v>3</v>
      </c>
      <c r="S736" s="45"/>
      <c r="T736" t="b">
        <f>(S734+S735+S736)=S4</f>
        <v>0</v>
      </c>
      <c r="X736" s="1">
        <f t="shared" si="66"/>
        <v>0</v>
      </c>
      <c r="Y736" s="48">
        <v>0</v>
      </c>
      <c r="AA736" s="1">
        <v>8</v>
      </c>
      <c r="AB736" s="1" t="s">
        <v>14</v>
      </c>
      <c r="AC736" s="1" t="s">
        <v>20</v>
      </c>
      <c r="AD736" s="1">
        <v>9</v>
      </c>
      <c r="AE736" s="1">
        <v>7</v>
      </c>
      <c r="AF736" s="1">
        <v>0.8</v>
      </c>
      <c r="AG736" s="1">
        <v>0.88</v>
      </c>
      <c r="AH736" s="1">
        <v>0</v>
      </c>
      <c r="AI736" s="1">
        <v>0</v>
      </c>
      <c r="AJ736" s="1">
        <f t="shared" si="62"/>
        <v>0</v>
      </c>
      <c r="AK736" s="1">
        <f>E71</f>
        <v>0</v>
      </c>
      <c r="AL736" s="1">
        <f>E77</f>
        <v>0</v>
      </c>
      <c r="AM736" s="1">
        <f t="shared" si="63"/>
        <v>0</v>
      </c>
      <c r="AN736" s="1">
        <f t="shared" si="64"/>
        <v>0</v>
      </c>
      <c r="AO736" s="1">
        <f t="shared" si="65"/>
        <v>0</v>
      </c>
      <c r="AP736" t="b" cm="1">
        <f t="array" ref="AP736">INDEX($AU$8:$BB$25,6*(R736-1)+MATCH(AB736,$AS$8:$AS$13,0),MATCH(O736,$AU$7:$BB$7,0))</f>
        <v>1</v>
      </c>
    </row>
    <row r="737" spans="15:42" ht="14.25" x14ac:dyDescent="0.45">
      <c r="O737" s="43" t="s">
        <v>34</v>
      </c>
      <c r="P737" s="43">
        <v>3</v>
      </c>
      <c r="Q737" s="43">
        <v>3</v>
      </c>
      <c r="R737" s="43">
        <v>1</v>
      </c>
      <c r="S737" s="45"/>
      <c r="T737" t="b">
        <f>(S737+S738+S739)=S4</f>
        <v>0</v>
      </c>
      <c r="X737" s="1">
        <f t="shared" si="66"/>
        <v>0</v>
      </c>
      <c r="Y737" s="48">
        <v>0</v>
      </c>
      <c r="AA737" s="1">
        <v>1</v>
      </c>
      <c r="AB737" s="1" t="s">
        <v>15</v>
      </c>
      <c r="AC737" s="1" t="s">
        <v>21</v>
      </c>
      <c r="AD737" s="1">
        <v>24</v>
      </c>
      <c r="AE737" s="1">
        <v>23</v>
      </c>
      <c r="AF737" s="1">
        <v>0.76</v>
      </c>
      <c r="AG737" s="1">
        <v>0.84</v>
      </c>
      <c r="AH737" s="1">
        <v>0</v>
      </c>
      <c r="AI737" s="1">
        <v>0</v>
      </c>
      <c r="AJ737" s="1">
        <f t="shared" si="62"/>
        <v>0</v>
      </c>
      <c r="AK737" s="1">
        <f>C72</f>
        <v>0</v>
      </c>
      <c r="AL737" s="1">
        <f>C78</f>
        <v>0</v>
      </c>
      <c r="AM737" s="1">
        <f t="shared" si="63"/>
        <v>0</v>
      </c>
      <c r="AN737" s="1">
        <f t="shared" si="64"/>
        <v>0</v>
      </c>
      <c r="AO737" s="1">
        <f t="shared" si="65"/>
        <v>0</v>
      </c>
      <c r="AP737" t="b" cm="1">
        <f t="array" ref="AP737">INDEX($AU$8:$BB$25,6*(R737-1)+MATCH(AB737,$AS$8:$AS$13,0),MATCH(O737,$AU$7:$BB$7,0))</f>
        <v>1</v>
      </c>
    </row>
    <row r="738" spans="15:42" ht="14.25" x14ac:dyDescent="0.45">
      <c r="O738" s="43" t="s">
        <v>34</v>
      </c>
      <c r="P738" s="43">
        <v>3</v>
      </c>
      <c r="Q738" s="43">
        <v>3</v>
      </c>
      <c r="R738" s="43">
        <v>2</v>
      </c>
      <c r="S738" s="45"/>
      <c r="T738" t="b">
        <f>(S737+S738+S739)=S4</f>
        <v>0</v>
      </c>
      <c r="X738" s="1">
        <f t="shared" si="66"/>
        <v>0</v>
      </c>
      <c r="Y738" s="48">
        <v>0</v>
      </c>
      <c r="AA738" s="1">
        <v>1</v>
      </c>
      <c r="AB738" s="1" t="s">
        <v>15</v>
      </c>
      <c r="AC738" s="1" t="s">
        <v>21</v>
      </c>
      <c r="AD738" s="1">
        <v>24</v>
      </c>
      <c r="AE738" s="1">
        <v>23</v>
      </c>
      <c r="AF738" s="1">
        <v>0.76</v>
      </c>
      <c r="AG738" s="1">
        <v>0.84</v>
      </c>
      <c r="AH738" s="1">
        <v>0</v>
      </c>
      <c r="AI738" s="1">
        <v>0</v>
      </c>
      <c r="AJ738" s="1">
        <f t="shared" si="62"/>
        <v>0</v>
      </c>
      <c r="AK738" s="1">
        <f>D72</f>
        <v>0</v>
      </c>
      <c r="AL738" s="1">
        <f>D78</f>
        <v>0</v>
      </c>
      <c r="AM738" s="1">
        <f t="shared" si="63"/>
        <v>0</v>
      </c>
      <c r="AN738" s="1">
        <f t="shared" si="64"/>
        <v>0</v>
      </c>
      <c r="AO738" s="1">
        <f t="shared" si="65"/>
        <v>0</v>
      </c>
      <c r="AP738" t="b" cm="1">
        <f t="array" ref="AP738">INDEX($AU$8:$BB$25,6*(R738-1)+MATCH(AB738,$AS$8:$AS$13,0),MATCH(O738,$AU$7:$BB$7,0))</f>
        <v>1</v>
      </c>
    </row>
    <row r="739" spans="15:42" ht="14.25" x14ac:dyDescent="0.45">
      <c r="O739" s="43" t="s">
        <v>34</v>
      </c>
      <c r="P739" s="43">
        <v>3</v>
      </c>
      <c r="Q739" s="43">
        <v>3</v>
      </c>
      <c r="R739" s="43">
        <v>3</v>
      </c>
      <c r="S739" s="45"/>
      <c r="T739" t="b">
        <f>(S737+S738+S739)=S4</f>
        <v>0</v>
      </c>
      <c r="X739" s="1">
        <f t="shared" si="66"/>
        <v>0</v>
      </c>
      <c r="Y739" s="48">
        <v>0</v>
      </c>
      <c r="AA739" s="1">
        <v>1</v>
      </c>
      <c r="AB739" s="1" t="s">
        <v>15</v>
      </c>
      <c r="AC739" s="1" t="s">
        <v>21</v>
      </c>
      <c r="AD739" s="1">
        <v>24</v>
      </c>
      <c r="AE739" s="1">
        <v>23</v>
      </c>
      <c r="AF739" s="1">
        <v>0.76</v>
      </c>
      <c r="AG739" s="1">
        <v>0.84</v>
      </c>
      <c r="AH739" s="1">
        <v>0</v>
      </c>
      <c r="AI739" s="1">
        <v>0</v>
      </c>
      <c r="AJ739" s="1">
        <f t="shared" si="62"/>
        <v>0</v>
      </c>
      <c r="AK739" s="1">
        <f>E72</f>
        <v>0</v>
      </c>
      <c r="AL739" s="1">
        <f>E78</f>
        <v>0</v>
      </c>
      <c r="AM739" s="1">
        <f t="shared" si="63"/>
        <v>0</v>
      </c>
      <c r="AN739" s="1">
        <f t="shared" si="64"/>
        <v>0</v>
      </c>
      <c r="AO739" s="1">
        <f t="shared" si="65"/>
        <v>0</v>
      </c>
      <c r="AP739" t="b" cm="1">
        <f t="array" ref="AP739">INDEX($AU$8:$BB$25,6*(R739-1)+MATCH(AB739,$AS$8:$AS$13,0),MATCH(O739,$AU$7:$BB$7,0))</f>
        <v>1</v>
      </c>
    </row>
    <row r="740" spans="15:42" ht="14.25" x14ac:dyDescent="0.45">
      <c r="O740" s="43" t="s">
        <v>34</v>
      </c>
      <c r="P740" s="43">
        <v>3</v>
      </c>
      <c r="Q740" s="43">
        <v>4</v>
      </c>
      <c r="R740" s="43">
        <v>1</v>
      </c>
      <c r="S740" s="45"/>
      <c r="T740" t="b">
        <f>(S740+S741+S742)=S4</f>
        <v>0</v>
      </c>
      <c r="X740" s="1">
        <f t="shared" si="66"/>
        <v>0</v>
      </c>
      <c r="Y740" s="48">
        <v>0</v>
      </c>
      <c r="AA740" s="1">
        <v>9</v>
      </c>
      <c r="AB740" s="1" t="s">
        <v>15</v>
      </c>
      <c r="AC740" s="1" t="s">
        <v>21</v>
      </c>
      <c r="AD740" s="1">
        <v>15</v>
      </c>
      <c r="AE740" s="1">
        <v>11</v>
      </c>
      <c r="AF740" s="1">
        <v>0.76</v>
      </c>
      <c r="AG740" s="1">
        <v>0.84</v>
      </c>
      <c r="AH740" s="1">
        <v>0</v>
      </c>
      <c r="AI740" s="1">
        <v>0</v>
      </c>
      <c r="AJ740" s="1">
        <f t="shared" si="62"/>
        <v>0</v>
      </c>
      <c r="AK740" s="1">
        <f>C72</f>
        <v>0</v>
      </c>
      <c r="AL740" s="1">
        <f>C78</f>
        <v>0</v>
      </c>
      <c r="AM740" s="1">
        <f t="shared" si="63"/>
        <v>0</v>
      </c>
      <c r="AN740" s="1">
        <f t="shared" si="64"/>
        <v>0</v>
      </c>
      <c r="AO740" s="1">
        <f t="shared" si="65"/>
        <v>0</v>
      </c>
      <c r="AP740" t="b" cm="1">
        <f t="array" ref="AP740">INDEX($AU$8:$BB$25,6*(R740-1)+MATCH(AB740,$AS$8:$AS$13,0),MATCH(O740,$AU$7:$BB$7,0))</f>
        <v>1</v>
      </c>
    </row>
    <row r="741" spans="15:42" ht="14.25" x14ac:dyDescent="0.45">
      <c r="O741" s="43" t="s">
        <v>34</v>
      </c>
      <c r="P741" s="43">
        <v>3</v>
      </c>
      <c r="Q741" s="43">
        <v>4</v>
      </c>
      <c r="R741" s="43">
        <v>2</v>
      </c>
      <c r="S741" s="45"/>
      <c r="T741" t="b">
        <f>(S740+S741+S742)=S4</f>
        <v>0</v>
      </c>
      <c r="X741" s="1">
        <f t="shared" si="66"/>
        <v>0</v>
      </c>
      <c r="Y741" s="48">
        <v>0</v>
      </c>
      <c r="AA741" s="1">
        <v>9</v>
      </c>
      <c r="AB741" s="1" t="s">
        <v>15</v>
      </c>
      <c r="AC741" s="1" t="s">
        <v>21</v>
      </c>
      <c r="AD741" s="1">
        <v>15</v>
      </c>
      <c r="AE741" s="1">
        <v>11</v>
      </c>
      <c r="AF741" s="1">
        <v>0.76</v>
      </c>
      <c r="AG741" s="1">
        <v>0.84</v>
      </c>
      <c r="AH741" s="1">
        <v>0</v>
      </c>
      <c r="AI741" s="1">
        <v>0</v>
      </c>
      <c r="AJ741" s="1">
        <f t="shared" si="62"/>
        <v>0</v>
      </c>
      <c r="AK741" s="1">
        <f>D72</f>
        <v>0</v>
      </c>
      <c r="AL741" s="1">
        <f>D78</f>
        <v>0</v>
      </c>
      <c r="AM741" s="1">
        <f t="shared" si="63"/>
        <v>0</v>
      </c>
      <c r="AN741" s="1">
        <f t="shared" si="64"/>
        <v>0</v>
      </c>
      <c r="AO741" s="1">
        <f t="shared" si="65"/>
        <v>0</v>
      </c>
      <c r="AP741" t="b" cm="1">
        <f t="array" ref="AP741">INDEX($AU$8:$BB$25,6*(R741-1)+MATCH(AB741,$AS$8:$AS$13,0),MATCH(O741,$AU$7:$BB$7,0))</f>
        <v>1</v>
      </c>
    </row>
    <row r="742" spans="15:42" ht="14.25" x14ac:dyDescent="0.45">
      <c r="O742" s="43" t="s">
        <v>34</v>
      </c>
      <c r="P742" s="43">
        <v>3</v>
      </c>
      <c r="Q742" s="43">
        <v>4</v>
      </c>
      <c r="R742" s="43">
        <v>3</v>
      </c>
      <c r="S742" s="45"/>
      <c r="T742" t="b">
        <f>(S740+S741+S742)=S4</f>
        <v>0</v>
      </c>
      <c r="X742" s="1">
        <f t="shared" si="66"/>
        <v>0</v>
      </c>
      <c r="Y742" s="48">
        <v>0</v>
      </c>
      <c r="AA742" s="1">
        <v>9</v>
      </c>
      <c r="AB742" s="1" t="s">
        <v>15</v>
      </c>
      <c r="AC742" s="1" t="s">
        <v>21</v>
      </c>
      <c r="AD742" s="1">
        <v>15</v>
      </c>
      <c r="AE742" s="1">
        <v>11</v>
      </c>
      <c r="AF742" s="1">
        <v>0.76</v>
      </c>
      <c r="AG742" s="1">
        <v>0.84</v>
      </c>
      <c r="AH742" s="1">
        <v>0</v>
      </c>
      <c r="AI742" s="1">
        <v>0</v>
      </c>
      <c r="AJ742" s="1">
        <f t="shared" si="62"/>
        <v>0</v>
      </c>
      <c r="AK742" s="1">
        <f>E72</f>
        <v>0</v>
      </c>
      <c r="AL742" s="1">
        <f>E78</f>
        <v>0</v>
      </c>
      <c r="AM742" s="1">
        <f t="shared" si="63"/>
        <v>0</v>
      </c>
      <c r="AN742" s="1">
        <f t="shared" si="64"/>
        <v>0</v>
      </c>
      <c r="AO742" s="1">
        <f t="shared" si="65"/>
        <v>0</v>
      </c>
      <c r="AP742" t="b" cm="1">
        <f t="array" ref="AP742">INDEX($AU$8:$BB$25,6*(R742-1)+MATCH(AB742,$AS$8:$AS$13,0),MATCH(O742,$AU$7:$BB$7,0))</f>
        <v>1</v>
      </c>
    </row>
    <row r="743" spans="15:42" ht="14.25" x14ac:dyDescent="0.45">
      <c r="O743" s="43" t="s">
        <v>34</v>
      </c>
      <c r="P743" s="43">
        <v>3</v>
      </c>
      <c r="Q743" s="43">
        <v>5</v>
      </c>
      <c r="R743" s="43">
        <v>1</v>
      </c>
      <c r="S743" s="45"/>
      <c r="T743" t="b">
        <f>(S743+S744+S745)=S4</f>
        <v>0</v>
      </c>
      <c r="X743" s="1">
        <f t="shared" si="66"/>
        <v>0</v>
      </c>
      <c r="Y743" s="48">
        <v>0</v>
      </c>
      <c r="AA743" s="1">
        <v>6</v>
      </c>
      <c r="AB743" s="1" t="s">
        <v>16</v>
      </c>
      <c r="AC743" s="1" t="s">
        <v>22</v>
      </c>
      <c r="AD743" s="1">
        <v>16</v>
      </c>
      <c r="AE743" s="1">
        <v>14</v>
      </c>
      <c r="AF743" s="1">
        <v>0.8</v>
      </c>
      <c r="AG743" s="1">
        <v>0.9</v>
      </c>
      <c r="AH743" s="1">
        <v>0</v>
      </c>
      <c r="AI743" s="1">
        <v>0</v>
      </c>
      <c r="AJ743" s="1">
        <f t="shared" si="62"/>
        <v>0</v>
      </c>
      <c r="AK743" s="1">
        <f>C73</f>
        <v>0</v>
      </c>
      <c r="AL743" s="1">
        <f>C79</f>
        <v>0</v>
      </c>
      <c r="AM743" s="1">
        <f t="shared" si="63"/>
        <v>0</v>
      </c>
      <c r="AN743" s="1">
        <f t="shared" si="64"/>
        <v>0</v>
      </c>
      <c r="AO743" s="1">
        <f t="shared" si="65"/>
        <v>0</v>
      </c>
      <c r="AP743" t="b" cm="1">
        <f t="array" ref="AP743">INDEX($AU$8:$BB$25,6*(R743-1)+MATCH(AB743,$AS$8:$AS$13,0),MATCH(O743,$AU$7:$BB$7,0))</f>
        <v>1</v>
      </c>
    </row>
    <row r="744" spans="15:42" ht="14.25" x14ac:dyDescent="0.45">
      <c r="O744" s="43" t="s">
        <v>34</v>
      </c>
      <c r="P744" s="43">
        <v>3</v>
      </c>
      <c r="Q744" s="43">
        <v>5</v>
      </c>
      <c r="R744" s="43">
        <v>2</v>
      </c>
      <c r="S744" s="45"/>
      <c r="T744" t="b">
        <f>(S743+S744+S745)=S4</f>
        <v>0</v>
      </c>
      <c r="X744" s="1">
        <f t="shared" si="66"/>
        <v>0</v>
      </c>
      <c r="Y744" s="48">
        <v>0</v>
      </c>
      <c r="AA744" s="1">
        <v>6</v>
      </c>
      <c r="AB744" s="1" t="s">
        <v>16</v>
      </c>
      <c r="AC744" s="1" t="s">
        <v>22</v>
      </c>
      <c r="AD744" s="1">
        <v>16</v>
      </c>
      <c r="AE744" s="1">
        <v>14</v>
      </c>
      <c r="AF744" s="1">
        <v>0.8</v>
      </c>
      <c r="AG744" s="1">
        <v>0.9</v>
      </c>
      <c r="AH744" s="1">
        <v>0</v>
      </c>
      <c r="AI744" s="1">
        <v>0</v>
      </c>
      <c r="AJ744" s="1">
        <f t="shared" si="62"/>
        <v>0</v>
      </c>
      <c r="AK744" s="1">
        <f>D73</f>
        <v>0</v>
      </c>
      <c r="AL744" s="1">
        <f>D79</f>
        <v>0</v>
      </c>
      <c r="AM744" s="1">
        <f t="shared" si="63"/>
        <v>0</v>
      </c>
      <c r="AN744" s="1">
        <f t="shared" si="64"/>
        <v>0</v>
      </c>
      <c r="AO744" s="1">
        <f t="shared" si="65"/>
        <v>0</v>
      </c>
      <c r="AP744" t="b" cm="1">
        <f t="array" ref="AP744">INDEX($AU$8:$BB$25,6*(R744-1)+MATCH(AB744,$AS$8:$AS$13,0),MATCH(O744,$AU$7:$BB$7,0))</f>
        <v>1</v>
      </c>
    </row>
    <row r="745" spans="15:42" ht="14.25" x14ac:dyDescent="0.45">
      <c r="O745" s="43" t="s">
        <v>34</v>
      </c>
      <c r="P745" s="43">
        <v>3</v>
      </c>
      <c r="Q745" s="43">
        <v>5</v>
      </c>
      <c r="R745" s="43">
        <v>3</v>
      </c>
      <c r="S745" s="45"/>
      <c r="T745" t="b">
        <f>(S743+S744+S745)=S4</f>
        <v>0</v>
      </c>
      <c r="X745" s="1">
        <f t="shared" si="66"/>
        <v>0</v>
      </c>
      <c r="Y745" s="48">
        <v>0</v>
      </c>
      <c r="AA745" s="1">
        <v>6</v>
      </c>
      <c r="AB745" s="1" t="s">
        <v>16</v>
      </c>
      <c r="AC745" s="1" t="s">
        <v>22</v>
      </c>
      <c r="AD745" s="1">
        <v>16</v>
      </c>
      <c r="AE745" s="1">
        <v>14</v>
      </c>
      <c r="AF745" s="1">
        <v>0.8</v>
      </c>
      <c r="AG745" s="1">
        <v>0.9</v>
      </c>
      <c r="AH745" s="1">
        <v>0</v>
      </c>
      <c r="AI745" s="1">
        <v>0</v>
      </c>
      <c r="AJ745" s="1">
        <f t="shared" si="62"/>
        <v>0</v>
      </c>
      <c r="AK745" s="1">
        <f>E73</f>
        <v>0</v>
      </c>
      <c r="AL745" s="1">
        <f>E79</f>
        <v>0</v>
      </c>
      <c r="AM745" s="1">
        <f t="shared" si="63"/>
        <v>0</v>
      </c>
      <c r="AN745" s="1">
        <f t="shared" si="64"/>
        <v>0</v>
      </c>
      <c r="AO745" s="1">
        <f t="shared" si="65"/>
        <v>0</v>
      </c>
      <c r="AP745" t="b" cm="1">
        <f t="array" ref="AP745">INDEX($AU$8:$BB$25,6*(R745-1)+MATCH(AB745,$AS$8:$AS$13,0),MATCH(O745,$AU$7:$BB$7,0))</f>
        <v>1</v>
      </c>
    </row>
    <row r="746" spans="15:42" ht="14.25" x14ac:dyDescent="0.45">
      <c r="O746" s="43" t="s">
        <v>34</v>
      </c>
      <c r="P746" s="43">
        <v>3</v>
      </c>
      <c r="Q746" s="43">
        <v>6</v>
      </c>
      <c r="R746" s="43">
        <v>1</v>
      </c>
      <c r="S746" s="45"/>
      <c r="T746" t="b">
        <f>(S746+S747+S748)=S4</f>
        <v>0</v>
      </c>
      <c r="X746" s="1">
        <f t="shared" si="66"/>
        <v>0</v>
      </c>
      <c r="Y746" s="48">
        <v>0</v>
      </c>
      <c r="AA746" s="1">
        <v>1</v>
      </c>
      <c r="AB746" s="1" t="s">
        <v>14</v>
      </c>
      <c r="AC746" s="1" t="s">
        <v>20</v>
      </c>
      <c r="AD746" s="1">
        <v>12</v>
      </c>
      <c r="AE746" s="1">
        <v>11</v>
      </c>
      <c r="AF746" s="1">
        <v>0.8</v>
      </c>
      <c r="AG746" s="1">
        <v>0.88</v>
      </c>
      <c r="AH746" s="1">
        <v>0</v>
      </c>
      <c r="AI746" s="1">
        <v>0</v>
      </c>
      <c r="AJ746" s="1">
        <f t="shared" si="62"/>
        <v>0</v>
      </c>
      <c r="AK746" s="1">
        <f>C71</f>
        <v>0</v>
      </c>
      <c r="AL746" s="1">
        <f>C77</f>
        <v>0</v>
      </c>
      <c r="AM746" s="1">
        <f t="shared" si="63"/>
        <v>0</v>
      </c>
      <c r="AN746" s="1">
        <f t="shared" si="64"/>
        <v>0</v>
      </c>
      <c r="AO746" s="1">
        <f t="shared" si="65"/>
        <v>0</v>
      </c>
      <c r="AP746" t="b" cm="1">
        <f t="array" ref="AP746">INDEX($AU$8:$BB$25,6*(R746-1)+MATCH(AB746,$AS$8:$AS$13,0),MATCH(O746,$AU$7:$BB$7,0))</f>
        <v>1</v>
      </c>
    </row>
    <row r="747" spans="15:42" ht="14.25" x14ac:dyDescent="0.45">
      <c r="O747" s="43" t="s">
        <v>34</v>
      </c>
      <c r="P747" s="43">
        <v>3</v>
      </c>
      <c r="Q747" s="43">
        <v>6</v>
      </c>
      <c r="R747" s="43">
        <v>2</v>
      </c>
      <c r="S747" s="45"/>
      <c r="T747" t="b">
        <f>(S746+S747+S748)=S4</f>
        <v>0</v>
      </c>
      <c r="X747" s="1">
        <f t="shared" si="66"/>
        <v>0</v>
      </c>
      <c r="Y747" s="48">
        <v>0</v>
      </c>
      <c r="AA747" s="1">
        <v>1</v>
      </c>
      <c r="AB747" s="1" t="s">
        <v>14</v>
      </c>
      <c r="AC747" s="1" t="s">
        <v>20</v>
      </c>
      <c r="AD747" s="1">
        <v>12</v>
      </c>
      <c r="AE747" s="1">
        <v>11</v>
      </c>
      <c r="AF747" s="1">
        <v>0.8</v>
      </c>
      <c r="AG747" s="1">
        <v>0.88</v>
      </c>
      <c r="AH747" s="1">
        <v>0</v>
      </c>
      <c r="AI747" s="1">
        <v>0</v>
      </c>
      <c r="AJ747" s="1">
        <f t="shared" si="62"/>
        <v>0</v>
      </c>
      <c r="AK747" s="1">
        <f>D71</f>
        <v>0</v>
      </c>
      <c r="AL747" s="1">
        <f>D77</f>
        <v>0</v>
      </c>
      <c r="AM747" s="1">
        <f t="shared" si="63"/>
        <v>0</v>
      </c>
      <c r="AN747" s="1">
        <f t="shared" si="64"/>
        <v>0</v>
      </c>
      <c r="AO747" s="1">
        <f t="shared" si="65"/>
        <v>0</v>
      </c>
      <c r="AP747" t="b" cm="1">
        <f t="array" ref="AP747">INDEX($AU$8:$BB$25,6*(R747-1)+MATCH(AB747,$AS$8:$AS$13,0),MATCH(O747,$AU$7:$BB$7,0))</f>
        <v>1</v>
      </c>
    </row>
    <row r="748" spans="15:42" ht="14.25" x14ac:dyDescent="0.45">
      <c r="O748" s="43" t="s">
        <v>34</v>
      </c>
      <c r="P748" s="43">
        <v>3</v>
      </c>
      <c r="Q748" s="43">
        <v>6</v>
      </c>
      <c r="R748" s="43">
        <v>3</v>
      </c>
      <c r="S748" s="45"/>
      <c r="T748" t="b">
        <f>(S746+S747+S748)=S4</f>
        <v>0</v>
      </c>
      <c r="X748" s="1">
        <f t="shared" si="66"/>
        <v>0</v>
      </c>
      <c r="Y748" s="48">
        <v>0</v>
      </c>
      <c r="AA748" s="1">
        <v>1</v>
      </c>
      <c r="AB748" s="1" t="s">
        <v>14</v>
      </c>
      <c r="AC748" s="1" t="s">
        <v>20</v>
      </c>
      <c r="AD748" s="1">
        <v>12</v>
      </c>
      <c r="AE748" s="1">
        <v>11</v>
      </c>
      <c r="AF748" s="1">
        <v>0.8</v>
      </c>
      <c r="AG748" s="1">
        <v>0.88</v>
      </c>
      <c r="AH748" s="1">
        <v>0</v>
      </c>
      <c r="AI748" s="1">
        <v>0</v>
      </c>
      <c r="AJ748" s="1">
        <f t="shared" si="62"/>
        <v>0</v>
      </c>
      <c r="AK748" s="1">
        <f>E71</f>
        <v>0</v>
      </c>
      <c r="AL748" s="1">
        <f>E77</f>
        <v>0</v>
      </c>
      <c r="AM748" s="1">
        <f t="shared" si="63"/>
        <v>0</v>
      </c>
      <c r="AN748" s="1">
        <f t="shared" si="64"/>
        <v>0</v>
      </c>
      <c r="AO748" s="1">
        <f t="shared" si="65"/>
        <v>0</v>
      </c>
      <c r="AP748" t="b" cm="1">
        <f t="array" ref="AP748">INDEX($AU$8:$BB$25,6*(R748-1)+MATCH(AB748,$AS$8:$AS$13,0),MATCH(O748,$AU$7:$BB$7,0))</f>
        <v>1</v>
      </c>
    </row>
    <row r="749" spans="15:42" ht="14.25" x14ac:dyDescent="0.45">
      <c r="O749" s="43" t="s">
        <v>34</v>
      </c>
      <c r="P749" s="43">
        <v>3</v>
      </c>
      <c r="Q749" s="43">
        <v>7</v>
      </c>
      <c r="R749" s="43">
        <v>1</v>
      </c>
      <c r="S749" s="45"/>
      <c r="T749" t="b">
        <f>(S749+S750+S751)=S4</f>
        <v>0</v>
      </c>
      <c r="X749" s="1">
        <f t="shared" si="66"/>
        <v>0</v>
      </c>
      <c r="Y749" s="48">
        <v>0</v>
      </c>
      <c r="AA749" s="1">
        <v>3</v>
      </c>
      <c r="AB749" s="1" t="s">
        <v>13</v>
      </c>
      <c r="AC749" s="1" t="s">
        <v>19</v>
      </c>
      <c r="AD749" s="1">
        <v>24</v>
      </c>
      <c r="AE749" s="1">
        <v>21</v>
      </c>
      <c r="AF749" s="1">
        <v>0.8</v>
      </c>
      <c r="AG749" s="1">
        <v>0.86</v>
      </c>
      <c r="AH749" s="1">
        <v>0</v>
      </c>
      <c r="AI749" s="1">
        <v>0</v>
      </c>
      <c r="AJ749" s="1">
        <f t="shared" si="62"/>
        <v>0</v>
      </c>
      <c r="AK749" s="1">
        <f>C70</f>
        <v>0</v>
      </c>
      <c r="AL749" s="1">
        <f>C76</f>
        <v>0</v>
      </c>
      <c r="AM749" s="1">
        <f t="shared" si="63"/>
        <v>0</v>
      </c>
      <c r="AN749" s="1">
        <f t="shared" si="64"/>
        <v>0</v>
      </c>
      <c r="AO749" s="1">
        <f t="shared" si="65"/>
        <v>0</v>
      </c>
      <c r="AP749" t="b" cm="1">
        <f t="array" ref="AP749">INDEX($AU$8:$BB$25,6*(R749-1)+MATCH(AB749,$AS$8:$AS$13,0),MATCH(O749,$AU$7:$BB$7,0))</f>
        <v>1</v>
      </c>
    </row>
    <row r="750" spans="15:42" ht="14.25" x14ac:dyDescent="0.45">
      <c r="O750" s="43" t="s">
        <v>34</v>
      </c>
      <c r="P750" s="43">
        <v>3</v>
      </c>
      <c r="Q750" s="43">
        <v>7</v>
      </c>
      <c r="R750" s="43">
        <v>2</v>
      </c>
      <c r="S750" s="45"/>
      <c r="T750" t="b">
        <f>(S749+S750+S751)=S4</f>
        <v>0</v>
      </c>
      <c r="X750" s="1">
        <f t="shared" si="66"/>
        <v>0</v>
      </c>
      <c r="Y750" s="48">
        <v>0</v>
      </c>
      <c r="AA750" s="1">
        <v>3</v>
      </c>
      <c r="AB750" s="1" t="s">
        <v>13</v>
      </c>
      <c r="AC750" s="1" t="s">
        <v>19</v>
      </c>
      <c r="AD750" s="1">
        <v>24</v>
      </c>
      <c r="AE750" s="1">
        <v>21</v>
      </c>
      <c r="AF750" s="1">
        <v>0.8</v>
      </c>
      <c r="AG750" s="1">
        <v>0.86</v>
      </c>
      <c r="AH750" s="1">
        <v>0</v>
      </c>
      <c r="AI750" s="1">
        <v>0</v>
      </c>
      <c r="AJ750" s="1">
        <f t="shared" si="62"/>
        <v>0</v>
      </c>
      <c r="AK750" s="1">
        <f>D70</f>
        <v>0</v>
      </c>
      <c r="AL750" s="1">
        <f>D76</f>
        <v>0</v>
      </c>
      <c r="AM750" s="1">
        <f t="shared" si="63"/>
        <v>0</v>
      </c>
      <c r="AN750" s="1">
        <f t="shared" si="64"/>
        <v>0</v>
      </c>
      <c r="AO750" s="1">
        <f t="shared" si="65"/>
        <v>0</v>
      </c>
      <c r="AP750" t="b" cm="1">
        <f t="array" ref="AP750">INDEX($AU$8:$BB$25,6*(R750-1)+MATCH(AB750,$AS$8:$AS$13,0),MATCH(O750,$AU$7:$BB$7,0))</f>
        <v>1</v>
      </c>
    </row>
    <row r="751" spans="15:42" ht="14.25" x14ac:dyDescent="0.45">
      <c r="O751" s="43" t="s">
        <v>34</v>
      </c>
      <c r="P751" s="43">
        <v>3</v>
      </c>
      <c r="Q751" s="43">
        <v>7</v>
      </c>
      <c r="R751" s="43">
        <v>3</v>
      </c>
      <c r="S751" s="45"/>
      <c r="T751" t="b">
        <f>(S749+S750+S751)=S4</f>
        <v>0</v>
      </c>
      <c r="X751" s="1">
        <f t="shared" si="66"/>
        <v>0</v>
      </c>
      <c r="Y751" s="48">
        <v>0</v>
      </c>
      <c r="AA751" s="1">
        <v>3</v>
      </c>
      <c r="AB751" s="1" t="s">
        <v>13</v>
      </c>
      <c r="AC751" s="1" t="s">
        <v>19</v>
      </c>
      <c r="AD751" s="1">
        <v>24</v>
      </c>
      <c r="AE751" s="1">
        <v>21</v>
      </c>
      <c r="AF751" s="1">
        <v>0.8</v>
      </c>
      <c r="AG751" s="1">
        <v>0.86</v>
      </c>
      <c r="AH751" s="1">
        <v>0</v>
      </c>
      <c r="AI751" s="1">
        <v>0</v>
      </c>
      <c r="AJ751" s="1">
        <f t="shared" si="62"/>
        <v>0</v>
      </c>
      <c r="AK751" s="1">
        <f>E70</f>
        <v>0</v>
      </c>
      <c r="AL751" s="1">
        <f>E76</f>
        <v>0</v>
      </c>
      <c r="AM751" s="1">
        <f t="shared" si="63"/>
        <v>0</v>
      </c>
      <c r="AN751" s="1">
        <f t="shared" si="64"/>
        <v>0</v>
      </c>
      <c r="AO751" s="1">
        <f t="shared" si="65"/>
        <v>0</v>
      </c>
      <c r="AP751" t="b" cm="1">
        <f t="array" ref="AP751">INDEX($AU$8:$BB$25,6*(R751-1)+MATCH(AB751,$AS$8:$AS$13,0),MATCH(O751,$AU$7:$BB$7,0))</f>
        <v>1</v>
      </c>
    </row>
    <row r="752" spans="15:42" ht="14.25" x14ac:dyDescent="0.45">
      <c r="O752" s="43" t="s">
        <v>34</v>
      </c>
      <c r="P752" s="43">
        <v>3</v>
      </c>
      <c r="Q752" s="43">
        <v>8</v>
      </c>
      <c r="R752" s="43">
        <v>1</v>
      </c>
      <c r="S752" s="45"/>
      <c r="T752" t="b">
        <f>(S752+S753+S754)=S4</f>
        <v>0</v>
      </c>
      <c r="X752" s="1">
        <f t="shared" si="66"/>
        <v>0</v>
      </c>
      <c r="Y752" s="48">
        <v>0</v>
      </c>
      <c r="AA752" s="1">
        <v>5</v>
      </c>
      <c r="AB752" s="1" t="s">
        <v>13</v>
      </c>
      <c r="AC752" s="1" t="s">
        <v>19</v>
      </c>
      <c r="AD752" s="1">
        <v>19</v>
      </c>
      <c r="AE752" s="1">
        <v>13</v>
      </c>
      <c r="AF752" s="1">
        <v>0.8</v>
      </c>
      <c r="AG752" s="1">
        <v>0.86</v>
      </c>
      <c r="AH752" s="1">
        <v>0</v>
      </c>
      <c r="AI752" s="1">
        <v>0</v>
      </c>
      <c r="AJ752" s="1">
        <f t="shared" si="62"/>
        <v>0</v>
      </c>
      <c r="AK752" s="1">
        <f>C70</f>
        <v>0</v>
      </c>
      <c r="AL752" s="1">
        <f>C76</f>
        <v>0</v>
      </c>
      <c r="AM752" s="1">
        <f t="shared" si="63"/>
        <v>0</v>
      </c>
      <c r="AN752" s="1">
        <f t="shared" si="64"/>
        <v>0</v>
      </c>
      <c r="AO752" s="1">
        <f t="shared" si="65"/>
        <v>0</v>
      </c>
      <c r="AP752" t="b" cm="1">
        <f t="array" ref="AP752">INDEX($AU$8:$BB$25,6*(R752-1)+MATCH(AB752,$AS$8:$AS$13,0),MATCH(O752,$AU$7:$BB$7,0))</f>
        <v>1</v>
      </c>
    </row>
    <row r="753" spans="15:42" ht="14.25" x14ac:dyDescent="0.45">
      <c r="O753" s="43" t="s">
        <v>34</v>
      </c>
      <c r="P753" s="43">
        <v>3</v>
      </c>
      <c r="Q753" s="43">
        <v>8</v>
      </c>
      <c r="R753" s="43">
        <v>2</v>
      </c>
      <c r="S753" s="45"/>
      <c r="T753" t="b">
        <f>(S752+S753+S754)=S4</f>
        <v>0</v>
      </c>
      <c r="X753" s="1">
        <f t="shared" si="66"/>
        <v>0</v>
      </c>
      <c r="Y753" s="48">
        <v>0</v>
      </c>
      <c r="AA753" s="1">
        <v>5</v>
      </c>
      <c r="AB753" s="1" t="s">
        <v>13</v>
      </c>
      <c r="AC753" s="1" t="s">
        <v>19</v>
      </c>
      <c r="AD753" s="1">
        <v>19</v>
      </c>
      <c r="AE753" s="1">
        <v>13</v>
      </c>
      <c r="AF753" s="1">
        <v>0.8</v>
      </c>
      <c r="AG753" s="1">
        <v>0.86</v>
      </c>
      <c r="AH753" s="1">
        <v>0</v>
      </c>
      <c r="AI753" s="1">
        <v>0</v>
      </c>
      <c r="AJ753" s="1">
        <f t="shared" si="62"/>
        <v>0</v>
      </c>
      <c r="AK753" s="1">
        <f>D70</f>
        <v>0</v>
      </c>
      <c r="AL753" s="1">
        <f>D76</f>
        <v>0</v>
      </c>
      <c r="AM753" s="1">
        <f t="shared" si="63"/>
        <v>0</v>
      </c>
      <c r="AN753" s="1">
        <f t="shared" si="64"/>
        <v>0</v>
      </c>
      <c r="AO753" s="1">
        <f t="shared" si="65"/>
        <v>0</v>
      </c>
      <c r="AP753" t="b" cm="1">
        <f t="array" ref="AP753">INDEX($AU$8:$BB$25,6*(R753-1)+MATCH(AB753,$AS$8:$AS$13,0),MATCH(O753,$AU$7:$BB$7,0))</f>
        <v>1</v>
      </c>
    </row>
    <row r="754" spans="15:42" ht="14.25" x14ac:dyDescent="0.45">
      <c r="O754" s="43" t="s">
        <v>34</v>
      </c>
      <c r="P754" s="43">
        <v>3</v>
      </c>
      <c r="Q754" s="43">
        <v>8</v>
      </c>
      <c r="R754" s="43">
        <v>3</v>
      </c>
      <c r="S754" s="45"/>
      <c r="T754" t="b">
        <f>(S752+S753+S754)=S4</f>
        <v>0</v>
      </c>
      <c r="X754" s="1">
        <f t="shared" si="66"/>
        <v>0</v>
      </c>
      <c r="Y754" s="48">
        <v>0</v>
      </c>
      <c r="AA754" s="1">
        <v>5</v>
      </c>
      <c r="AB754" s="1" t="s">
        <v>13</v>
      </c>
      <c r="AC754" s="1" t="s">
        <v>19</v>
      </c>
      <c r="AD754" s="1">
        <v>19</v>
      </c>
      <c r="AE754" s="1">
        <v>13</v>
      </c>
      <c r="AF754" s="1">
        <v>0.8</v>
      </c>
      <c r="AG754" s="1">
        <v>0.86</v>
      </c>
      <c r="AH754" s="1">
        <v>0</v>
      </c>
      <c r="AI754" s="1">
        <v>0</v>
      </c>
      <c r="AJ754" s="1">
        <f t="shared" si="62"/>
        <v>0</v>
      </c>
      <c r="AK754" s="1">
        <f>E70</f>
        <v>0</v>
      </c>
      <c r="AL754" s="1">
        <f>E76</f>
        <v>0</v>
      </c>
      <c r="AM754" s="1">
        <f t="shared" si="63"/>
        <v>0</v>
      </c>
      <c r="AN754" s="1">
        <f t="shared" si="64"/>
        <v>0</v>
      </c>
      <c r="AO754" s="1">
        <f t="shared" si="65"/>
        <v>0</v>
      </c>
      <c r="AP754" t="b" cm="1">
        <f t="array" ref="AP754">INDEX($AU$8:$BB$25,6*(R754-1)+MATCH(AB754,$AS$8:$AS$13,0),MATCH(O754,$AU$7:$BB$7,0))</f>
        <v>1</v>
      </c>
    </row>
    <row r="755" spans="15:42" ht="14.25" x14ac:dyDescent="0.45">
      <c r="O755" s="43" t="s">
        <v>34</v>
      </c>
      <c r="P755" s="43">
        <v>3</v>
      </c>
      <c r="Q755" s="43">
        <v>9</v>
      </c>
      <c r="R755" s="43">
        <v>1</v>
      </c>
      <c r="S755" s="45"/>
      <c r="T755" t="b">
        <f>(S755+S756+S757)=S4</f>
        <v>0</v>
      </c>
      <c r="X755" s="1">
        <f t="shared" si="66"/>
        <v>0</v>
      </c>
      <c r="Y755" s="48">
        <v>0</v>
      </c>
      <c r="AA755" s="1">
        <v>3</v>
      </c>
      <c r="AB755" s="1" t="s">
        <v>14</v>
      </c>
      <c r="AC755" s="1" t="s">
        <v>20</v>
      </c>
      <c r="AD755" s="1">
        <v>15</v>
      </c>
      <c r="AE755" s="1">
        <v>13</v>
      </c>
      <c r="AF755" s="1">
        <v>0.8</v>
      </c>
      <c r="AG755" s="1">
        <v>0.88</v>
      </c>
      <c r="AH755" s="1">
        <v>0</v>
      </c>
      <c r="AI755" s="1">
        <v>0</v>
      </c>
      <c r="AJ755" s="1">
        <f t="shared" si="62"/>
        <v>0</v>
      </c>
      <c r="AK755" s="1">
        <f>C71</f>
        <v>0</v>
      </c>
      <c r="AL755" s="1">
        <f>C77</f>
        <v>0</v>
      </c>
      <c r="AM755" s="1">
        <f t="shared" si="63"/>
        <v>0</v>
      </c>
      <c r="AN755" s="1">
        <f t="shared" si="64"/>
        <v>0</v>
      </c>
      <c r="AO755" s="1">
        <f t="shared" si="65"/>
        <v>0</v>
      </c>
      <c r="AP755" t="b" cm="1">
        <f t="array" ref="AP755">INDEX($AU$8:$BB$25,6*(R755-1)+MATCH(AB755,$AS$8:$AS$13,0),MATCH(O755,$AU$7:$BB$7,0))</f>
        <v>1</v>
      </c>
    </row>
    <row r="756" spans="15:42" ht="14.25" x14ac:dyDescent="0.45">
      <c r="O756" s="43" t="s">
        <v>34</v>
      </c>
      <c r="P756" s="43">
        <v>3</v>
      </c>
      <c r="Q756" s="43">
        <v>9</v>
      </c>
      <c r="R756" s="43">
        <v>2</v>
      </c>
      <c r="S756" s="45"/>
      <c r="T756" t="b">
        <f>(S755+S756+S757)=S4</f>
        <v>0</v>
      </c>
      <c r="X756" s="1">
        <f t="shared" si="66"/>
        <v>0</v>
      </c>
      <c r="Y756" s="48">
        <v>0</v>
      </c>
      <c r="AA756" s="1">
        <v>3</v>
      </c>
      <c r="AB756" s="1" t="s">
        <v>14</v>
      </c>
      <c r="AC756" s="1" t="s">
        <v>20</v>
      </c>
      <c r="AD756" s="1">
        <v>15</v>
      </c>
      <c r="AE756" s="1">
        <v>13</v>
      </c>
      <c r="AF756" s="1">
        <v>0.8</v>
      </c>
      <c r="AG756" s="1">
        <v>0.88</v>
      </c>
      <c r="AH756" s="1">
        <v>0</v>
      </c>
      <c r="AI756" s="1">
        <v>0</v>
      </c>
      <c r="AJ756" s="1">
        <f t="shared" si="62"/>
        <v>0</v>
      </c>
      <c r="AK756" s="1">
        <f>D71</f>
        <v>0</v>
      </c>
      <c r="AL756" s="1">
        <f>D77</f>
        <v>0</v>
      </c>
      <c r="AM756" s="1">
        <f t="shared" si="63"/>
        <v>0</v>
      </c>
      <c r="AN756" s="1">
        <f t="shared" si="64"/>
        <v>0</v>
      </c>
      <c r="AO756" s="1">
        <f t="shared" si="65"/>
        <v>0</v>
      </c>
      <c r="AP756" t="b" cm="1">
        <f t="array" ref="AP756">INDEX($AU$8:$BB$25,6*(R756-1)+MATCH(AB756,$AS$8:$AS$13,0),MATCH(O756,$AU$7:$BB$7,0))</f>
        <v>1</v>
      </c>
    </row>
    <row r="757" spans="15:42" ht="14.25" x14ac:dyDescent="0.45">
      <c r="O757" s="43" t="s">
        <v>34</v>
      </c>
      <c r="P757" s="43">
        <v>3</v>
      </c>
      <c r="Q757" s="43">
        <v>9</v>
      </c>
      <c r="R757" s="43">
        <v>3</v>
      </c>
      <c r="S757" s="45"/>
      <c r="T757" t="b">
        <f>(S755+S756+S757)=S4</f>
        <v>0</v>
      </c>
      <c r="X757" s="1">
        <f t="shared" si="66"/>
        <v>0</v>
      </c>
      <c r="Y757" s="48">
        <v>0</v>
      </c>
      <c r="AA757" s="1">
        <v>3</v>
      </c>
      <c r="AB757" s="1" t="s">
        <v>14</v>
      </c>
      <c r="AC757" s="1" t="s">
        <v>20</v>
      </c>
      <c r="AD757" s="1">
        <v>15</v>
      </c>
      <c r="AE757" s="1">
        <v>13</v>
      </c>
      <c r="AF757" s="1">
        <v>0.8</v>
      </c>
      <c r="AG757" s="1">
        <v>0.88</v>
      </c>
      <c r="AH757" s="1">
        <v>0</v>
      </c>
      <c r="AI757" s="1">
        <v>0</v>
      </c>
      <c r="AJ757" s="1">
        <f t="shared" si="62"/>
        <v>0</v>
      </c>
      <c r="AK757" s="1">
        <f>E71</f>
        <v>0</v>
      </c>
      <c r="AL757" s="1">
        <f>E77</f>
        <v>0</v>
      </c>
      <c r="AM757" s="1">
        <f t="shared" si="63"/>
        <v>0</v>
      </c>
      <c r="AN757" s="1">
        <f t="shared" si="64"/>
        <v>0</v>
      </c>
      <c r="AO757" s="1">
        <f t="shared" si="65"/>
        <v>0</v>
      </c>
      <c r="AP757" t="b" cm="1">
        <f t="array" ref="AP757">INDEX($AU$8:$BB$25,6*(R757-1)+MATCH(AB757,$AS$8:$AS$13,0),MATCH(O757,$AU$7:$BB$7,0))</f>
        <v>1</v>
      </c>
    </row>
    <row r="758" spans="15:42" ht="14.25" x14ac:dyDescent="0.45">
      <c r="O758" s="43" t="s">
        <v>34</v>
      </c>
      <c r="P758" s="43">
        <v>3</v>
      </c>
      <c r="Q758" s="43">
        <v>10</v>
      </c>
      <c r="R758" s="43">
        <v>1</v>
      </c>
      <c r="S758" s="45"/>
      <c r="T758" t="b">
        <f>(S758+S759+S760)=S4</f>
        <v>0</v>
      </c>
      <c r="X758" s="1">
        <f t="shared" si="66"/>
        <v>0</v>
      </c>
      <c r="Y758" s="48">
        <v>0</v>
      </c>
      <c r="AA758" s="1">
        <v>5</v>
      </c>
      <c r="AB758" s="1" t="s">
        <v>14</v>
      </c>
      <c r="AC758" s="1" t="s">
        <v>20</v>
      </c>
      <c r="AD758" s="1">
        <v>24</v>
      </c>
      <c r="AE758" s="1">
        <v>20</v>
      </c>
      <c r="AF758" s="1">
        <v>0.8</v>
      </c>
      <c r="AG758" s="1">
        <v>0.88</v>
      </c>
      <c r="AH758" s="1">
        <v>0</v>
      </c>
      <c r="AI758" s="1">
        <v>0</v>
      </c>
      <c r="AJ758" s="1">
        <f t="shared" si="62"/>
        <v>0</v>
      </c>
      <c r="AK758" s="1">
        <f>C71</f>
        <v>0</v>
      </c>
      <c r="AL758" s="1">
        <f>C77</f>
        <v>0</v>
      </c>
      <c r="AM758" s="1">
        <f t="shared" si="63"/>
        <v>0</v>
      </c>
      <c r="AN758" s="1">
        <f t="shared" si="64"/>
        <v>0</v>
      </c>
      <c r="AO758" s="1">
        <f t="shared" si="65"/>
        <v>0</v>
      </c>
      <c r="AP758" t="b" cm="1">
        <f t="array" ref="AP758">INDEX($AU$8:$BB$25,6*(R758-1)+MATCH(AB758,$AS$8:$AS$13,0),MATCH(O758,$AU$7:$BB$7,0))</f>
        <v>1</v>
      </c>
    </row>
    <row r="759" spans="15:42" ht="14.25" x14ac:dyDescent="0.45">
      <c r="O759" s="43" t="s">
        <v>34</v>
      </c>
      <c r="P759" s="43">
        <v>3</v>
      </c>
      <c r="Q759" s="43">
        <v>10</v>
      </c>
      <c r="R759" s="43">
        <v>2</v>
      </c>
      <c r="S759" s="45"/>
      <c r="T759" t="b">
        <f>(S758+S759+S760)=S4</f>
        <v>0</v>
      </c>
      <c r="X759" s="1">
        <f t="shared" si="66"/>
        <v>0</v>
      </c>
      <c r="Y759" s="48">
        <v>0</v>
      </c>
      <c r="AA759" s="1">
        <v>5</v>
      </c>
      <c r="AB759" s="1" t="s">
        <v>14</v>
      </c>
      <c r="AC759" s="1" t="s">
        <v>20</v>
      </c>
      <c r="AD759" s="1">
        <v>24</v>
      </c>
      <c r="AE759" s="1">
        <v>20</v>
      </c>
      <c r="AF759" s="1">
        <v>0.8</v>
      </c>
      <c r="AG759" s="1">
        <v>0.88</v>
      </c>
      <c r="AH759" s="1">
        <v>0</v>
      </c>
      <c r="AI759" s="1">
        <v>0</v>
      </c>
      <c r="AJ759" s="1">
        <f t="shared" si="62"/>
        <v>0</v>
      </c>
      <c r="AK759" s="1">
        <f>D71</f>
        <v>0</v>
      </c>
      <c r="AL759" s="1">
        <f>D77</f>
        <v>0</v>
      </c>
      <c r="AM759" s="1">
        <f t="shared" si="63"/>
        <v>0</v>
      </c>
      <c r="AN759" s="1">
        <f t="shared" si="64"/>
        <v>0</v>
      </c>
      <c r="AO759" s="1">
        <f t="shared" si="65"/>
        <v>0</v>
      </c>
      <c r="AP759" t="b" cm="1">
        <f t="array" ref="AP759">INDEX($AU$8:$BB$25,6*(R759-1)+MATCH(AB759,$AS$8:$AS$13,0),MATCH(O759,$AU$7:$BB$7,0))</f>
        <v>1</v>
      </c>
    </row>
    <row r="760" spans="15:42" ht="14.25" x14ac:dyDescent="0.45">
      <c r="O760" s="43" t="s">
        <v>34</v>
      </c>
      <c r="P760" s="43">
        <v>3</v>
      </c>
      <c r="Q760" s="43">
        <v>10</v>
      </c>
      <c r="R760" s="43">
        <v>3</v>
      </c>
      <c r="S760" s="45"/>
      <c r="T760" t="b">
        <f>(S758+S759+S760)=S4</f>
        <v>0</v>
      </c>
      <c r="X760" s="1">
        <f t="shared" si="66"/>
        <v>0</v>
      </c>
      <c r="Y760" s="48">
        <v>0</v>
      </c>
      <c r="AA760" s="1">
        <v>5</v>
      </c>
      <c r="AB760" s="1" t="s">
        <v>14</v>
      </c>
      <c r="AC760" s="1" t="s">
        <v>20</v>
      </c>
      <c r="AD760" s="1">
        <v>24</v>
      </c>
      <c r="AE760" s="1">
        <v>20</v>
      </c>
      <c r="AF760" s="1">
        <v>0.8</v>
      </c>
      <c r="AG760" s="1">
        <v>0.88</v>
      </c>
      <c r="AH760" s="1">
        <v>0</v>
      </c>
      <c r="AI760" s="1">
        <v>0</v>
      </c>
      <c r="AJ760" s="1">
        <f t="shared" si="62"/>
        <v>0</v>
      </c>
      <c r="AK760" s="1">
        <f>E71</f>
        <v>0</v>
      </c>
      <c r="AL760" s="1">
        <f>E77</f>
        <v>0</v>
      </c>
      <c r="AM760" s="1">
        <f t="shared" si="63"/>
        <v>0</v>
      </c>
      <c r="AN760" s="1">
        <f t="shared" si="64"/>
        <v>0</v>
      </c>
      <c r="AO760" s="1">
        <f t="shared" si="65"/>
        <v>0</v>
      </c>
      <c r="AP760" t="b" cm="1">
        <f t="array" ref="AP760">INDEX($AU$8:$BB$25,6*(R760-1)+MATCH(AB760,$AS$8:$AS$13,0),MATCH(O760,$AU$7:$BB$7,0))</f>
        <v>1</v>
      </c>
    </row>
    <row r="761" spans="15:42" ht="14.25" x14ac:dyDescent="0.45">
      <c r="O761" s="43" t="s">
        <v>34</v>
      </c>
      <c r="P761" s="43">
        <v>3</v>
      </c>
      <c r="Q761" s="43">
        <v>11</v>
      </c>
      <c r="R761" s="43">
        <v>1</v>
      </c>
      <c r="S761" s="45"/>
      <c r="T761" t="b">
        <f>(S761+S762+S763)=S4</f>
        <v>0</v>
      </c>
      <c r="X761" s="1">
        <f t="shared" si="66"/>
        <v>0</v>
      </c>
      <c r="Y761" s="48">
        <v>0</v>
      </c>
      <c r="AA761" s="1">
        <v>3</v>
      </c>
      <c r="AB761" s="1" t="s">
        <v>15</v>
      </c>
      <c r="AC761" s="1" t="s">
        <v>21</v>
      </c>
      <c r="AD761" s="1">
        <v>17</v>
      </c>
      <c r="AE761" s="1">
        <v>15</v>
      </c>
      <c r="AF761" s="1">
        <v>0.76</v>
      </c>
      <c r="AG761" s="1">
        <v>0.84</v>
      </c>
      <c r="AH761" s="1">
        <v>0</v>
      </c>
      <c r="AI761" s="1">
        <v>0</v>
      </c>
      <c r="AJ761" s="1">
        <f t="shared" si="62"/>
        <v>0</v>
      </c>
      <c r="AK761" s="1">
        <f>C72</f>
        <v>0</v>
      </c>
      <c r="AL761" s="1">
        <f>C78</f>
        <v>0</v>
      </c>
      <c r="AM761" s="1">
        <f t="shared" si="63"/>
        <v>0</v>
      </c>
      <c r="AN761" s="1">
        <f t="shared" si="64"/>
        <v>0</v>
      </c>
      <c r="AO761" s="1">
        <f t="shared" si="65"/>
        <v>0</v>
      </c>
      <c r="AP761" t="b" cm="1">
        <f t="array" ref="AP761">INDEX($AU$8:$BB$25,6*(R761-1)+MATCH(AB761,$AS$8:$AS$13,0),MATCH(O761,$AU$7:$BB$7,0))</f>
        <v>1</v>
      </c>
    </row>
    <row r="762" spans="15:42" ht="14.25" x14ac:dyDescent="0.45">
      <c r="O762" s="43" t="s">
        <v>34</v>
      </c>
      <c r="P762" s="43">
        <v>3</v>
      </c>
      <c r="Q762" s="43">
        <v>11</v>
      </c>
      <c r="R762" s="43">
        <v>2</v>
      </c>
      <c r="S762" s="45"/>
      <c r="T762" t="b">
        <f>(S761+S762+S763)=S4</f>
        <v>0</v>
      </c>
      <c r="X762" s="1">
        <f t="shared" si="66"/>
        <v>0</v>
      </c>
      <c r="Y762" s="48">
        <v>0</v>
      </c>
      <c r="AA762" s="1">
        <v>3</v>
      </c>
      <c r="AB762" s="1" t="s">
        <v>15</v>
      </c>
      <c r="AC762" s="1" t="s">
        <v>21</v>
      </c>
      <c r="AD762" s="1">
        <v>17</v>
      </c>
      <c r="AE762" s="1">
        <v>15</v>
      </c>
      <c r="AF762" s="1">
        <v>0.76</v>
      </c>
      <c r="AG762" s="1">
        <v>0.84</v>
      </c>
      <c r="AH762" s="1">
        <v>0</v>
      </c>
      <c r="AI762" s="1">
        <v>0</v>
      </c>
      <c r="AJ762" s="1">
        <f t="shared" si="62"/>
        <v>0</v>
      </c>
      <c r="AK762" s="1">
        <f>D72</f>
        <v>0</v>
      </c>
      <c r="AL762" s="1">
        <f>D78</f>
        <v>0</v>
      </c>
      <c r="AM762" s="1">
        <f t="shared" si="63"/>
        <v>0</v>
      </c>
      <c r="AN762" s="1">
        <f t="shared" si="64"/>
        <v>0</v>
      </c>
      <c r="AO762" s="1">
        <f t="shared" si="65"/>
        <v>0</v>
      </c>
      <c r="AP762" t="b" cm="1">
        <f t="array" ref="AP762">INDEX($AU$8:$BB$25,6*(R762-1)+MATCH(AB762,$AS$8:$AS$13,0),MATCH(O762,$AU$7:$BB$7,0))</f>
        <v>1</v>
      </c>
    </row>
    <row r="763" spans="15:42" ht="14.25" x14ac:dyDescent="0.45">
      <c r="O763" s="43" t="s">
        <v>34</v>
      </c>
      <c r="P763" s="43">
        <v>3</v>
      </c>
      <c r="Q763" s="43">
        <v>11</v>
      </c>
      <c r="R763" s="43">
        <v>3</v>
      </c>
      <c r="S763" s="45"/>
      <c r="T763" t="b">
        <f>(S761+S762+S763)=S4</f>
        <v>0</v>
      </c>
      <c r="X763" s="1">
        <f t="shared" si="66"/>
        <v>0</v>
      </c>
      <c r="Y763" s="48">
        <v>0</v>
      </c>
      <c r="AA763" s="1">
        <v>3</v>
      </c>
      <c r="AB763" s="1" t="s">
        <v>15</v>
      </c>
      <c r="AC763" s="1" t="s">
        <v>21</v>
      </c>
      <c r="AD763" s="1">
        <v>17</v>
      </c>
      <c r="AE763" s="1">
        <v>15</v>
      </c>
      <c r="AF763" s="1">
        <v>0.76</v>
      </c>
      <c r="AG763" s="1">
        <v>0.84</v>
      </c>
      <c r="AH763" s="1">
        <v>0</v>
      </c>
      <c r="AI763" s="1">
        <v>0</v>
      </c>
      <c r="AJ763" s="1">
        <f t="shared" si="62"/>
        <v>0</v>
      </c>
      <c r="AK763" s="1">
        <f>E72</f>
        <v>0</v>
      </c>
      <c r="AL763" s="1">
        <f>E78</f>
        <v>0</v>
      </c>
      <c r="AM763" s="1">
        <f t="shared" si="63"/>
        <v>0</v>
      </c>
      <c r="AN763" s="1">
        <f t="shared" si="64"/>
        <v>0</v>
      </c>
      <c r="AO763" s="1">
        <f t="shared" si="65"/>
        <v>0</v>
      </c>
      <c r="AP763" t="b" cm="1">
        <f t="array" ref="AP763">INDEX($AU$8:$BB$25,6*(R763-1)+MATCH(AB763,$AS$8:$AS$13,0),MATCH(O763,$AU$7:$BB$7,0))</f>
        <v>1</v>
      </c>
    </row>
    <row r="764" spans="15:42" ht="14.25" x14ac:dyDescent="0.45">
      <c r="O764" s="43" t="s">
        <v>34</v>
      </c>
      <c r="P764" s="43">
        <v>3</v>
      </c>
      <c r="Q764" s="43">
        <v>12</v>
      </c>
      <c r="R764" s="43">
        <v>1</v>
      </c>
      <c r="S764" s="45"/>
      <c r="T764" t="b">
        <f>(S764+S765+S766)=S4</f>
        <v>0</v>
      </c>
      <c r="X764" s="1">
        <f t="shared" si="66"/>
        <v>0</v>
      </c>
      <c r="Y764" s="48">
        <v>0</v>
      </c>
      <c r="AA764" s="1">
        <v>10</v>
      </c>
      <c r="AB764" s="1" t="s">
        <v>15</v>
      </c>
      <c r="AC764" s="1" t="s">
        <v>21</v>
      </c>
      <c r="AD764" s="1">
        <v>18</v>
      </c>
      <c r="AE764" s="1">
        <v>13</v>
      </c>
      <c r="AF764" s="1">
        <v>0.76</v>
      </c>
      <c r="AG764" s="1">
        <v>0.84</v>
      </c>
      <c r="AH764" s="1">
        <v>0</v>
      </c>
      <c r="AI764" s="1">
        <v>0</v>
      </c>
      <c r="AJ764" s="1">
        <f t="shared" si="62"/>
        <v>0</v>
      </c>
      <c r="AK764" s="1">
        <f>C72</f>
        <v>0</v>
      </c>
      <c r="AL764" s="1">
        <f>C78</f>
        <v>0</v>
      </c>
      <c r="AM764" s="1">
        <f t="shared" si="63"/>
        <v>0</v>
      </c>
      <c r="AN764" s="1">
        <f t="shared" si="64"/>
        <v>0</v>
      </c>
      <c r="AO764" s="1">
        <f t="shared" si="65"/>
        <v>0</v>
      </c>
      <c r="AP764" t="b" cm="1">
        <f t="array" ref="AP764">INDEX($AU$8:$BB$25,6*(R764-1)+MATCH(AB764,$AS$8:$AS$13,0),MATCH(O764,$AU$7:$BB$7,0))</f>
        <v>1</v>
      </c>
    </row>
    <row r="765" spans="15:42" ht="14.25" x14ac:dyDescent="0.45">
      <c r="O765" s="43" t="s">
        <v>34</v>
      </c>
      <c r="P765" s="43">
        <v>3</v>
      </c>
      <c r="Q765" s="43">
        <v>12</v>
      </c>
      <c r="R765" s="43">
        <v>2</v>
      </c>
      <c r="S765" s="45"/>
      <c r="T765" t="b">
        <f>(S764+S765+S766)=S4</f>
        <v>0</v>
      </c>
      <c r="X765" s="1">
        <f t="shared" si="66"/>
        <v>0</v>
      </c>
      <c r="Y765" s="48">
        <v>0</v>
      </c>
      <c r="AA765" s="1">
        <v>10</v>
      </c>
      <c r="AB765" s="1" t="s">
        <v>15</v>
      </c>
      <c r="AC765" s="1" t="s">
        <v>21</v>
      </c>
      <c r="AD765" s="1">
        <v>18</v>
      </c>
      <c r="AE765" s="1">
        <v>13</v>
      </c>
      <c r="AF765" s="1">
        <v>0.76</v>
      </c>
      <c r="AG765" s="1">
        <v>0.84</v>
      </c>
      <c r="AH765" s="1">
        <v>0</v>
      </c>
      <c r="AI765" s="1">
        <v>0</v>
      </c>
      <c r="AJ765" s="1">
        <f t="shared" si="62"/>
        <v>0</v>
      </c>
      <c r="AK765" s="1">
        <f>D72</f>
        <v>0</v>
      </c>
      <c r="AL765" s="1">
        <f>D78</f>
        <v>0</v>
      </c>
      <c r="AM765" s="1">
        <f t="shared" si="63"/>
        <v>0</v>
      </c>
      <c r="AN765" s="1">
        <f t="shared" si="64"/>
        <v>0</v>
      </c>
      <c r="AO765" s="1">
        <f t="shared" si="65"/>
        <v>0</v>
      </c>
      <c r="AP765" t="b" cm="1">
        <f t="array" ref="AP765">INDEX($AU$8:$BB$25,6*(R765-1)+MATCH(AB765,$AS$8:$AS$13,0),MATCH(O765,$AU$7:$BB$7,0))</f>
        <v>1</v>
      </c>
    </row>
    <row r="766" spans="15:42" ht="14.25" x14ac:dyDescent="0.45">
      <c r="O766" s="43" t="s">
        <v>34</v>
      </c>
      <c r="P766" s="43">
        <v>3</v>
      </c>
      <c r="Q766" s="43">
        <v>12</v>
      </c>
      <c r="R766" s="43">
        <v>3</v>
      </c>
      <c r="S766" s="45"/>
      <c r="T766" t="b">
        <f>(S764+S765+S766)=S4</f>
        <v>0</v>
      </c>
      <c r="X766" s="1">
        <f t="shared" si="66"/>
        <v>0</v>
      </c>
      <c r="Y766" s="48">
        <v>0</v>
      </c>
      <c r="AA766" s="1">
        <v>10</v>
      </c>
      <c r="AB766" s="1" t="s">
        <v>15</v>
      </c>
      <c r="AC766" s="1" t="s">
        <v>21</v>
      </c>
      <c r="AD766" s="1">
        <v>18</v>
      </c>
      <c r="AE766" s="1">
        <v>13</v>
      </c>
      <c r="AF766" s="1">
        <v>0.76</v>
      </c>
      <c r="AG766" s="1">
        <v>0.84</v>
      </c>
      <c r="AH766" s="1">
        <v>0</v>
      </c>
      <c r="AI766" s="1">
        <v>0</v>
      </c>
      <c r="AJ766" s="1">
        <f t="shared" si="62"/>
        <v>0</v>
      </c>
      <c r="AK766" s="1">
        <f>E72</f>
        <v>0</v>
      </c>
      <c r="AL766" s="1">
        <f>E78</f>
        <v>0</v>
      </c>
      <c r="AM766" s="1">
        <f t="shared" si="63"/>
        <v>0</v>
      </c>
      <c r="AN766" s="1">
        <f t="shared" si="64"/>
        <v>0</v>
      </c>
      <c r="AO766" s="1">
        <f t="shared" si="65"/>
        <v>0</v>
      </c>
      <c r="AP766" t="b" cm="1">
        <f t="array" ref="AP766">INDEX($AU$8:$BB$25,6*(R766-1)+MATCH(AB766,$AS$8:$AS$13,0),MATCH(O766,$AU$7:$BB$7,0))</f>
        <v>1</v>
      </c>
    </row>
    <row r="767" spans="15:42" ht="14.25" x14ac:dyDescent="0.45">
      <c r="O767" s="43" t="s">
        <v>34</v>
      </c>
      <c r="P767" s="43">
        <v>3</v>
      </c>
      <c r="Q767" s="43">
        <v>13</v>
      </c>
      <c r="R767" s="43">
        <v>1</v>
      </c>
      <c r="S767" s="45"/>
      <c r="T767" t="b">
        <f>(S767+S768+S769)=S4</f>
        <v>0</v>
      </c>
      <c r="X767" s="1">
        <f t="shared" si="66"/>
        <v>0</v>
      </c>
      <c r="Y767" s="48">
        <v>0</v>
      </c>
      <c r="AA767" s="1">
        <v>2</v>
      </c>
      <c r="AB767" s="1" t="s">
        <v>16</v>
      </c>
      <c r="AC767" s="1" t="s">
        <v>22</v>
      </c>
      <c r="AD767" s="1">
        <v>20</v>
      </c>
      <c r="AE767" s="1">
        <v>18</v>
      </c>
      <c r="AF767" s="1">
        <v>0.8</v>
      </c>
      <c r="AG767" s="1">
        <v>0.9</v>
      </c>
      <c r="AH767" s="1">
        <v>0</v>
      </c>
      <c r="AI767" s="1">
        <v>0</v>
      </c>
      <c r="AJ767" s="1">
        <f t="shared" si="62"/>
        <v>0</v>
      </c>
      <c r="AK767" s="1">
        <f>C73</f>
        <v>0</v>
      </c>
      <c r="AL767" s="1">
        <f>C79</f>
        <v>0</v>
      </c>
      <c r="AM767" s="1">
        <f t="shared" si="63"/>
        <v>0</v>
      </c>
      <c r="AN767" s="1">
        <f t="shared" si="64"/>
        <v>0</v>
      </c>
      <c r="AO767" s="1">
        <f t="shared" si="65"/>
        <v>0</v>
      </c>
      <c r="AP767" t="b" cm="1">
        <f t="array" ref="AP767">INDEX($AU$8:$BB$25,6*(R767-1)+MATCH(AB767,$AS$8:$AS$13,0),MATCH(O767,$AU$7:$BB$7,0))</f>
        <v>1</v>
      </c>
    </row>
    <row r="768" spans="15:42" ht="14.25" x14ac:dyDescent="0.45">
      <c r="O768" s="43" t="s">
        <v>34</v>
      </c>
      <c r="P768" s="43">
        <v>3</v>
      </c>
      <c r="Q768" s="43">
        <v>13</v>
      </c>
      <c r="R768" s="43">
        <v>2</v>
      </c>
      <c r="S768" s="45"/>
      <c r="T768" t="b">
        <f>(S767+S768+S769)=S4</f>
        <v>0</v>
      </c>
      <c r="X768" s="1">
        <f t="shared" si="66"/>
        <v>0</v>
      </c>
      <c r="Y768" s="48">
        <v>0</v>
      </c>
      <c r="AA768" s="1">
        <v>2</v>
      </c>
      <c r="AB768" s="1" t="s">
        <v>16</v>
      </c>
      <c r="AC768" s="1" t="s">
        <v>22</v>
      </c>
      <c r="AD768" s="1">
        <v>20</v>
      </c>
      <c r="AE768" s="1">
        <v>18</v>
      </c>
      <c r="AF768" s="1">
        <v>0.8</v>
      </c>
      <c r="AG768" s="1">
        <v>0.9</v>
      </c>
      <c r="AH768" s="1">
        <v>0</v>
      </c>
      <c r="AI768" s="1">
        <v>0</v>
      </c>
      <c r="AJ768" s="1">
        <f t="shared" si="62"/>
        <v>0</v>
      </c>
      <c r="AK768" s="1">
        <f>D73</f>
        <v>0</v>
      </c>
      <c r="AL768" s="1">
        <f>D79</f>
        <v>0</v>
      </c>
      <c r="AM768" s="1">
        <f t="shared" si="63"/>
        <v>0</v>
      </c>
      <c r="AN768" s="1">
        <f t="shared" si="64"/>
        <v>0</v>
      </c>
      <c r="AO768" s="1">
        <f t="shared" si="65"/>
        <v>0</v>
      </c>
      <c r="AP768" t="b" cm="1">
        <f t="array" ref="AP768">INDEX($AU$8:$BB$25,6*(R768-1)+MATCH(AB768,$AS$8:$AS$13,0),MATCH(O768,$AU$7:$BB$7,0))</f>
        <v>1</v>
      </c>
    </row>
    <row r="769" spans="15:42" ht="14.25" x14ac:dyDescent="0.45">
      <c r="O769" s="43" t="s">
        <v>34</v>
      </c>
      <c r="P769" s="43">
        <v>3</v>
      </c>
      <c r="Q769" s="43">
        <v>13</v>
      </c>
      <c r="R769" s="43">
        <v>3</v>
      </c>
      <c r="S769" s="45"/>
      <c r="T769" t="b">
        <f>(S767+S768+S769)=S4</f>
        <v>0</v>
      </c>
      <c r="X769" s="1">
        <f t="shared" si="66"/>
        <v>0</v>
      </c>
      <c r="Y769" s="48">
        <v>0</v>
      </c>
      <c r="AA769" s="1">
        <v>2</v>
      </c>
      <c r="AB769" s="1" t="s">
        <v>16</v>
      </c>
      <c r="AC769" s="1" t="s">
        <v>22</v>
      </c>
      <c r="AD769" s="1">
        <v>20</v>
      </c>
      <c r="AE769" s="1">
        <v>18</v>
      </c>
      <c r="AF769" s="1">
        <v>0.8</v>
      </c>
      <c r="AG769" s="1">
        <v>0.9</v>
      </c>
      <c r="AH769" s="1">
        <v>0</v>
      </c>
      <c r="AI769" s="1">
        <v>0</v>
      </c>
      <c r="AJ769" s="1">
        <f t="shared" si="62"/>
        <v>0</v>
      </c>
      <c r="AK769" s="1">
        <f>E73</f>
        <v>0</v>
      </c>
      <c r="AL769" s="1">
        <f>E79</f>
        <v>0</v>
      </c>
      <c r="AM769" s="1">
        <f t="shared" si="63"/>
        <v>0</v>
      </c>
      <c r="AN769" s="1">
        <f t="shared" si="64"/>
        <v>0</v>
      </c>
      <c r="AO769" s="1">
        <f t="shared" si="65"/>
        <v>0</v>
      </c>
      <c r="AP769" t="b" cm="1">
        <f t="array" ref="AP769">INDEX($AU$8:$BB$25,6*(R769-1)+MATCH(AB769,$AS$8:$AS$13,0),MATCH(O769,$AU$7:$BB$7,0))</f>
        <v>1</v>
      </c>
    </row>
    <row r="770" spans="15:42" ht="14.25" x14ac:dyDescent="0.45">
      <c r="O770" s="43" t="s">
        <v>34</v>
      </c>
      <c r="P770" s="43">
        <v>3</v>
      </c>
      <c r="Q770" s="43">
        <v>14</v>
      </c>
      <c r="R770" s="43">
        <v>1</v>
      </c>
      <c r="S770" s="45"/>
      <c r="T770" t="b">
        <f>(S770+S771+S772)=S4</f>
        <v>0</v>
      </c>
      <c r="X770" s="1">
        <f t="shared" si="66"/>
        <v>0</v>
      </c>
      <c r="Y770" s="48">
        <v>0</v>
      </c>
      <c r="AA770" s="1">
        <v>2</v>
      </c>
      <c r="AB770" s="1" t="s">
        <v>13</v>
      </c>
      <c r="AC770" s="1" t="s">
        <v>19</v>
      </c>
      <c r="AD770" s="1">
        <v>12</v>
      </c>
      <c r="AE770" s="1">
        <v>11</v>
      </c>
      <c r="AF770" s="1">
        <v>0.8</v>
      </c>
      <c r="AG770" s="1">
        <v>0.86</v>
      </c>
      <c r="AH770" s="1">
        <v>0</v>
      </c>
      <c r="AI770" s="1">
        <v>0</v>
      </c>
      <c r="AJ770" s="1">
        <f t="shared" si="62"/>
        <v>0</v>
      </c>
      <c r="AK770" s="1">
        <f>C70</f>
        <v>0</v>
      </c>
      <c r="AL770" s="1">
        <f>C76</f>
        <v>0</v>
      </c>
      <c r="AM770" s="1">
        <f t="shared" si="63"/>
        <v>0</v>
      </c>
      <c r="AN770" s="1">
        <f t="shared" si="64"/>
        <v>0</v>
      </c>
      <c r="AO770" s="1">
        <f t="shared" si="65"/>
        <v>0</v>
      </c>
      <c r="AP770" t="b" cm="1">
        <f t="array" ref="AP770">INDEX($AU$8:$BB$25,6*(R770-1)+MATCH(AB770,$AS$8:$AS$13,0),MATCH(O770,$AU$7:$BB$7,0))</f>
        <v>1</v>
      </c>
    </row>
    <row r="771" spans="15:42" ht="14.25" x14ac:dyDescent="0.45">
      <c r="O771" s="43" t="s">
        <v>34</v>
      </c>
      <c r="P771" s="43">
        <v>3</v>
      </c>
      <c r="Q771" s="43">
        <v>14</v>
      </c>
      <c r="R771" s="43">
        <v>2</v>
      </c>
      <c r="S771" s="45"/>
      <c r="T771" t="b">
        <f>(S770+S771+S772)=S4</f>
        <v>0</v>
      </c>
      <c r="X771" s="1">
        <f t="shared" si="66"/>
        <v>0</v>
      </c>
      <c r="Y771" s="48">
        <v>0</v>
      </c>
      <c r="AA771" s="1">
        <v>2</v>
      </c>
      <c r="AB771" s="1" t="s">
        <v>13</v>
      </c>
      <c r="AC771" s="1" t="s">
        <v>19</v>
      </c>
      <c r="AD771" s="1">
        <v>12</v>
      </c>
      <c r="AE771" s="1">
        <v>11</v>
      </c>
      <c r="AF771" s="1">
        <v>0.8</v>
      </c>
      <c r="AG771" s="1">
        <v>0.86</v>
      </c>
      <c r="AH771" s="1">
        <v>0</v>
      </c>
      <c r="AI771" s="1">
        <v>0</v>
      </c>
      <c r="AJ771" s="1">
        <f t="shared" si="62"/>
        <v>0</v>
      </c>
      <c r="AK771" s="1">
        <f>D70</f>
        <v>0</v>
      </c>
      <c r="AL771" s="1">
        <f>D76</f>
        <v>0</v>
      </c>
      <c r="AM771" s="1">
        <f t="shared" si="63"/>
        <v>0</v>
      </c>
      <c r="AN771" s="1">
        <f t="shared" si="64"/>
        <v>0</v>
      </c>
      <c r="AO771" s="1">
        <f t="shared" si="65"/>
        <v>0</v>
      </c>
      <c r="AP771" t="b" cm="1">
        <f t="array" ref="AP771">INDEX($AU$8:$BB$25,6*(R771-1)+MATCH(AB771,$AS$8:$AS$13,0),MATCH(O771,$AU$7:$BB$7,0))</f>
        <v>1</v>
      </c>
    </row>
    <row r="772" spans="15:42" ht="14.25" x14ac:dyDescent="0.45">
      <c r="O772" s="43" t="s">
        <v>34</v>
      </c>
      <c r="P772" s="43">
        <v>3</v>
      </c>
      <c r="Q772" s="43">
        <v>14</v>
      </c>
      <c r="R772" s="43">
        <v>3</v>
      </c>
      <c r="S772" s="45"/>
      <c r="T772" t="b">
        <f>(S770+S771+S772)=S4</f>
        <v>0</v>
      </c>
      <c r="X772" s="1">
        <f t="shared" si="66"/>
        <v>0</v>
      </c>
      <c r="Y772" s="48">
        <v>0</v>
      </c>
      <c r="AA772" s="1">
        <v>2</v>
      </c>
      <c r="AB772" s="1" t="s">
        <v>13</v>
      </c>
      <c r="AC772" s="1" t="s">
        <v>19</v>
      </c>
      <c r="AD772" s="1">
        <v>12</v>
      </c>
      <c r="AE772" s="1">
        <v>11</v>
      </c>
      <c r="AF772" s="1">
        <v>0.8</v>
      </c>
      <c r="AG772" s="1">
        <v>0.86</v>
      </c>
      <c r="AH772" s="1">
        <v>0</v>
      </c>
      <c r="AI772" s="1">
        <v>0</v>
      </c>
      <c r="AJ772" s="1">
        <f t="shared" si="62"/>
        <v>0</v>
      </c>
      <c r="AK772" s="1">
        <f>E70</f>
        <v>0</v>
      </c>
      <c r="AL772" s="1">
        <f>E76</f>
        <v>0</v>
      </c>
      <c r="AM772" s="1">
        <f t="shared" si="63"/>
        <v>0</v>
      </c>
      <c r="AN772" s="1">
        <f t="shared" si="64"/>
        <v>0</v>
      </c>
      <c r="AO772" s="1">
        <f t="shared" si="65"/>
        <v>0</v>
      </c>
      <c r="AP772" t="b" cm="1">
        <f t="array" ref="AP772">INDEX($AU$8:$BB$25,6*(R772-1)+MATCH(AB772,$AS$8:$AS$13,0),MATCH(O772,$AU$7:$BB$7,0))</f>
        <v>1</v>
      </c>
    </row>
    <row r="773" spans="15:42" ht="14.25" x14ac:dyDescent="0.45">
      <c r="O773" s="43" t="s">
        <v>34</v>
      </c>
      <c r="P773" s="43">
        <v>3</v>
      </c>
      <c r="Q773" s="43">
        <v>15</v>
      </c>
      <c r="R773" s="43">
        <v>1</v>
      </c>
      <c r="S773" s="45"/>
      <c r="T773" t="b">
        <f>(S773+S774+S775)=S4</f>
        <v>0</v>
      </c>
      <c r="X773" s="1">
        <f t="shared" si="66"/>
        <v>0</v>
      </c>
      <c r="Y773" s="48">
        <v>0</v>
      </c>
      <c r="AA773" s="1">
        <v>2</v>
      </c>
      <c r="AB773" s="1" t="s">
        <v>14</v>
      </c>
      <c r="AC773" s="1" t="s">
        <v>20</v>
      </c>
      <c r="AD773" s="1">
        <v>11</v>
      </c>
      <c r="AE773" s="1">
        <v>10</v>
      </c>
      <c r="AF773" s="1">
        <v>0.8</v>
      </c>
      <c r="AG773" s="1">
        <v>0.88</v>
      </c>
      <c r="AH773" s="1">
        <v>0</v>
      </c>
      <c r="AI773" s="1">
        <v>0</v>
      </c>
      <c r="AJ773" s="1">
        <f t="shared" si="62"/>
        <v>0</v>
      </c>
      <c r="AK773" s="1">
        <f>C71</f>
        <v>0</v>
      </c>
      <c r="AL773" s="1">
        <f>C77</f>
        <v>0</v>
      </c>
      <c r="AM773" s="1">
        <f t="shared" si="63"/>
        <v>0</v>
      </c>
      <c r="AN773" s="1">
        <f t="shared" si="64"/>
        <v>0</v>
      </c>
      <c r="AO773" s="1">
        <f t="shared" si="65"/>
        <v>0</v>
      </c>
      <c r="AP773" t="b" cm="1">
        <f t="array" ref="AP773">INDEX($AU$8:$BB$25,6*(R773-1)+MATCH(AB773,$AS$8:$AS$13,0),MATCH(O773,$AU$7:$BB$7,0))</f>
        <v>1</v>
      </c>
    </row>
    <row r="774" spans="15:42" ht="14.25" x14ac:dyDescent="0.45">
      <c r="O774" s="43" t="s">
        <v>34</v>
      </c>
      <c r="P774" s="43">
        <v>3</v>
      </c>
      <c r="Q774" s="43">
        <v>15</v>
      </c>
      <c r="R774" s="43">
        <v>2</v>
      </c>
      <c r="S774" s="45"/>
      <c r="T774" t="b">
        <f>(S773+S774+S775)=S4</f>
        <v>0</v>
      </c>
      <c r="X774" s="1">
        <f t="shared" si="66"/>
        <v>0</v>
      </c>
      <c r="Y774" s="48">
        <v>0</v>
      </c>
      <c r="AA774" s="1">
        <v>2</v>
      </c>
      <c r="AB774" s="1" t="s">
        <v>14</v>
      </c>
      <c r="AC774" s="1" t="s">
        <v>20</v>
      </c>
      <c r="AD774" s="1">
        <v>11</v>
      </c>
      <c r="AE774" s="1">
        <v>10</v>
      </c>
      <c r="AF774" s="1">
        <v>0.8</v>
      </c>
      <c r="AG774" s="1">
        <v>0.88</v>
      </c>
      <c r="AH774" s="1">
        <v>0</v>
      </c>
      <c r="AI774" s="1">
        <v>0</v>
      </c>
      <c r="AJ774" s="1">
        <f t="shared" si="62"/>
        <v>0</v>
      </c>
      <c r="AK774" s="1">
        <f>D71</f>
        <v>0</v>
      </c>
      <c r="AL774" s="1">
        <f>D77</f>
        <v>0</v>
      </c>
      <c r="AM774" s="1">
        <f t="shared" si="63"/>
        <v>0</v>
      </c>
      <c r="AN774" s="1">
        <f t="shared" si="64"/>
        <v>0</v>
      </c>
      <c r="AO774" s="1">
        <f t="shared" si="65"/>
        <v>0</v>
      </c>
      <c r="AP774" t="b" cm="1">
        <f t="array" ref="AP774">INDEX($AU$8:$BB$25,6*(R774-1)+MATCH(AB774,$AS$8:$AS$13,0),MATCH(O774,$AU$7:$BB$7,0))</f>
        <v>1</v>
      </c>
    </row>
    <row r="775" spans="15:42" ht="14.25" x14ac:dyDescent="0.45">
      <c r="O775" s="43" t="s">
        <v>34</v>
      </c>
      <c r="P775" s="43">
        <v>3</v>
      </c>
      <c r="Q775" s="43">
        <v>15</v>
      </c>
      <c r="R775" s="43">
        <v>3</v>
      </c>
      <c r="S775" s="45"/>
      <c r="T775" t="b">
        <f>(S773+S774+S775)=S4</f>
        <v>0</v>
      </c>
      <c r="X775" s="1">
        <f t="shared" si="66"/>
        <v>0</v>
      </c>
      <c r="Y775" s="48">
        <v>0</v>
      </c>
      <c r="AA775" s="1">
        <v>2</v>
      </c>
      <c r="AB775" s="1" t="s">
        <v>14</v>
      </c>
      <c r="AC775" s="1" t="s">
        <v>20</v>
      </c>
      <c r="AD775" s="1">
        <v>11</v>
      </c>
      <c r="AE775" s="1">
        <v>10</v>
      </c>
      <c r="AF775" s="1">
        <v>0.8</v>
      </c>
      <c r="AG775" s="1">
        <v>0.88</v>
      </c>
      <c r="AH775" s="1">
        <v>0</v>
      </c>
      <c r="AI775" s="1">
        <v>0</v>
      </c>
      <c r="AJ775" s="1">
        <f t="shared" si="62"/>
        <v>0</v>
      </c>
      <c r="AK775" s="1">
        <f>E71</f>
        <v>0</v>
      </c>
      <c r="AL775" s="1">
        <f>E77</f>
        <v>0</v>
      </c>
      <c r="AM775" s="1">
        <f t="shared" si="63"/>
        <v>0</v>
      </c>
      <c r="AN775" s="1">
        <f t="shared" si="64"/>
        <v>0</v>
      </c>
      <c r="AO775" s="1">
        <f t="shared" si="65"/>
        <v>0</v>
      </c>
      <c r="AP775" t="b" cm="1">
        <f t="array" ref="AP775">INDEX($AU$8:$BB$25,6*(R775-1)+MATCH(AB775,$AS$8:$AS$13,0),MATCH(O775,$AU$7:$BB$7,0))</f>
        <v>1</v>
      </c>
    </row>
    <row r="776" spans="15:42" ht="14.25" x14ac:dyDescent="0.45">
      <c r="O776" s="43" t="s">
        <v>34</v>
      </c>
      <c r="P776" s="43">
        <v>3</v>
      </c>
      <c r="Q776" s="43">
        <v>16</v>
      </c>
      <c r="R776" s="43">
        <v>1</v>
      </c>
      <c r="S776" s="45"/>
      <c r="T776" t="b">
        <f>(S776+S777+S778)=S4</f>
        <v>0</v>
      </c>
      <c r="X776" s="1">
        <f t="shared" si="66"/>
        <v>0</v>
      </c>
      <c r="Y776" s="48">
        <v>0</v>
      </c>
      <c r="AA776" s="1">
        <v>4</v>
      </c>
      <c r="AB776" s="1" t="s">
        <v>13</v>
      </c>
      <c r="AC776" s="1" t="s">
        <v>19</v>
      </c>
      <c r="AD776" s="1">
        <v>25</v>
      </c>
      <c r="AE776" s="1">
        <v>20</v>
      </c>
      <c r="AF776" s="1">
        <v>0.8</v>
      </c>
      <c r="AG776" s="1">
        <v>0.86</v>
      </c>
      <c r="AH776" s="1">
        <v>0</v>
      </c>
      <c r="AI776" s="1">
        <v>0</v>
      </c>
      <c r="AJ776" s="1">
        <f t="shared" si="62"/>
        <v>0</v>
      </c>
      <c r="AK776" s="1">
        <f>C70</f>
        <v>0</v>
      </c>
      <c r="AL776" s="1">
        <f>C76</f>
        <v>0</v>
      </c>
      <c r="AM776" s="1">
        <f t="shared" si="63"/>
        <v>0</v>
      </c>
      <c r="AN776" s="1">
        <f t="shared" si="64"/>
        <v>0</v>
      </c>
      <c r="AO776" s="1">
        <f t="shared" si="65"/>
        <v>0</v>
      </c>
      <c r="AP776" t="b" cm="1">
        <f t="array" ref="AP776">INDEX($AU$8:$BB$25,6*(R776-1)+MATCH(AB776,$AS$8:$AS$13,0),MATCH(O776,$AU$7:$BB$7,0))</f>
        <v>1</v>
      </c>
    </row>
    <row r="777" spans="15:42" ht="14.25" x14ac:dyDescent="0.45">
      <c r="O777" s="43" t="s">
        <v>34</v>
      </c>
      <c r="P777" s="43">
        <v>3</v>
      </c>
      <c r="Q777" s="43">
        <v>16</v>
      </c>
      <c r="R777" s="43">
        <v>2</v>
      </c>
      <c r="S777" s="45"/>
      <c r="T777" t="b">
        <f>(S776+S777+S778)=S4</f>
        <v>0</v>
      </c>
      <c r="X777" s="1">
        <f t="shared" si="66"/>
        <v>0</v>
      </c>
      <c r="Y777" s="48">
        <v>0</v>
      </c>
      <c r="AA777" s="1">
        <v>4</v>
      </c>
      <c r="AB777" s="1" t="s">
        <v>13</v>
      </c>
      <c r="AC777" s="1" t="s">
        <v>19</v>
      </c>
      <c r="AD777" s="1">
        <v>25</v>
      </c>
      <c r="AE777" s="1">
        <v>20</v>
      </c>
      <c r="AF777" s="1">
        <v>0.8</v>
      </c>
      <c r="AG777" s="1">
        <v>0.86</v>
      </c>
      <c r="AH777" s="1">
        <v>0</v>
      </c>
      <c r="AI777" s="1">
        <v>0</v>
      </c>
      <c r="AJ777" s="1">
        <f t="shared" ref="AJ777:AJ840" si="67">SUMIFS(AH$8:AH$1039,$O$8:$O$1039,O777,$AB$8:$AB$1039,AB777,$R$8:$R$1039,R777,$AA$8:$AA$1039,"&lt;="&amp;AA777)</f>
        <v>0</v>
      </c>
      <c r="AK777" s="1">
        <f>D70</f>
        <v>0</v>
      </c>
      <c r="AL777" s="1">
        <f>D76</f>
        <v>0</v>
      </c>
      <c r="AM777" s="1">
        <f t="shared" ref="AM777:AM840" si="68">MAX(0,AJ777-AK777)</f>
        <v>0</v>
      </c>
      <c r="AN777" s="1">
        <f t="shared" ref="AN777:AN840" si="69">IF(AM777=0,AH777,IF(AM777&gt;=AH777,0,AH777-AM777))</f>
        <v>0</v>
      </c>
      <c r="AO777" s="1">
        <f t="shared" ref="AO777:AO840" si="70">IF(AM777&gt;=AH777,AI777,AI777*AM777/AH777)</f>
        <v>0</v>
      </c>
      <c r="AP777" t="b" cm="1">
        <f t="array" ref="AP777">INDEX($AU$8:$BB$25,6*(R777-1)+MATCH(AB777,$AS$8:$AS$13,0),MATCH(O777,$AU$7:$BB$7,0))</f>
        <v>1</v>
      </c>
    </row>
    <row r="778" spans="15:42" ht="14.25" x14ac:dyDescent="0.45">
      <c r="O778" s="43" t="s">
        <v>34</v>
      </c>
      <c r="P778" s="43">
        <v>3</v>
      </c>
      <c r="Q778" s="43">
        <v>16</v>
      </c>
      <c r="R778" s="43">
        <v>3</v>
      </c>
      <c r="S778" s="45"/>
      <c r="T778" t="b">
        <f>(S776+S777+S778)=S4</f>
        <v>0</v>
      </c>
      <c r="X778" s="1">
        <f t="shared" si="66"/>
        <v>0</v>
      </c>
      <c r="Y778" s="48">
        <v>0</v>
      </c>
      <c r="AA778" s="1">
        <v>4</v>
      </c>
      <c r="AB778" s="1" t="s">
        <v>13</v>
      </c>
      <c r="AC778" s="1" t="s">
        <v>19</v>
      </c>
      <c r="AD778" s="1">
        <v>25</v>
      </c>
      <c r="AE778" s="1">
        <v>20</v>
      </c>
      <c r="AF778" s="1">
        <v>0.8</v>
      </c>
      <c r="AG778" s="1">
        <v>0.86</v>
      </c>
      <c r="AH778" s="1">
        <v>0</v>
      </c>
      <c r="AI778" s="1">
        <v>0</v>
      </c>
      <c r="AJ778" s="1">
        <f t="shared" si="67"/>
        <v>0</v>
      </c>
      <c r="AK778" s="1">
        <f>E70</f>
        <v>0</v>
      </c>
      <c r="AL778" s="1">
        <f>E76</f>
        <v>0</v>
      </c>
      <c r="AM778" s="1">
        <f t="shared" si="68"/>
        <v>0</v>
      </c>
      <c r="AN778" s="1">
        <f t="shared" si="69"/>
        <v>0</v>
      </c>
      <c r="AO778" s="1">
        <f t="shared" si="70"/>
        <v>0</v>
      </c>
      <c r="AP778" t="b" cm="1">
        <f t="array" ref="AP778">INDEX($AU$8:$BB$25,6*(R778-1)+MATCH(AB778,$AS$8:$AS$13,0),MATCH(O778,$AU$7:$BB$7,0))</f>
        <v>1</v>
      </c>
    </row>
    <row r="779" spans="15:42" ht="14.25" x14ac:dyDescent="0.45">
      <c r="O779" s="43" t="s">
        <v>34</v>
      </c>
      <c r="P779" s="43">
        <v>3</v>
      </c>
      <c r="Q779" s="43">
        <v>17</v>
      </c>
      <c r="R779" s="43">
        <v>1</v>
      </c>
      <c r="S779" s="45"/>
      <c r="T779" t="b">
        <f>(S779+S780+S781)=S4</f>
        <v>0</v>
      </c>
      <c r="X779" s="1">
        <f t="shared" si="66"/>
        <v>0</v>
      </c>
      <c r="Y779" s="48">
        <v>0</v>
      </c>
      <c r="AA779" s="1">
        <v>1</v>
      </c>
      <c r="AB779" s="1" t="s">
        <v>16</v>
      </c>
      <c r="AC779" s="1" t="s">
        <v>22</v>
      </c>
      <c r="AD779" s="1">
        <v>14</v>
      </c>
      <c r="AE779" s="1">
        <v>13</v>
      </c>
      <c r="AF779" s="1">
        <v>0.8</v>
      </c>
      <c r="AG779" s="1">
        <v>0.9</v>
      </c>
      <c r="AH779" s="1">
        <v>0</v>
      </c>
      <c r="AI779" s="1">
        <v>0</v>
      </c>
      <c r="AJ779" s="1">
        <f t="shared" si="67"/>
        <v>0</v>
      </c>
      <c r="AK779" s="1">
        <f>C73</f>
        <v>0</v>
      </c>
      <c r="AL779" s="1">
        <f>C79</f>
        <v>0</v>
      </c>
      <c r="AM779" s="1">
        <f t="shared" si="68"/>
        <v>0</v>
      </c>
      <c r="AN779" s="1">
        <f t="shared" si="69"/>
        <v>0</v>
      </c>
      <c r="AO779" s="1">
        <f t="shared" si="70"/>
        <v>0</v>
      </c>
      <c r="AP779" t="b" cm="1">
        <f t="array" ref="AP779">INDEX($AU$8:$BB$25,6*(R779-1)+MATCH(AB779,$AS$8:$AS$13,0),MATCH(O779,$AU$7:$BB$7,0))</f>
        <v>1</v>
      </c>
    </row>
    <row r="780" spans="15:42" ht="14.25" x14ac:dyDescent="0.45">
      <c r="O780" s="43" t="s">
        <v>34</v>
      </c>
      <c r="P780" s="43">
        <v>3</v>
      </c>
      <c r="Q780" s="43">
        <v>17</v>
      </c>
      <c r="R780" s="43">
        <v>2</v>
      </c>
      <c r="S780" s="45"/>
      <c r="T780" t="b">
        <f>(S779+S780+S781)=S4</f>
        <v>0</v>
      </c>
      <c r="X780" s="1">
        <f t="shared" si="66"/>
        <v>0</v>
      </c>
      <c r="Y780" s="48">
        <v>0</v>
      </c>
      <c r="AA780" s="1">
        <v>1</v>
      </c>
      <c r="AB780" s="1" t="s">
        <v>16</v>
      </c>
      <c r="AC780" s="1" t="s">
        <v>22</v>
      </c>
      <c r="AD780" s="1">
        <v>14</v>
      </c>
      <c r="AE780" s="1">
        <v>13</v>
      </c>
      <c r="AF780" s="1">
        <v>0.8</v>
      </c>
      <c r="AG780" s="1">
        <v>0.9</v>
      </c>
      <c r="AH780" s="1">
        <v>0</v>
      </c>
      <c r="AI780" s="1">
        <v>0</v>
      </c>
      <c r="AJ780" s="1">
        <f t="shared" si="67"/>
        <v>0</v>
      </c>
      <c r="AK780" s="1">
        <f>D73</f>
        <v>0</v>
      </c>
      <c r="AL780" s="1">
        <f>D79</f>
        <v>0</v>
      </c>
      <c r="AM780" s="1">
        <f t="shared" si="68"/>
        <v>0</v>
      </c>
      <c r="AN780" s="1">
        <f t="shared" si="69"/>
        <v>0</v>
      </c>
      <c r="AO780" s="1">
        <f t="shared" si="70"/>
        <v>0</v>
      </c>
      <c r="AP780" t="b" cm="1">
        <f t="array" ref="AP780">INDEX($AU$8:$BB$25,6*(R780-1)+MATCH(AB780,$AS$8:$AS$13,0),MATCH(O780,$AU$7:$BB$7,0))</f>
        <v>1</v>
      </c>
    </row>
    <row r="781" spans="15:42" ht="14.25" x14ac:dyDescent="0.45">
      <c r="O781" s="43" t="s">
        <v>34</v>
      </c>
      <c r="P781" s="43">
        <v>3</v>
      </c>
      <c r="Q781" s="43">
        <v>17</v>
      </c>
      <c r="R781" s="43">
        <v>3</v>
      </c>
      <c r="S781" s="45"/>
      <c r="T781" t="b">
        <f>(S779+S780+S781)=S4</f>
        <v>0</v>
      </c>
      <c r="X781" s="1">
        <f t="shared" si="66"/>
        <v>0</v>
      </c>
      <c r="Y781" s="48">
        <v>0</v>
      </c>
      <c r="AA781" s="1">
        <v>1</v>
      </c>
      <c r="AB781" s="1" t="s">
        <v>16</v>
      </c>
      <c r="AC781" s="1" t="s">
        <v>22</v>
      </c>
      <c r="AD781" s="1">
        <v>14</v>
      </c>
      <c r="AE781" s="1">
        <v>13</v>
      </c>
      <c r="AF781" s="1">
        <v>0.8</v>
      </c>
      <c r="AG781" s="1">
        <v>0.9</v>
      </c>
      <c r="AH781" s="1">
        <v>0</v>
      </c>
      <c r="AI781" s="1">
        <v>0</v>
      </c>
      <c r="AJ781" s="1">
        <f t="shared" si="67"/>
        <v>0</v>
      </c>
      <c r="AK781" s="1">
        <f>E73</f>
        <v>0</v>
      </c>
      <c r="AL781" s="1">
        <f>E79</f>
        <v>0</v>
      </c>
      <c r="AM781" s="1">
        <f t="shared" si="68"/>
        <v>0</v>
      </c>
      <c r="AN781" s="1">
        <f t="shared" si="69"/>
        <v>0</v>
      </c>
      <c r="AO781" s="1">
        <f t="shared" si="70"/>
        <v>0</v>
      </c>
      <c r="AP781" t="b" cm="1">
        <f t="array" ref="AP781">INDEX($AU$8:$BB$25,6*(R781-1)+MATCH(AB781,$AS$8:$AS$13,0),MATCH(O781,$AU$7:$BB$7,0))</f>
        <v>1</v>
      </c>
    </row>
    <row r="782" spans="15:42" ht="14.25" x14ac:dyDescent="0.45">
      <c r="O782" s="43" t="s">
        <v>35</v>
      </c>
      <c r="P782" s="43">
        <v>1</v>
      </c>
      <c r="Q782" s="43">
        <v>1</v>
      </c>
      <c r="R782" s="43">
        <v>1</v>
      </c>
      <c r="S782" s="45"/>
      <c r="T782" t="b">
        <f>(S782+S783+S784)=T2</f>
        <v>0</v>
      </c>
      <c r="X782" s="1">
        <v>0</v>
      </c>
      <c r="Y782" s="48">
        <v>0</v>
      </c>
      <c r="AA782" s="1">
        <v>4</v>
      </c>
      <c r="AB782" s="1" t="s">
        <v>14</v>
      </c>
      <c r="AC782" s="1" t="s">
        <v>20</v>
      </c>
      <c r="AD782" s="1">
        <v>14</v>
      </c>
      <c r="AE782" s="1">
        <v>12</v>
      </c>
      <c r="AF782" s="1">
        <v>0.8</v>
      </c>
      <c r="AG782" s="1">
        <v>0.88</v>
      </c>
      <c r="AH782" s="1">
        <v>0</v>
      </c>
      <c r="AI782" s="1">
        <v>0</v>
      </c>
      <c r="AJ782" s="1">
        <f t="shared" si="67"/>
        <v>0</v>
      </c>
      <c r="AK782" s="1">
        <f>C83</f>
        <v>0</v>
      </c>
      <c r="AL782" s="1">
        <f>C89</f>
        <v>0</v>
      </c>
      <c r="AM782" s="1">
        <f t="shared" si="68"/>
        <v>0</v>
      </c>
      <c r="AN782" s="1">
        <f t="shared" si="69"/>
        <v>0</v>
      </c>
      <c r="AO782" s="1">
        <f t="shared" si="70"/>
        <v>0</v>
      </c>
      <c r="AP782" t="b" cm="1">
        <f t="array" ref="AP782">INDEX($AU$8:$BB$25,6*(R782-1)+MATCH(AB782,$AS$8:$AS$13,0),MATCH(O782,$AU$7:$BB$7,0))</f>
        <v>1</v>
      </c>
    </row>
    <row r="783" spans="15:42" ht="14.25" x14ac:dyDescent="0.45">
      <c r="O783" s="43" t="s">
        <v>35</v>
      </c>
      <c r="P783" s="43">
        <v>1</v>
      </c>
      <c r="Q783" s="43">
        <v>1</v>
      </c>
      <c r="R783" s="43">
        <v>2</v>
      </c>
      <c r="S783" s="45"/>
      <c r="T783" t="b">
        <f>(S782+S783+S784)=T2</f>
        <v>0</v>
      </c>
      <c r="X783" s="1">
        <v>0</v>
      </c>
      <c r="Y783" s="48">
        <v>0</v>
      </c>
      <c r="AA783" s="1">
        <v>4</v>
      </c>
      <c r="AB783" s="1" t="s">
        <v>14</v>
      </c>
      <c r="AC783" s="1" t="s">
        <v>20</v>
      </c>
      <c r="AD783" s="1">
        <v>14</v>
      </c>
      <c r="AE783" s="1">
        <v>12</v>
      </c>
      <c r="AF783" s="1">
        <v>0.8</v>
      </c>
      <c r="AG783" s="1">
        <v>0.88</v>
      </c>
      <c r="AH783" s="1">
        <v>0</v>
      </c>
      <c r="AI783" s="1">
        <v>0</v>
      </c>
      <c r="AJ783" s="1">
        <f t="shared" si="67"/>
        <v>0</v>
      </c>
      <c r="AK783" s="1">
        <f>D83</f>
        <v>0</v>
      </c>
      <c r="AL783" s="1">
        <f>D89</f>
        <v>0</v>
      </c>
      <c r="AM783" s="1">
        <f t="shared" si="68"/>
        <v>0</v>
      </c>
      <c r="AN783" s="1">
        <f t="shared" si="69"/>
        <v>0</v>
      </c>
      <c r="AO783" s="1">
        <f t="shared" si="70"/>
        <v>0</v>
      </c>
      <c r="AP783" t="b" cm="1">
        <f t="array" ref="AP783">INDEX($AU$8:$BB$25,6*(R783-1)+MATCH(AB783,$AS$8:$AS$13,0),MATCH(O783,$AU$7:$BB$7,0))</f>
        <v>1</v>
      </c>
    </row>
    <row r="784" spans="15:42" ht="14.25" x14ac:dyDescent="0.45">
      <c r="O784" s="43" t="s">
        <v>35</v>
      </c>
      <c r="P784" s="43">
        <v>1</v>
      </c>
      <c r="Q784" s="43">
        <v>1</v>
      </c>
      <c r="R784" s="43">
        <v>3</v>
      </c>
      <c r="S784" s="45"/>
      <c r="T784" t="b">
        <f>(S782+S783+S784)=T2</f>
        <v>0</v>
      </c>
      <c r="X784" s="1">
        <v>0</v>
      </c>
      <c r="Y784" s="48">
        <v>0</v>
      </c>
      <c r="AA784" s="1">
        <v>4</v>
      </c>
      <c r="AB784" s="1" t="s">
        <v>14</v>
      </c>
      <c r="AC784" s="1" t="s">
        <v>20</v>
      </c>
      <c r="AD784" s="1">
        <v>14</v>
      </c>
      <c r="AE784" s="1">
        <v>12</v>
      </c>
      <c r="AF784" s="1">
        <v>0.8</v>
      </c>
      <c r="AG784" s="1">
        <v>0.88</v>
      </c>
      <c r="AH784" s="1">
        <v>0</v>
      </c>
      <c r="AI784" s="1">
        <v>0</v>
      </c>
      <c r="AJ784" s="1">
        <f t="shared" si="67"/>
        <v>0</v>
      </c>
      <c r="AK784" s="1">
        <f>E83</f>
        <v>0</v>
      </c>
      <c r="AL784" s="1">
        <f>E89</f>
        <v>0</v>
      </c>
      <c r="AM784" s="1">
        <f t="shared" si="68"/>
        <v>0</v>
      </c>
      <c r="AN784" s="1">
        <f t="shared" si="69"/>
        <v>0</v>
      </c>
      <c r="AO784" s="1">
        <f t="shared" si="70"/>
        <v>0</v>
      </c>
      <c r="AP784" t="b" cm="1">
        <f t="array" ref="AP784">INDEX($AU$8:$BB$25,6*(R784-1)+MATCH(AB784,$AS$8:$AS$13,0),MATCH(O784,$AU$7:$BB$7,0))</f>
        <v>1</v>
      </c>
    </row>
    <row r="785" spans="15:42" ht="14.25" x14ac:dyDescent="0.45">
      <c r="O785" s="43" t="s">
        <v>35</v>
      </c>
      <c r="P785" s="43">
        <v>1</v>
      </c>
      <c r="Q785" s="43">
        <v>2</v>
      </c>
      <c r="R785" s="43">
        <v>1</v>
      </c>
      <c r="S785" s="45"/>
      <c r="T785" t="b">
        <f>(S785+S786+S787)=T2</f>
        <v>0</v>
      </c>
      <c r="X785" s="1">
        <f>MAX(S782-S785,0)</f>
        <v>0</v>
      </c>
      <c r="Y785" s="48">
        <v>0</v>
      </c>
      <c r="AA785" s="1">
        <v>10</v>
      </c>
      <c r="AB785" s="1" t="s">
        <v>16</v>
      </c>
      <c r="AC785" s="1" t="s">
        <v>22</v>
      </c>
      <c r="AD785" s="1">
        <v>25</v>
      </c>
      <c r="AE785" s="1">
        <v>21</v>
      </c>
      <c r="AF785" s="1">
        <v>0.8</v>
      </c>
      <c r="AG785" s="1">
        <v>0.9</v>
      </c>
      <c r="AH785" s="1">
        <v>0</v>
      </c>
      <c r="AI785" s="1">
        <v>0</v>
      </c>
      <c r="AJ785" s="1">
        <f t="shared" si="67"/>
        <v>0</v>
      </c>
      <c r="AK785" s="1">
        <f>C85</f>
        <v>0</v>
      </c>
      <c r="AL785" s="1">
        <f>C91</f>
        <v>0</v>
      </c>
      <c r="AM785" s="1">
        <f t="shared" si="68"/>
        <v>0</v>
      </c>
      <c r="AN785" s="1">
        <f t="shared" si="69"/>
        <v>0</v>
      </c>
      <c r="AO785" s="1">
        <f t="shared" si="70"/>
        <v>0</v>
      </c>
      <c r="AP785" t="b" cm="1">
        <f t="array" ref="AP785">INDEX($AU$8:$BB$25,6*(R785-1)+MATCH(AB785,$AS$8:$AS$13,0),MATCH(O785,$AU$7:$BB$7,0))</f>
        <v>1</v>
      </c>
    </row>
    <row r="786" spans="15:42" ht="14.25" x14ac:dyDescent="0.45">
      <c r="O786" s="43" t="s">
        <v>35</v>
      </c>
      <c r="P786" s="43">
        <v>1</v>
      </c>
      <c r="Q786" s="43">
        <v>2</v>
      </c>
      <c r="R786" s="43">
        <v>2</v>
      </c>
      <c r="S786" s="45"/>
      <c r="T786" t="b">
        <f>(S785+S786+S787)=T2</f>
        <v>0</v>
      </c>
      <c r="X786" s="1">
        <f t="shared" ref="X786:X814" si="71">MAX(S783-S786,0)</f>
        <v>0</v>
      </c>
      <c r="Y786" s="48">
        <v>0</v>
      </c>
      <c r="AA786" s="1">
        <v>10</v>
      </c>
      <c r="AB786" s="1" t="s">
        <v>16</v>
      </c>
      <c r="AC786" s="1" t="s">
        <v>22</v>
      </c>
      <c r="AD786" s="1">
        <v>25</v>
      </c>
      <c r="AE786" s="1">
        <v>21</v>
      </c>
      <c r="AF786" s="1">
        <v>0.8</v>
      </c>
      <c r="AG786" s="1">
        <v>0.9</v>
      </c>
      <c r="AH786" s="1">
        <v>0</v>
      </c>
      <c r="AI786" s="1">
        <v>0</v>
      </c>
      <c r="AJ786" s="1">
        <f t="shared" si="67"/>
        <v>0</v>
      </c>
      <c r="AK786" s="1">
        <f>D85</f>
        <v>0</v>
      </c>
      <c r="AL786" s="1">
        <f>D91</f>
        <v>0</v>
      </c>
      <c r="AM786" s="1">
        <f t="shared" si="68"/>
        <v>0</v>
      </c>
      <c r="AN786" s="1">
        <f t="shared" si="69"/>
        <v>0</v>
      </c>
      <c r="AO786" s="1">
        <f t="shared" si="70"/>
        <v>0</v>
      </c>
      <c r="AP786" t="b" cm="1">
        <f t="array" ref="AP786">INDEX($AU$8:$BB$25,6*(R786-1)+MATCH(AB786,$AS$8:$AS$13,0),MATCH(O786,$AU$7:$BB$7,0))</f>
        <v>1</v>
      </c>
    </row>
    <row r="787" spans="15:42" ht="14.25" x14ac:dyDescent="0.45">
      <c r="O787" s="43" t="s">
        <v>35</v>
      </c>
      <c r="P787" s="43">
        <v>1</v>
      </c>
      <c r="Q787" s="43">
        <v>2</v>
      </c>
      <c r="R787" s="43">
        <v>3</v>
      </c>
      <c r="S787" s="45"/>
      <c r="T787" t="b">
        <f>(S785+S786+S787)=T2</f>
        <v>0</v>
      </c>
      <c r="X787" s="1">
        <f t="shared" si="71"/>
        <v>0</v>
      </c>
      <c r="Y787" s="48">
        <v>0</v>
      </c>
      <c r="AA787" s="1">
        <v>10</v>
      </c>
      <c r="AB787" s="1" t="s">
        <v>16</v>
      </c>
      <c r="AC787" s="1" t="s">
        <v>22</v>
      </c>
      <c r="AD787" s="1">
        <v>25</v>
      </c>
      <c r="AE787" s="1">
        <v>21</v>
      </c>
      <c r="AF787" s="1">
        <v>0.8</v>
      </c>
      <c r="AG787" s="1">
        <v>0.9</v>
      </c>
      <c r="AH787" s="1">
        <v>0</v>
      </c>
      <c r="AI787" s="1">
        <v>0</v>
      </c>
      <c r="AJ787" s="1">
        <f t="shared" si="67"/>
        <v>0</v>
      </c>
      <c r="AK787" s="1">
        <f>E85</f>
        <v>0</v>
      </c>
      <c r="AL787" s="1">
        <f>E91</f>
        <v>0</v>
      </c>
      <c r="AM787" s="1">
        <f t="shared" si="68"/>
        <v>0</v>
      </c>
      <c r="AN787" s="1">
        <f t="shared" si="69"/>
        <v>0</v>
      </c>
      <c r="AO787" s="1">
        <f t="shared" si="70"/>
        <v>0</v>
      </c>
      <c r="AP787" t="b" cm="1">
        <f t="array" ref="AP787">INDEX($AU$8:$BB$25,6*(R787-1)+MATCH(AB787,$AS$8:$AS$13,0),MATCH(O787,$AU$7:$BB$7,0))</f>
        <v>1</v>
      </c>
    </row>
    <row r="788" spans="15:42" ht="14.25" x14ac:dyDescent="0.45">
      <c r="O788" s="43" t="s">
        <v>35</v>
      </c>
      <c r="P788" s="43">
        <v>1</v>
      </c>
      <c r="Q788" s="43">
        <v>3</v>
      </c>
      <c r="R788" s="43">
        <v>1</v>
      </c>
      <c r="S788" s="45"/>
      <c r="T788" t="b">
        <f>(S788+S789+S790)=T2</f>
        <v>0</v>
      </c>
      <c r="X788" s="1">
        <f t="shared" si="71"/>
        <v>0</v>
      </c>
      <c r="Y788" s="48">
        <v>0</v>
      </c>
      <c r="AA788" s="1">
        <v>8</v>
      </c>
      <c r="AB788" s="1" t="s">
        <v>16</v>
      </c>
      <c r="AC788" s="1" t="s">
        <v>22</v>
      </c>
      <c r="AD788" s="1">
        <v>27</v>
      </c>
      <c r="AE788" s="1">
        <v>23</v>
      </c>
      <c r="AF788" s="1">
        <v>0.8</v>
      </c>
      <c r="AG788" s="1">
        <v>0.9</v>
      </c>
      <c r="AH788" s="1">
        <v>0</v>
      </c>
      <c r="AI788" s="1">
        <v>0</v>
      </c>
      <c r="AJ788" s="1">
        <f t="shared" si="67"/>
        <v>0</v>
      </c>
      <c r="AK788" s="1">
        <f>C85</f>
        <v>0</v>
      </c>
      <c r="AL788" s="1">
        <f>C91</f>
        <v>0</v>
      </c>
      <c r="AM788" s="1">
        <f t="shared" si="68"/>
        <v>0</v>
      </c>
      <c r="AN788" s="1">
        <f t="shared" si="69"/>
        <v>0</v>
      </c>
      <c r="AO788" s="1">
        <f t="shared" si="70"/>
        <v>0</v>
      </c>
      <c r="AP788" t="b" cm="1">
        <f t="array" ref="AP788">INDEX($AU$8:$BB$25,6*(R788-1)+MATCH(AB788,$AS$8:$AS$13,0),MATCH(O788,$AU$7:$BB$7,0))</f>
        <v>1</v>
      </c>
    </row>
    <row r="789" spans="15:42" ht="14.25" x14ac:dyDescent="0.45">
      <c r="O789" s="43" t="s">
        <v>35</v>
      </c>
      <c r="P789" s="43">
        <v>1</v>
      </c>
      <c r="Q789" s="43">
        <v>3</v>
      </c>
      <c r="R789" s="43">
        <v>2</v>
      </c>
      <c r="S789" s="45"/>
      <c r="T789" t="b">
        <f>(S788+S789+S790)=T2</f>
        <v>0</v>
      </c>
      <c r="X789" s="1">
        <f t="shared" si="71"/>
        <v>0</v>
      </c>
      <c r="Y789" s="48">
        <v>0</v>
      </c>
      <c r="AA789" s="1">
        <v>8</v>
      </c>
      <c r="AB789" s="1" t="s">
        <v>16</v>
      </c>
      <c r="AC789" s="1" t="s">
        <v>22</v>
      </c>
      <c r="AD789" s="1">
        <v>27</v>
      </c>
      <c r="AE789" s="1">
        <v>23</v>
      </c>
      <c r="AF789" s="1">
        <v>0.8</v>
      </c>
      <c r="AG789" s="1">
        <v>0.9</v>
      </c>
      <c r="AH789" s="1">
        <v>0</v>
      </c>
      <c r="AI789" s="1">
        <v>0</v>
      </c>
      <c r="AJ789" s="1">
        <f t="shared" si="67"/>
        <v>0</v>
      </c>
      <c r="AK789" s="1">
        <f>D85</f>
        <v>0</v>
      </c>
      <c r="AL789" s="1">
        <f>D91</f>
        <v>0</v>
      </c>
      <c r="AM789" s="1">
        <f t="shared" si="68"/>
        <v>0</v>
      </c>
      <c r="AN789" s="1">
        <f t="shared" si="69"/>
        <v>0</v>
      </c>
      <c r="AO789" s="1">
        <f t="shared" si="70"/>
        <v>0</v>
      </c>
      <c r="AP789" t="b" cm="1">
        <f t="array" ref="AP789">INDEX($AU$8:$BB$25,6*(R789-1)+MATCH(AB789,$AS$8:$AS$13,0),MATCH(O789,$AU$7:$BB$7,0))</f>
        <v>1</v>
      </c>
    </row>
    <row r="790" spans="15:42" ht="14.25" x14ac:dyDescent="0.45">
      <c r="O790" s="43" t="s">
        <v>35</v>
      </c>
      <c r="P790" s="43">
        <v>1</v>
      </c>
      <c r="Q790" s="43">
        <v>3</v>
      </c>
      <c r="R790" s="43">
        <v>3</v>
      </c>
      <c r="S790" s="45"/>
      <c r="T790" t="b">
        <f>(S788+S789+S790)=T2</f>
        <v>0</v>
      </c>
      <c r="X790" s="1">
        <f t="shared" si="71"/>
        <v>0</v>
      </c>
      <c r="Y790" s="48">
        <v>0</v>
      </c>
      <c r="AA790" s="1">
        <v>8</v>
      </c>
      <c r="AB790" s="1" t="s">
        <v>16</v>
      </c>
      <c r="AC790" s="1" t="s">
        <v>22</v>
      </c>
      <c r="AD790" s="1">
        <v>27</v>
      </c>
      <c r="AE790" s="1">
        <v>23</v>
      </c>
      <c r="AF790" s="1">
        <v>0.8</v>
      </c>
      <c r="AG790" s="1">
        <v>0.9</v>
      </c>
      <c r="AH790" s="1">
        <v>0</v>
      </c>
      <c r="AI790" s="1">
        <v>0</v>
      </c>
      <c r="AJ790" s="1">
        <f t="shared" si="67"/>
        <v>0</v>
      </c>
      <c r="AK790" s="1">
        <f>E85</f>
        <v>0</v>
      </c>
      <c r="AL790" s="1">
        <f>E91</f>
        <v>0</v>
      </c>
      <c r="AM790" s="1">
        <f t="shared" si="68"/>
        <v>0</v>
      </c>
      <c r="AN790" s="1">
        <f t="shared" si="69"/>
        <v>0</v>
      </c>
      <c r="AO790" s="1">
        <f t="shared" si="70"/>
        <v>0</v>
      </c>
      <c r="AP790" t="b" cm="1">
        <f t="array" ref="AP790">INDEX($AU$8:$BB$25,6*(R790-1)+MATCH(AB790,$AS$8:$AS$13,0),MATCH(O790,$AU$7:$BB$7,0))</f>
        <v>1</v>
      </c>
    </row>
    <row r="791" spans="15:42" ht="14.25" x14ac:dyDescent="0.45">
      <c r="O791" s="43" t="s">
        <v>35</v>
      </c>
      <c r="P791" s="43">
        <v>1</v>
      </c>
      <c r="Q791" s="43">
        <v>4</v>
      </c>
      <c r="R791" s="43">
        <v>1</v>
      </c>
      <c r="S791" s="45"/>
      <c r="T791" t="b">
        <f>(S791+S792+S793)=T2</f>
        <v>0</v>
      </c>
      <c r="X791" s="1">
        <f t="shared" si="71"/>
        <v>0</v>
      </c>
      <c r="Y791" s="48">
        <v>0</v>
      </c>
      <c r="AA791" s="1">
        <v>3</v>
      </c>
      <c r="AB791" s="1" t="s">
        <v>10</v>
      </c>
      <c r="AC791" s="1" t="s">
        <v>17</v>
      </c>
      <c r="AD791" s="1">
        <v>20</v>
      </c>
      <c r="AE791" s="1">
        <v>16</v>
      </c>
      <c r="AF791" s="1">
        <v>0.78</v>
      </c>
      <c r="AG791" s="1">
        <v>0.84</v>
      </c>
      <c r="AH791" s="1">
        <v>0</v>
      </c>
      <c r="AI791" s="1">
        <v>0</v>
      </c>
      <c r="AJ791" s="1">
        <f t="shared" si="67"/>
        <v>0</v>
      </c>
      <c r="AK791" s="1">
        <f>C80</f>
        <v>0</v>
      </c>
      <c r="AL791" s="1">
        <f>C86</f>
        <v>0</v>
      </c>
      <c r="AM791" s="1">
        <f t="shared" si="68"/>
        <v>0</v>
      </c>
      <c r="AN791" s="1">
        <f t="shared" si="69"/>
        <v>0</v>
      </c>
      <c r="AO791" s="1">
        <f t="shared" si="70"/>
        <v>0</v>
      </c>
      <c r="AP791" t="b" cm="1">
        <f t="array" ref="AP791">INDEX($AU$8:$BB$25,6*(R791-1)+MATCH(AB791,$AS$8:$AS$13,0),MATCH(O791,$AU$7:$BB$7,0))</f>
        <v>1</v>
      </c>
    </row>
    <row r="792" spans="15:42" ht="14.25" x14ac:dyDescent="0.45">
      <c r="O792" s="43" t="s">
        <v>35</v>
      </c>
      <c r="P792" s="43">
        <v>1</v>
      </c>
      <c r="Q792" s="43">
        <v>4</v>
      </c>
      <c r="R792" s="43">
        <v>2</v>
      </c>
      <c r="S792" s="45"/>
      <c r="T792" t="b">
        <f>(S791+S792+S793)=T2</f>
        <v>0</v>
      </c>
      <c r="X792" s="1">
        <f t="shared" si="71"/>
        <v>0</v>
      </c>
      <c r="Y792" s="48">
        <v>0</v>
      </c>
      <c r="AA792" s="1">
        <v>3</v>
      </c>
      <c r="AB792" s="1" t="s">
        <v>10</v>
      </c>
      <c r="AC792" s="1" t="s">
        <v>17</v>
      </c>
      <c r="AD792" s="1">
        <v>20</v>
      </c>
      <c r="AE792" s="1">
        <v>16</v>
      </c>
      <c r="AF792" s="1">
        <v>0.78</v>
      </c>
      <c r="AG792" s="1">
        <v>0.84</v>
      </c>
      <c r="AH792" s="1">
        <v>0</v>
      </c>
      <c r="AI792" s="1">
        <v>0</v>
      </c>
      <c r="AJ792" s="1">
        <f t="shared" si="67"/>
        <v>0</v>
      </c>
      <c r="AK792" s="1">
        <f>D80</f>
        <v>0</v>
      </c>
      <c r="AL792" s="1">
        <f>D86</f>
        <v>0</v>
      </c>
      <c r="AM792" s="1">
        <f t="shared" si="68"/>
        <v>0</v>
      </c>
      <c r="AN792" s="1">
        <f t="shared" si="69"/>
        <v>0</v>
      </c>
      <c r="AO792" s="1">
        <f t="shared" si="70"/>
        <v>0</v>
      </c>
      <c r="AP792" t="b" cm="1">
        <f t="array" ref="AP792">INDEX($AU$8:$BB$25,6*(R792-1)+MATCH(AB792,$AS$8:$AS$13,0),MATCH(O792,$AU$7:$BB$7,0))</f>
        <v>1</v>
      </c>
    </row>
    <row r="793" spans="15:42" ht="14.25" x14ac:dyDescent="0.45">
      <c r="O793" s="43" t="s">
        <v>35</v>
      </c>
      <c r="P793" s="43">
        <v>1</v>
      </c>
      <c r="Q793" s="43">
        <v>4</v>
      </c>
      <c r="R793" s="43">
        <v>3</v>
      </c>
      <c r="S793" s="45"/>
      <c r="T793" t="b">
        <f>(S791+S792+S793)=T2</f>
        <v>0</v>
      </c>
      <c r="X793" s="1">
        <f t="shared" si="71"/>
        <v>0</v>
      </c>
      <c r="Y793" s="48">
        <v>0</v>
      </c>
      <c r="AA793" s="1">
        <v>3</v>
      </c>
      <c r="AB793" s="1" t="s">
        <v>10</v>
      </c>
      <c r="AC793" s="1" t="s">
        <v>17</v>
      </c>
      <c r="AD793" s="1">
        <v>20</v>
      </c>
      <c r="AE793" s="1">
        <v>16</v>
      </c>
      <c r="AF793" s="1">
        <v>0.78</v>
      </c>
      <c r="AG793" s="1">
        <v>0.84</v>
      </c>
      <c r="AH793" s="1">
        <v>0</v>
      </c>
      <c r="AI793" s="1">
        <v>0</v>
      </c>
      <c r="AJ793" s="1">
        <f t="shared" si="67"/>
        <v>0</v>
      </c>
      <c r="AK793" s="1">
        <f>E80</f>
        <v>0</v>
      </c>
      <c r="AL793" s="1">
        <f>E86</f>
        <v>0</v>
      </c>
      <c r="AM793" s="1">
        <f t="shared" si="68"/>
        <v>0</v>
      </c>
      <c r="AN793" s="1">
        <f t="shared" si="69"/>
        <v>0</v>
      </c>
      <c r="AO793" s="1">
        <f t="shared" si="70"/>
        <v>0</v>
      </c>
      <c r="AP793" t="b" cm="1">
        <f t="array" ref="AP793">INDEX($AU$8:$BB$25,6*(R793-1)+MATCH(AB793,$AS$8:$AS$13,0),MATCH(O793,$AU$7:$BB$7,0))</f>
        <v>1</v>
      </c>
    </row>
    <row r="794" spans="15:42" ht="14.25" x14ac:dyDescent="0.45">
      <c r="O794" s="43" t="s">
        <v>35</v>
      </c>
      <c r="P794" s="43">
        <v>1</v>
      </c>
      <c r="Q794" s="43">
        <v>5</v>
      </c>
      <c r="R794" s="43">
        <v>1</v>
      </c>
      <c r="S794" s="45"/>
      <c r="T794" t="b">
        <f>(S794+S795+S796)=T2</f>
        <v>0</v>
      </c>
      <c r="X794" s="1">
        <f t="shared" si="71"/>
        <v>0</v>
      </c>
      <c r="Y794" s="48">
        <v>0</v>
      </c>
      <c r="AA794" s="1">
        <v>11</v>
      </c>
      <c r="AB794" s="1" t="s">
        <v>16</v>
      </c>
      <c r="AC794" s="1" t="s">
        <v>22</v>
      </c>
      <c r="AD794" s="1">
        <v>12</v>
      </c>
      <c r="AE794" s="1">
        <v>9</v>
      </c>
      <c r="AF794" s="1">
        <v>0.8</v>
      </c>
      <c r="AG794" s="1">
        <v>0.9</v>
      </c>
      <c r="AH794" s="1">
        <v>0</v>
      </c>
      <c r="AI794" s="1">
        <v>0</v>
      </c>
      <c r="AJ794" s="1">
        <f t="shared" si="67"/>
        <v>0</v>
      </c>
      <c r="AK794" s="1">
        <f>C85</f>
        <v>0</v>
      </c>
      <c r="AL794" s="1">
        <f>C91</f>
        <v>0</v>
      </c>
      <c r="AM794" s="1">
        <f t="shared" si="68"/>
        <v>0</v>
      </c>
      <c r="AN794" s="1">
        <f t="shared" si="69"/>
        <v>0</v>
      </c>
      <c r="AO794" s="1">
        <f t="shared" si="70"/>
        <v>0</v>
      </c>
      <c r="AP794" t="b" cm="1">
        <f t="array" ref="AP794">INDEX($AU$8:$BB$25,6*(R794-1)+MATCH(AB794,$AS$8:$AS$13,0),MATCH(O794,$AU$7:$BB$7,0))</f>
        <v>1</v>
      </c>
    </row>
    <row r="795" spans="15:42" ht="14.25" x14ac:dyDescent="0.45">
      <c r="O795" s="43" t="s">
        <v>35</v>
      </c>
      <c r="P795" s="43">
        <v>1</v>
      </c>
      <c r="Q795" s="43">
        <v>5</v>
      </c>
      <c r="R795" s="43">
        <v>2</v>
      </c>
      <c r="S795" s="45"/>
      <c r="T795" t="b">
        <f>(S794+S795+S796)=T2</f>
        <v>0</v>
      </c>
      <c r="X795" s="1">
        <f t="shared" si="71"/>
        <v>0</v>
      </c>
      <c r="Y795" s="48">
        <v>0</v>
      </c>
      <c r="AA795" s="1">
        <v>11</v>
      </c>
      <c r="AB795" s="1" t="s">
        <v>16</v>
      </c>
      <c r="AC795" s="1" t="s">
        <v>22</v>
      </c>
      <c r="AD795" s="1">
        <v>12</v>
      </c>
      <c r="AE795" s="1">
        <v>9</v>
      </c>
      <c r="AF795" s="1">
        <v>0.8</v>
      </c>
      <c r="AG795" s="1">
        <v>0.9</v>
      </c>
      <c r="AH795" s="1">
        <v>0</v>
      </c>
      <c r="AI795" s="1">
        <v>0</v>
      </c>
      <c r="AJ795" s="1">
        <f t="shared" si="67"/>
        <v>0</v>
      </c>
      <c r="AK795" s="1">
        <f>D85</f>
        <v>0</v>
      </c>
      <c r="AL795" s="1">
        <f>D91</f>
        <v>0</v>
      </c>
      <c r="AM795" s="1">
        <f t="shared" si="68"/>
        <v>0</v>
      </c>
      <c r="AN795" s="1">
        <f t="shared" si="69"/>
        <v>0</v>
      </c>
      <c r="AO795" s="1">
        <f t="shared" si="70"/>
        <v>0</v>
      </c>
      <c r="AP795" t="b" cm="1">
        <f t="array" ref="AP795">INDEX($AU$8:$BB$25,6*(R795-1)+MATCH(AB795,$AS$8:$AS$13,0),MATCH(O795,$AU$7:$BB$7,0))</f>
        <v>1</v>
      </c>
    </row>
    <row r="796" spans="15:42" ht="14.25" x14ac:dyDescent="0.45">
      <c r="O796" s="43" t="s">
        <v>35</v>
      </c>
      <c r="P796" s="43">
        <v>1</v>
      </c>
      <c r="Q796" s="43">
        <v>5</v>
      </c>
      <c r="R796" s="43">
        <v>3</v>
      </c>
      <c r="S796" s="45"/>
      <c r="T796" t="b">
        <f>(S794+S795+S796)=T2</f>
        <v>0</v>
      </c>
      <c r="X796" s="1">
        <f t="shared" si="71"/>
        <v>0</v>
      </c>
      <c r="Y796" s="48">
        <v>0</v>
      </c>
      <c r="AA796" s="1">
        <v>11</v>
      </c>
      <c r="AB796" s="1" t="s">
        <v>16</v>
      </c>
      <c r="AC796" s="1" t="s">
        <v>22</v>
      </c>
      <c r="AD796" s="1">
        <v>12</v>
      </c>
      <c r="AE796" s="1">
        <v>9</v>
      </c>
      <c r="AF796" s="1">
        <v>0.8</v>
      </c>
      <c r="AG796" s="1">
        <v>0.9</v>
      </c>
      <c r="AH796" s="1">
        <v>0</v>
      </c>
      <c r="AI796" s="1">
        <v>0</v>
      </c>
      <c r="AJ796" s="1">
        <f t="shared" si="67"/>
        <v>0</v>
      </c>
      <c r="AK796" s="1">
        <f>E85</f>
        <v>0</v>
      </c>
      <c r="AL796" s="1">
        <f>E91</f>
        <v>0</v>
      </c>
      <c r="AM796" s="1">
        <f t="shared" si="68"/>
        <v>0</v>
      </c>
      <c r="AN796" s="1">
        <f t="shared" si="69"/>
        <v>0</v>
      </c>
      <c r="AO796" s="1">
        <f t="shared" si="70"/>
        <v>0</v>
      </c>
      <c r="AP796" t="b" cm="1">
        <f t="array" ref="AP796">INDEX($AU$8:$BB$25,6*(R796-1)+MATCH(AB796,$AS$8:$AS$13,0),MATCH(O796,$AU$7:$BB$7,0))</f>
        <v>1</v>
      </c>
    </row>
    <row r="797" spans="15:42" ht="14.25" x14ac:dyDescent="0.45">
      <c r="O797" s="43" t="s">
        <v>35</v>
      </c>
      <c r="P797" s="43">
        <v>1</v>
      </c>
      <c r="Q797" s="43">
        <v>6</v>
      </c>
      <c r="R797" s="43">
        <v>1</v>
      </c>
      <c r="S797" s="45"/>
      <c r="T797" t="b">
        <f>(S797+S798+S799)=T2</f>
        <v>0</v>
      </c>
      <c r="X797" s="1">
        <f t="shared" si="71"/>
        <v>0</v>
      </c>
      <c r="Y797" s="48">
        <v>0</v>
      </c>
      <c r="AA797" s="1">
        <v>7</v>
      </c>
      <c r="AB797" s="1" t="s">
        <v>14</v>
      </c>
      <c r="AC797" s="1" t="s">
        <v>20</v>
      </c>
      <c r="AD797" s="1">
        <v>27</v>
      </c>
      <c r="AE797" s="1">
        <v>21</v>
      </c>
      <c r="AF797" s="1">
        <v>0.8</v>
      </c>
      <c r="AG797" s="1">
        <v>0.88</v>
      </c>
      <c r="AH797" s="1">
        <v>0</v>
      </c>
      <c r="AI797" s="1">
        <v>0</v>
      </c>
      <c r="AJ797" s="1">
        <f t="shared" si="67"/>
        <v>0</v>
      </c>
      <c r="AK797" s="1">
        <f>C83</f>
        <v>0</v>
      </c>
      <c r="AL797" s="1">
        <f>C89</f>
        <v>0</v>
      </c>
      <c r="AM797" s="1">
        <f t="shared" si="68"/>
        <v>0</v>
      </c>
      <c r="AN797" s="1">
        <f t="shared" si="69"/>
        <v>0</v>
      </c>
      <c r="AO797" s="1">
        <f t="shared" si="70"/>
        <v>0</v>
      </c>
      <c r="AP797" t="b" cm="1">
        <f t="array" ref="AP797">INDEX($AU$8:$BB$25,6*(R797-1)+MATCH(AB797,$AS$8:$AS$13,0),MATCH(O797,$AU$7:$BB$7,0))</f>
        <v>1</v>
      </c>
    </row>
    <row r="798" spans="15:42" ht="14.25" x14ac:dyDescent="0.45">
      <c r="O798" s="43" t="s">
        <v>35</v>
      </c>
      <c r="P798" s="43">
        <v>1</v>
      </c>
      <c r="Q798" s="43">
        <v>6</v>
      </c>
      <c r="R798" s="43">
        <v>2</v>
      </c>
      <c r="S798" s="45"/>
      <c r="T798" t="b">
        <f>(S797+S798+S799)=T2</f>
        <v>0</v>
      </c>
      <c r="X798" s="1">
        <f t="shared" si="71"/>
        <v>0</v>
      </c>
      <c r="Y798" s="48">
        <v>0</v>
      </c>
      <c r="AA798" s="1">
        <v>7</v>
      </c>
      <c r="AB798" s="1" t="s">
        <v>14</v>
      </c>
      <c r="AC798" s="1" t="s">
        <v>20</v>
      </c>
      <c r="AD798" s="1">
        <v>27</v>
      </c>
      <c r="AE798" s="1">
        <v>21</v>
      </c>
      <c r="AF798" s="1">
        <v>0.8</v>
      </c>
      <c r="AG798" s="1">
        <v>0.88</v>
      </c>
      <c r="AH798" s="1">
        <v>0</v>
      </c>
      <c r="AI798" s="1">
        <v>0</v>
      </c>
      <c r="AJ798" s="1">
        <f t="shared" si="67"/>
        <v>0</v>
      </c>
      <c r="AK798" s="1">
        <f>D83</f>
        <v>0</v>
      </c>
      <c r="AL798" s="1">
        <f>D89</f>
        <v>0</v>
      </c>
      <c r="AM798" s="1">
        <f t="shared" si="68"/>
        <v>0</v>
      </c>
      <c r="AN798" s="1">
        <f t="shared" si="69"/>
        <v>0</v>
      </c>
      <c r="AO798" s="1">
        <f t="shared" si="70"/>
        <v>0</v>
      </c>
      <c r="AP798" t="b" cm="1">
        <f t="array" ref="AP798">INDEX($AU$8:$BB$25,6*(R798-1)+MATCH(AB798,$AS$8:$AS$13,0),MATCH(O798,$AU$7:$BB$7,0))</f>
        <v>1</v>
      </c>
    </row>
    <row r="799" spans="15:42" ht="14.25" x14ac:dyDescent="0.45">
      <c r="O799" s="43" t="s">
        <v>35</v>
      </c>
      <c r="P799" s="43">
        <v>1</v>
      </c>
      <c r="Q799" s="43">
        <v>6</v>
      </c>
      <c r="R799" s="43">
        <v>3</v>
      </c>
      <c r="S799" s="45"/>
      <c r="T799" t="b">
        <f>(S797+S798+S799)=T2</f>
        <v>0</v>
      </c>
      <c r="X799" s="1">
        <f t="shared" si="71"/>
        <v>0</v>
      </c>
      <c r="Y799" s="48">
        <v>0</v>
      </c>
      <c r="AA799" s="1">
        <v>7</v>
      </c>
      <c r="AB799" s="1" t="s">
        <v>14</v>
      </c>
      <c r="AC799" s="1" t="s">
        <v>20</v>
      </c>
      <c r="AD799" s="1">
        <v>27</v>
      </c>
      <c r="AE799" s="1">
        <v>21</v>
      </c>
      <c r="AF799" s="1">
        <v>0.8</v>
      </c>
      <c r="AG799" s="1">
        <v>0.88</v>
      </c>
      <c r="AH799" s="1">
        <v>0</v>
      </c>
      <c r="AI799" s="1">
        <v>0</v>
      </c>
      <c r="AJ799" s="1">
        <f t="shared" si="67"/>
        <v>0</v>
      </c>
      <c r="AK799" s="1">
        <f>E83</f>
        <v>0</v>
      </c>
      <c r="AL799" s="1">
        <f>E89</f>
        <v>0</v>
      </c>
      <c r="AM799" s="1">
        <f t="shared" si="68"/>
        <v>0</v>
      </c>
      <c r="AN799" s="1">
        <f t="shared" si="69"/>
        <v>0</v>
      </c>
      <c r="AO799" s="1">
        <f t="shared" si="70"/>
        <v>0</v>
      </c>
      <c r="AP799" t="b" cm="1">
        <f t="array" ref="AP799">INDEX($AU$8:$BB$25,6*(R799-1)+MATCH(AB799,$AS$8:$AS$13,0),MATCH(O799,$AU$7:$BB$7,0))</f>
        <v>1</v>
      </c>
    </row>
    <row r="800" spans="15:42" ht="14.25" x14ac:dyDescent="0.45">
      <c r="O800" s="43" t="s">
        <v>35</v>
      </c>
      <c r="P800" s="43">
        <v>1</v>
      </c>
      <c r="Q800" s="43">
        <v>7</v>
      </c>
      <c r="R800" s="43">
        <v>1</v>
      </c>
      <c r="S800" s="45"/>
      <c r="T800" t="b">
        <f>(S800+S801+S802)=T2</f>
        <v>0</v>
      </c>
      <c r="X800" s="1">
        <f t="shared" si="71"/>
        <v>0</v>
      </c>
      <c r="Y800" s="48">
        <v>0</v>
      </c>
      <c r="AA800" s="1">
        <v>9</v>
      </c>
      <c r="AB800" s="1" t="s">
        <v>14</v>
      </c>
      <c r="AC800" s="1" t="s">
        <v>20</v>
      </c>
      <c r="AD800" s="1">
        <v>17</v>
      </c>
      <c r="AE800" s="1">
        <v>13</v>
      </c>
      <c r="AF800" s="1">
        <v>0.8</v>
      </c>
      <c r="AG800" s="1">
        <v>0.88</v>
      </c>
      <c r="AH800" s="1">
        <v>0</v>
      </c>
      <c r="AI800" s="1">
        <v>0</v>
      </c>
      <c r="AJ800" s="1">
        <f t="shared" si="67"/>
        <v>0</v>
      </c>
      <c r="AK800" s="1">
        <f>C83</f>
        <v>0</v>
      </c>
      <c r="AL800" s="1">
        <f>C89</f>
        <v>0</v>
      </c>
      <c r="AM800" s="1">
        <f t="shared" si="68"/>
        <v>0</v>
      </c>
      <c r="AN800" s="1">
        <f t="shared" si="69"/>
        <v>0</v>
      </c>
      <c r="AO800" s="1">
        <f t="shared" si="70"/>
        <v>0</v>
      </c>
      <c r="AP800" t="b" cm="1">
        <f t="array" ref="AP800">INDEX($AU$8:$BB$25,6*(R800-1)+MATCH(AB800,$AS$8:$AS$13,0),MATCH(O800,$AU$7:$BB$7,0))</f>
        <v>1</v>
      </c>
    </row>
    <row r="801" spans="15:42" ht="14.25" x14ac:dyDescent="0.45">
      <c r="O801" s="43" t="s">
        <v>35</v>
      </c>
      <c r="P801" s="43">
        <v>1</v>
      </c>
      <c r="Q801" s="43">
        <v>7</v>
      </c>
      <c r="R801" s="43">
        <v>2</v>
      </c>
      <c r="S801" s="45"/>
      <c r="T801" t="b">
        <f>(S800+S801+S802)=T2</f>
        <v>0</v>
      </c>
      <c r="X801" s="1">
        <f t="shared" si="71"/>
        <v>0</v>
      </c>
      <c r="Y801" s="48">
        <v>0</v>
      </c>
      <c r="AA801" s="1">
        <v>9</v>
      </c>
      <c r="AB801" s="1" t="s">
        <v>14</v>
      </c>
      <c r="AC801" s="1" t="s">
        <v>20</v>
      </c>
      <c r="AD801" s="1">
        <v>17</v>
      </c>
      <c r="AE801" s="1">
        <v>13</v>
      </c>
      <c r="AF801" s="1">
        <v>0.8</v>
      </c>
      <c r="AG801" s="1">
        <v>0.88</v>
      </c>
      <c r="AH801" s="1">
        <v>0</v>
      </c>
      <c r="AI801" s="1">
        <v>0</v>
      </c>
      <c r="AJ801" s="1">
        <f t="shared" si="67"/>
        <v>0</v>
      </c>
      <c r="AK801" s="1">
        <f>D83</f>
        <v>0</v>
      </c>
      <c r="AL801" s="1">
        <f>D89</f>
        <v>0</v>
      </c>
      <c r="AM801" s="1">
        <f t="shared" si="68"/>
        <v>0</v>
      </c>
      <c r="AN801" s="1">
        <f t="shared" si="69"/>
        <v>0</v>
      </c>
      <c r="AO801" s="1">
        <f t="shared" si="70"/>
        <v>0</v>
      </c>
      <c r="AP801" t="b" cm="1">
        <f t="array" ref="AP801">INDEX($AU$8:$BB$25,6*(R801-1)+MATCH(AB801,$AS$8:$AS$13,0),MATCH(O801,$AU$7:$BB$7,0))</f>
        <v>1</v>
      </c>
    </row>
    <row r="802" spans="15:42" ht="14.25" x14ac:dyDescent="0.45">
      <c r="O802" s="43" t="s">
        <v>35</v>
      </c>
      <c r="P802" s="43">
        <v>1</v>
      </c>
      <c r="Q802" s="43">
        <v>7</v>
      </c>
      <c r="R802" s="43">
        <v>3</v>
      </c>
      <c r="S802" s="45"/>
      <c r="T802" t="b">
        <f>(S800+S801+S802)=T2</f>
        <v>0</v>
      </c>
      <c r="X802" s="1">
        <f t="shared" si="71"/>
        <v>0</v>
      </c>
      <c r="Y802" s="48">
        <v>0</v>
      </c>
      <c r="AA802" s="1">
        <v>9</v>
      </c>
      <c r="AB802" s="1" t="s">
        <v>14</v>
      </c>
      <c r="AC802" s="1" t="s">
        <v>20</v>
      </c>
      <c r="AD802" s="1">
        <v>17</v>
      </c>
      <c r="AE802" s="1">
        <v>13</v>
      </c>
      <c r="AF802" s="1">
        <v>0.8</v>
      </c>
      <c r="AG802" s="1">
        <v>0.88</v>
      </c>
      <c r="AH802" s="1">
        <v>0</v>
      </c>
      <c r="AI802" s="1">
        <v>0</v>
      </c>
      <c r="AJ802" s="1">
        <f t="shared" si="67"/>
        <v>0</v>
      </c>
      <c r="AK802" s="1">
        <f>E83</f>
        <v>0</v>
      </c>
      <c r="AL802" s="1">
        <f>E89</f>
        <v>0</v>
      </c>
      <c r="AM802" s="1">
        <f t="shared" si="68"/>
        <v>0</v>
      </c>
      <c r="AN802" s="1">
        <f t="shared" si="69"/>
        <v>0</v>
      </c>
      <c r="AO802" s="1">
        <f t="shared" si="70"/>
        <v>0</v>
      </c>
      <c r="AP802" t="b" cm="1">
        <f t="array" ref="AP802">INDEX($AU$8:$BB$25,6*(R802-1)+MATCH(AB802,$AS$8:$AS$13,0),MATCH(O802,$AU$7:$BB$7,0))</f>
        <v>1</v>
      </c>
    </row>
    <row r="803" spans="15:42" ht="14.25" x14ac:dyDescent="0.45">
      <c r="O803" s="43" t="s">
        <v>35</v>
      </c>
      <c r="P803" s="43">
        <v>1</v>
      </c>
      <c r="Q803" s="43">
        <v>8</v>
      </c>
      <c r="R803" s="43">
        <v>1</v>
      </c>
      <c r="S803" s="45"/>
      <c r="T803" t="b">
        <f>(S803+S804+S805)=T2</f>
        <v>0</v>
      </c>
      <c r="X803" s="1">
        <f t="shared" si="71"/>
        <v>0</v>
      </c>
      <c r="Y803" s="48">
        <v>0</v>
      </c>
      <c r="AA803" s="1">
        <v>1</v>
      </c>
      <c r="AB803" s="1" t="s">
        <v>10</v>
      </c>
      <c r="AC803" s="1" t="s">
        <v>17</v>
      </c>
      <c r="AD803" s="1">
        <v>18</v>
      </c>
      <c r="AE803" s="1">
        <v>16</v>
      </c>
      <c r="AF803" s="1">
        <v>0.78</v>
      </c>
      <c r="AG803" s="1">
        <v>0.84</v>
      </c>
      <c r="AH803" s="1">
        <v>0</v>
      </c>
      <c r="AI803" s="1">
        <v>0</v>
      </c>
      <c r="AJ803" s="1">
        <f t="shared" si="67"/>
        <v>0</v>
      </c>
      <c r="AK803" s="1">
        <f>C80</f>
        <v>0</v>
      </c>
      <c r="AL803" s="1">
        <f>C86</f>
        <v>0</v>
      </c>
      <c r="AM803" s="1">
        <f t="shared" si="68"/>
        <v>0</v>
      </c>
      <c r="AN803" s="1">
        <f t="shared" si="69"/>
        <v>0</v>
      </c>
      <c r="AO803" s="1">
        <f t="shared" si="70"/>
        <v>0</v>
      </c>
      <c r="AP803" t="b" cm="1">
        <f t="array" ref="AP803">INDEX($AU$8:$BB$25,6*(R803-1)+MATCH(AB803,$AS$8:$AS$13,0),MATCH(O803,$AU$7:$BB$7,0))</f>
        <v>1</v>
      </c>
    </row>
    <row r="804" spans="15:42" ht="14.25" x14ac:dyDescent="0.45">
      <c r="O804" s="43" t="s">
        <v>35</v>
      </c>
      <c r="P804" s="43">
        <v>1</v>
      </c>
      <c r="Q804" s="43">
        <v>8</v>
      </c>
      <c r="R804" s="43">
        <v>2</v>
      </c>
      <c r="S804" s="45"/>
      <c r="T804" t="b">
        <f>(S803+S804+S805)=T2</f>
        <v>0</v>
      </c>
      <c r="X804" s="1">
        <f t="shared" si="71"/>
        <v>0</v>
      </c>
      <c r="Y804" s="48">
        <v>0</v>
      </c>
      <c r="AA804" s="1">
        <v>1</v>
      </c>
      <c r="AB804" s="1" t="s">
        <v>10</v>
      </c>
      <c r="AC804" s="1" t="s">
        <v>17</v>
      </c>
      <c r="AD804" s="1">
        <v>18</v>
      </c>
      <c r="AE804" s="1">
        <v>16</v>
      </c>
      <c r="AF804" s="1">
        <v>0.78</v>
      </c>
      <c r="AG804" s="1">
        <v>0.84</v>
      </c>
      <c r="AH804" s="1">
        <v>0</v>
      </c>
      <c r="AI804" s="1">
        <v>0</v>
      </c>
      <c r="AJ804" s="1">
        <f t="shared" si="67"/>
        <v>0</v>
      </c>
      <c r="AK804" s="1">
        <f>D80</f>
        <v>0</v>
      </c>
      <c r="AL804" s="1">
        <f>D86</f>
        <v>0</v>
      </c>
      <c r="AM804" s="1">
        <f t="shared" si="68"/>
        <v>0</v>
      </c>
      <c r="AN804" s="1">
        <f t="shared" si="69"/>
        <v>0</v>
      </c>
      <c r="AO804" s="1">
        <f t="shared" si="70"/>
        <v>0</v>
      </c>
      <c r="AP804" t="b" cm="1">
        <f t="array" ref="AP804">INDEX($AU$8:$BB$25,6*(R804-1)+MATCH(AB804,$AS$8:$AS$13,0),MATCH(O804,$AU$7:$BB$7,0))</f>
        <v>1</v>
      </c>
    </row>
    <row r="805" spans="15:42" ht="14.25" x14ac:dyDescent="0.45">
      <c r="O805" s="43" t="s">
        <v>35</v>
      </c>
      <c r="P805" s="43">
        <v>1</v>
      </c>
      <c r="Q805" s="43">
        <v>8</v>
      </c>
      <c r="R805" s="43">
        <v>3</v>
      </c>
      <c r="S805" s="45"/>
      <c r="T805" t="b">
        <f>(S803+S804+S805)=T2</f>
        <v>0</v>
      </c>
      <c r="X805" s="1">
        <f t="shared" si="71"/>
        <v>0</v>
      </c>
      <c r="Y805" s="48">
        <v>0</v>
      </c>
      <c r="AA805" s="1">
        <v>1</v>
      </c>
      <c r="AB805" s="1" t="s">
        <v>10</v>
      </c>
      <c r="AC805" s="1" t="s">
        <v>17</v>
      </c>
      <c r="AD805" s="1">
        <v>18</v>
      </c>
      <c r="AE805" s="1">
        <v>16</v>
      </c>
      <c r="AF805" s="1">
        <v>0.78</v>
      </c>
      <c r="AG805" s="1">
        <v>0.84</v>
      </c>
      <c r="AH805" s="1">
        <v>0</v>
      </c>
      <c r="AI805" s="1">
        <v>0</v>
      </c>
      <c r="AJ805" s="1">
        <f t="shared" si="67"/>
        <v>0</v>
      </c>
      <c r="AK805" s="1">
        <f>E80</f>
        <v>0</v>
      </c>
      <c r="AL805" s="1">
        <f>E86</f>
        <v>0</v>
      </c>
      <c r="AM805" s="1">
        <f t="shared" si="68"/>
        <v>0</v>
      </c>
      <c r="AN805" s="1">
        <f t="shared" si="69"/>
        <v>0</v>
      </c>
      <c r="AO805" s="1">
        <f t="shared" si="70"/>
        <v>0</v>
      </c>
      <c r="AP805" t="b" cm="1">
        <f t="array" ref="AP805">INDEX($AU$8:$BB$25,6*(R805-1)+MATCH(AB805,$AS$8:$AS$13,0),MATCH(O805,$AU$7:$BB$7,0))</f>
        <v>1</v>
      </c>
    </row>
    <row r="806" spans="15:42" ht="14.25" x14ac:dyDescent="0.45">
      <c r="O806" s="43" t="s">
        <v>35</v>
      </c>
      <c r="P806" s="43">
        <v>1</v>
      </c>
      <c r="Q806" s="43">
        <v>9</v>
      </c>
      <c r="R806" s="43">
        <v>1</v>
      </c>
      <c r="S806" s="45"/>
      <c r="T806" t="b">
        <f>(S806+S807+S808)=T2</f>
        <v>0</v>
      </c>
      <c r="X806" s="1">
        <f t="shared" si="71"/>
        <v>0</v>
      </c>
      <c r="Y806" s="48">
        <v>0</v>
      </c>
      <c r="AA806" s="1">
        <v>2</v>
      </c>
      <c r="AB806" s="1" t="s">
        <v>10</v>
      </c>
      <c r="AC806" s="1" t="s">
        <v>17</v>
      </c>
      <c r="AD806" s="1">
        <v>16</v>
      </c>
      <c r="AE806" s="1">
        <v>13</v>
      </c>
      <c r="AF806" s="1">
        <v>0.78</v>
      </c>
      <c r="AG806" s="1">
        <v>0.84</v>
      </c>
      <c r="AH806" s="1">
        <v>0</v>
      </c>
      <c r="AI806" s="1">
        <v>0</v>
      </c>
      <c r="AJ806" s="1">
        <f t="shared" si="67"/>
        <v>0</v>
      </c>
      <c r="AK806" s="1">
        <f>C80</f>
        <v>0</v>
      </c>
      <c r="AL806" s="1">
        <f>C86</f>
        <v>0</v>
      </c>
      <c r="AM806" s="1">
        <f t="shared" si="68"/>
        <v>0</v>
      </c>
      <c r="AN806" s="1">
        <f t="shared" si="69"/>
        <v>0</v>
      </c>
      <c r="AO806" s="1">
        <f t="shared" si="70"/>
        <v>0</v>
      </c>
      <c r="AP806" t="b" cm="1">
        <f t="array" ref="AP806">INDEX($AU$8:$BB$25,6*(R806-1)+MATCH(AB806,$AS$8:$AS$13,0),MATCH(O806,$AU$7:$BB$7,0))</f>
        <v>1</v>
      </c>
    </row>
    <row r="807" spans="15:42" ht="14.25" x14ac:dyDescent="0.45">
      <c r="O807" s="43" t="s">
        <v>35</v>
      </c>
      <c r="P807" s="43">
        <v>1</v>
      </c>
      <c r="Q807" s="43">
        <v>9</v>
      </c>
      <c r="R807" s="43">
        <v>2</v>
      </c>
      <c r="S807" s="45"/>
      <c r="T807" t="b">
        <f>(S806+S807+S808)=T2</f>
        <v>0</v>
      </c>
      <c r="X807" s="1">
        <f t="shared" si="71"/>
        <v>0</v>
      </c>
      <c r="Y807" s="48">
        <v>0</v>
      </c>
      <c r="AA807" s="1">
        <v>2</v>
      </c>
      <c r="AB807" s="1" t="s">
        <v>10</v>
      </c>
      <c r="AC807" s="1" t="s">
        <v>17</v>
      </c>
      <c r="AD807" s="1">
        <v>16</v>
      </c>
      <c r="AE807" s="1">
        <v>13</v>
      </c>
      <c r="AF807" s="1">
        <v>0.78</v>
      </c>
      <c r="AG807" s="1">
        <v>0.84</v>
      </c>
      <c r="AH807" s="1">
        <v>0</v>
      </c>
      <c r="AI807" s="1">
        <v>0</v>
      </c>
      <c r="AJ807" s="1">
        <f t="shared" si="67"/>
        <v>0</v>
      </c>
      <c r="AK807" s="1">
        <f>D80</f>
        <v>0</v>
      </c>
      <c r="AL807" s="1">
        <f>D86</f>
        <v>0</v>
      </c>
      <c r="AM807" s="1">
        <f t="shared" si="68"/>
        <v>0</v>
      </c>
      <c r="AN807" s="1">
        <f t="shared" si="69"/>
        <v>0</v>
      </c>
      <c r="AO807" s="1">
        <f t="shared" si="70"/>
        <v>0</v>
      </c>
      <c r="AP807" t="b" cm="1">
        <f t="array" ref="AP807">INDEX($AU$8:$BB$25,6*(R807-1)+MATCH(AB807,$AS$8:$AS$13,0),MATCH(O807,$AU$7:$BB$7,0))</f>
        <v>1</v>
      </c>
    </row>
    <row r="808" spans="15:42" ht="14.25" x14ac:dyDescent="0.45">
      <c r="O808" s="43" t="s">
        <v>35</v>
      </c>
      <c r="P808" s="43">
        <v>1</v>
      </c>
      <c r="Q808" s="43">
        <v>9</v>
      </c>
      <c r="R808" s="43">
        <v>3</v>
      </c>
      <c r="S808" s="45"/>
      <c r="T808" t="b">
        <f>(S806+S807+S808)=T2</f>
        <v>0</v>
      </c>
      <c r="X808" s="1">
        <f t="shared" si="71"/>
        <v>0</v>
      </c>
      <c r="Y808" s="48">
        <v>0</v>
      </c>
      <c r="AA808" s="1">
        <v>2</v>
      </c>
      <c r="AB808" s="1" t="s">
        <v>10</v>
      </c>
      <c r="AC808" s="1" t="s">
        <v>17</v>
      </c>
      <c r="AD808" s="1">
        <v>16</v>
      </c>
      <c r="AE808" s="1">
        <v>13</v>
      </c>
      <c r="AF808" s="1">
        <v>0.78</v>
      </c>
      <c r="AG808" s="1">
        <v>0.84</v>
      </c>
      <c r="AH808" s="1">
        <v>0</v>
      </c>
      <c r="AI808" s="1">
        <v>0</v>
      </c>
      <c r="AJ808" s="1">
        <f t="shared" si="67"/>
        <v>0</v>
      </c>
      <c r="AK808" s="1">
        <f>E80</f>
        <v>0</v>
      </c>
      <c r="AL808" s="1">
        <f>E86</f>
        <v>0</v>
      </c>
      <c r="AM808" s="1">
        <f t="shared" si="68"/>
        <v>0</v>
      </c>
      <c r="AN808" s="1">
        <f t="shared" si="69"/>
        <v>0</v>
      </c>
      <c r="AO808" s="1">
        <f t="shared" si="70"/>
        <v>0</v>
      </c>
      <c r="AP808" t="b" cm="1">
        <f t="array" ref="AP808">INDEX($AU$8:$BB$25,6*(R808-1)+MATCH(AB808,$AS$8:$AS$13,0),MATCH(O808,$AU$7:$BB$7,0))</f>
        <v>1</v>
      </c>
    </row>
    <row r="809" spans="15:42" ht="14.25" x14ac:dyDescent="0.45">
      <c r="O809" s="43" t="s">
        <v>35</v>
      </c>
      <c r="P809" s="43">
        <v>1</v>
      </c>
      <c r="Q809" s="43">
        <v>10</v>
      </c>
      <c r="R809" s="43">
        <v>1</v>
      </c>
      <c r="S809" s="45"/>
      <c r="T809" t="b">
        <f>(S809+S810+S811)=T2</f>
        <v>0</v>
      </c>
      <c r="X809" s="1">
        <f t="shared" si="71"/>
        <v>0</v>
      </c>
      <c r="Y809" s="48">
        <v>0</v>
      </c>
      <c r="AA809" s="1">
        <v>6</v>
      </c>
      <c r="AB809" s="1" t="s">
        <v>14</v>
      </c>
      <c r="AC809" s="1" t="s">
        <v>20</v>
      </c>
      <c r="AD809" s="1">
        <v>14</v>
      </c>
      <c r="AE809" s="1">
        <v>11</v>
      </c>
      <c r="AF809" s="1">
        <v>0.8</v>
      </c>
      <c r="AG809" s="1">
        <v>0.88</v>
      </c>
      <c r="AH809" s="1">
        <v>0</v>
      </c>
      <c r="AI809" s="1">
        <v>0</v>
      </c>
      <c r="AJ809" s="1">
        <f t="shared" si="67"/>
        <v>0</v>
      </c>
      <c r="AK809" s="1">
        <f>C83</f>
        <v>0</v>
      </c>
      <c r="AL809" s="1">
        <f>C89</f>
        <v>0</v>
      </c>
      <c r="AM809" s="1">
        <f t="shared" si="68"/>
        <v>0</v>
      </c>
      <c r="AN809" s="1">
        <f t="shared" si="69"/>
        <v>0</v>
      </c>
      <c r="AO809" s="1">
        <f t="shared" si="70"/>
        <v>0</v>
      </c>
      <c r="AP809" t="b" cm="1">
        <f t="array" ref="AP809">INDEX($AU$8:$BB$25,6*(R809-1)+MATCH(AB809,$AS$8:$AS$13,0),MATCH(O809,$AU$7:$BB$7,0))</f>
        <v>1</v>
      </c>
    </row>
    <row r="810" spans="15:42" ht="14.25" x14ac:dyDescent="0.45">
      <c r="O810" s="43" t="s">
        <v>35</v>
      </c>
      <c r="P810" s="43">
        <v>1</v>
      </c>
      <c r="Q810" s="43">
        <v>10</v>
      </c>
      <c r="R810" s="43">
        <v>2</v>
      </c>
      <c r="S810" s="45"/>
      <c r="T810" t="b">
        <f>(S809+S810+S811)=T2</f>
        <v>0</v>
      </c>
      <c r="X810" s="1">
        <f t="shared" si="71"/>
        <v>0</v>
      </c>
      <c r="Y810" s="48">
        <v>0</v>
      </c>
      <c r="AA810" s="1">
        <v>6</v>
      </c>
      <c r="AB810" s="1" t="s">
        <v>14</v>
      </c>
      <c r="AC810" s="1" t="s">
        <v>20</v>
      </c>
      <c r="AD810" s="1">
        <v>14</v>
      </c>
      <c r="AE810" s="1">
        <v>11</v>
      </c>
      <c r="AF810" s="1">
        <v>0.8</v>
      </c>
      <c r="AG810" s="1">
        <v>0.88</v>
      </c>
      <c r="AH810" s="1">
        <v>0</v>
      </c>
      <c r="AI810" s="1">
        <v>0</v>
      </c>
      <c r="AJ810" s="1">
        <f t="shared" si="67"/>
        <v>0</v>
      </c>
      <c r="AK810" s="1">
        <f>D83</f>
        <v>0</v>
      </c>
      <c r="AL810" s="1">
        <f>D89</f>
        <v>0</v>
      </c>
      <c r="AM810" s="1">
        <f t="shared" si="68"/>
        <v>0</v>
      </c>
      <c r="AN810" s="1">
        <f t="shared" si="69"/>
        <v>0</v>
      </c>
      <c r="AO810" s="1">
        <f t="shared" si="70"/>
        <v>0</v>
      </c>
      <c r="AP810" t="b" cm="1">
        <f t="array" ref="AP810">INDEX($AU$8:$BB$25,6*(R810-1)+MATCH(AB810,$AS$8:$AS$13,0),MATCH(O810,$AU$7:$BB$7,0))</f>
        <v>1</v>
      </c>
    </row>
    <row r="811" spans="15:42" ht="14.25" x14ac:dyDescent="0.45">
      <c r="O811" s="43" t="s">
        <v>35</v>
      </c>
      <c r="P811" s="43">
        <v>1</v>
      </c>
      <c r="Q811" s="43">
        <v>10</v>
      </c>
      <c r="R811" s="43">
        <v>3</v>
      </c>
      <c r="S811" s="45"/>
      <c r="T811" t="b">
        <f>(S809+S810+S811)=T2</f>
        <v>0</v>
      </c>
      <c r="X811" s="1">
        <f t="shared" si="71"/>
        <v>0</v>
      </c>
      <c r="Y811" s="48">
        <v>0</v>
      </c>
      <c r="AA811" s="1">
        <v>6</v>
      </c>
      <c r="AB811" s="1" t="s">
        <v>14</v>
      </c>
      <c r="AC811" s="1" t="s">
        <v>20</v>
      </c>
      <c r="AD811" s="1">
        <v>14</v>
      </c>
      <c r="AE811" s="1">
        <v>11</v>
      </c>
      <c r="AF811" s="1">
        <v>0.8</v>
      </c>
      <c r="AG811" s="1">
        <v>0.88</v>
      </c>
      <c r="AH811" s="1">
        <v>0</v>
      </c>
      <c r="AI811" s="1">
        <v>0</v>
      </c>
      <c r="AJ811" s="1">
        <f t="shared" si="67"/>
        <v>0</v>
      </c>
      <c r="AK811" s="1">
        <f>E83</f>
        <v>0</v>
      </c>
      <c r="AL811" s="1">
        <f>E89</f>
        <v>0</v>
      </c>
      <c r="AM811" s="1">
        <f t="shared" si="68"/>
        <v>0</v>
      </c>
      <c r="AN811" s="1">
        <f t="shared" si="69"/>
        <v>0</v>
      </c>
      <c r="AO811" s="1">
        <f t="shared" si="70"/>
        <v>0</v>
      </c>
      <c r="AP811" t="b" cm="1">
        <f t="array" ref="AP811">INDEX($AU$8:$BB$25,6*(R811-1)+MATCH(AB811,$AS$8:$AS$13,0),MATCH(O811,$AU$7:$BB$7,0))</f>
        <v>1</v>
      </c>
    </row>
    <row r="812" spans="15:42" ht="14.25" x14ac:dyDescent="0.45">
      <c r="O812" s="43" t="s">
        <v>35</v>
      </c>
      <c r="P812" s="43">
        <v>1</v>
      </c>
      <c r="Q812" s="43">
        <v>11</v>
      </c>
      <c r="R812" s="43">
        <v>1</v>
      </c>
      <c r="S812" s="45"/>
      <c r="T812" t="b">
        <f>(S812+S813+S814)=T2</f>
        <v>0</v>
      </c>
      <c r="X812" s="1">
        <f t="shared" si="71"/>
        <v>0</v>
      </c>
      <c r="Y812" s="48">
        <v>0</v>
      </c>
      <c r="AA812" s="1">
        <v>3</v>
      </c>
      <c r="AB812" s="1" t="s">
        <v>16</v>
      </c>
      <c r="AC812" s="1" t="s">
        <v>22</v>
      </c>
      <c r="AD812" s="1">
        <v>18</v>
      </c>
      <c r="AE812" s="1">
        <v>16</v>
      </c>
      <c r="AF812" s="1">
        <v>0.8</v>
      </c>
      <c r="AG812" s="1">
        <v>0.9</v>
      </c>
      <c r="AH812" s="1">
        <v>0</v>
      </c>
      <c r="AI812" s="1">
        <v>0</v>
      </c>
      <c r="AJ812" s="1">
        <f t="shared" si="67"/>
        <v>0</v>
      </c>
      <c r="AK812" s="1">
        <f>C85</f>
        <v>0</v>
      </c>
      <c r="AL812" s="1">
        <f>C91</f>
        <v>0</v>
      </c>
      <c r="AM812" s="1">
        <f t="shared" si="68"/>
        <v>0</v>
      </c>
      <c r="AN812" s="1">
        <f t="shared" si="69"/>
        <v>0</v>
      </c>
      <c r="AO812" s="1">
        <f t="shared" si="70"/>
        <v>0</v>
      </c>
      <c r="AP812" t="b" cm="1">
        <f t="array" ref="AP812">INDEX($AU$8:$BB$25,6*(R812-1)+MATCH(AB812,$AS$8:$AS$13,0),MATCH(O812,$AU$7:$BB$7,0))</f>
        <v>1</v>
      </c>
    </row>
    <row r="813" spans="15:42" ht="14.25" x14ac:dyDescent="0.45">
      <c r="O813" s="43" t="s">
        <v>35</v>
      </c>
      <c r="P813" s="43">
        <v>1</v>
      </c>
      <c r="Q813" s="43">
        <v>11</v>
      </c>
      <c r="R813" s="43">
        <v>2</v>
      </c>
      <c r="S813" s="45"/>
      <c r="T813" t="b">
        <f>(S812+S813+S814)=T2</f>
        <v>0</v>
      </c>
      <c r="X813" s="1">
        <f t="shared" si="71"/>
        <v>0</v>
      </c>
      <c r="Y813" s="48">
        <v>0</v>
      </c>
      <c r="AA813" s="1">
        <v>3</v>
      </c>
      <c r="AB813" s="1" t="s">
        <v>16</v>
      </c>
      <c r="AC813" s="1" t="s">
        <v>22</v>
      </c>
      <c r="AD813" s="1">
        <v>18</v>
      </c>
      <c r="AE813" s="1">
        <v>16</v>
      </c>
      <c r="AF813" s="1">
        <v>0.8</v>
      </c>
      <c r="AG813" s="1">
        <v>0.9</v>
      </c>
      <c r="AH813" s="1">
        <v>0</v>
      </c>
      <c r="AI813" s="1">
        <v>0</v>
      </c>
      <c r="AJ813" s="1">
        <f t="shared" si="67"/>
        <v>0</v>
      </c>
      <c r="AK813" s="1">
        <f>D85</f>
        <v>0</v>
      </c>
      <c r="AL813" s="1">
        <f>D91</f>
        <v>0</v>
      </c>
      <c r="AM813" s="1">
        <f t="shared" si="68"/>
        <v>0</v>
      </c>
      <c r="AN813" s="1">
        <f t="shared" si="69"/>
        <v>0</v>
      </c>
      <c r="AO813" s="1">
        <f t="shared" si="70"/>
        <v>0</v>
      </c>
      <c r="AP813" t="b" cm="1">
        <f t="array" ref="AP813">INDEX($AU$8:$BB$25,6*(R813-1)+MATCH(AB813,$AS$8:$AS$13,0),MATCH(O813,$AU$7:$BB$7,0))</f>
        <v>1</v>
      </c>
    </row>
    <row r="814" spans="15:42" ht="14.25" x14ac:dyDescent="0.45">
      <c r="O814" s="43" t="s">
        <v>35</v>
      </c>
      <c r="P814" s="43">
        <v>1</v>
      </c>
      <c r="Q814" s="43">
        <v>11</v>
      </c>
      <c r="R814" s="43">
        <v>3</v>
      </c>
      <c r="S814" s="45"/>
      <c r="T814" t="b">
        <f>(S812+S813+S814)=T2</f>
        <v>0</v>
      </c>
      <c r="X814" s="1">
        <f t="shared" si="71"/>
        <v>0</v>
      </c>
      <c r="Y814" s="48">
        <v>0</v>
      </c>
      <c r="AA814" s="1">
        <v>3</v>
      </c>
      <c r="AB814" s="1" t="s">
        <v>16</v>
      </c>
      <c r="AC814" s="1" t="s">
        <v>22</v>
      </c>
      <c r="AD814" s="1">
        <v>18</v>
      </c>
      <c r="AE814" s="1">
        <v>16</v>
      </c>
      <c r="AF814" s="1">
        <v>0.8</v>
      </c>
      <c r="AG814" s="1">
        <v>0.9</v>
      </c>
      <c r="AH814" s="1">
        <v>0</v>
      </c>
      <c r="AI814" s="1">
        <v>0</v>
      </c>
      <c r="AJ814" s="1">
        <f t="shared" si="67"/>
        <v>0</v>
      </c>
      <c r="AK814" s="1">
        <f>E85</f>
        <v>0</v>
      </c>
      <c r="AL814" s="1">
        <f>E91</f>
        <v>0</v>
      </c>
      <c r="AM814" s="1">
        <f t="shared" si="68"/>
        <v>0</v>
      </c>
      <c r="AN814" s="1">
        <f t="shared" si="69"/>
        <v>0</v>
      </c>
      <c r="AO814" s="1">
        <f t="shared" si="70"/>
        <v>0</v>
      </c>
      <c r="AP814" t="b" cm="1">
        <f t="array" ref="AP814">INDEX($AU$8:$BB$25,6*(R814-1)+MATCH(AB814,$AS$8:$AS$13,0),MATCH(O814,$AU$7:$BB$7,0))</f>
        <v>1</v>
      </c>
    </row>
    <row r="815" spans="15:42" ht="14.25" x14ac:dyDescent="0.45">
      <c r="O815" s="43" t="s">
        <v>35</v>
      </c>
      <c r="P815" s="43">
        <v>2</v>
      </c>
      <c r="Q815" s="43">
        <v>1</v>
      </c>
      <c r="R815" s="43">
        <v>1</v>
      </c>
      <c r="S815" s="45"/>
      <c r="T815" t="b">
        <f>(S815+S816+S817)=T3</f>
        <v>0</v>
      </c>
      <c r="X815" s="1">
        <v>0</v>
      </c>
      <c r="Y815" s="48">
        <v>0</v>
      </c>
      <c r="AA815" s="1">
        <v>9</v>
      </c>
      <c r="AB815" s="1" t="s">
        <v>16</v>
      </c>
      <c r="AC815" s="1" t="s">
        <v>22</v>
      </c>
      <c r="AD815" s="1">
        <v>19</v>
      </c>
      <c r="AE815" s="1">
        <v>16</v>
      </c>
      <c r="AF815" s="1">
        <v>0.8</v>
      </c>
      <c r="AG815" s="1">
        <v>0.9</v>
      </c>
      <c r="AH815" s="1">
        <v>0</v>
      </c>
      <c r="AI815" s="1">
        <v>0</v>
      </c>
      <c r="AJ815" s="1">
        <f t="shared" si="67"/>
        <v>0</v>
      </c>
      <c r="AK815" s="1">
        <f>C85</f>
        <v>0</v>
      </c>
      <c r="AL815" s="1">
        <f>C91</f>
        <v>0</v>
      </c>
      <c r="AM815" s="1">
        <f t="shared" si="68"/>
        <v>0</v>
      </c>
      <c r="AN815" s="1">
        <f t="shared" si="69"/>
        <v>0</v>
      </c>
      <c r="AO815" s="1">
        <f t="shared" si="70"/>
        <v>0</v>
      </c>
      <c r="AP815" t="b" cm="1">
        <f t="array" ref="AP815">INDEX($AU$8:$BB$25,6*(R815-1)+MATCH(AB815,$AS$8:$AS$13,0),MATCH(O815,$AU$7:$BB$7,0))</f>
        <v>1</v>
      </c>
    </row>
    <row r="816" spans="15:42" ht="14.25" x14ac:dyDescent="0.45">
      <c r="O816" s="43" t="s">
        <v>35</v>
      </c>
      <c r="P816" s="43">
        <v>2</v>
      </c>
      <c r="Q816" s="43">
        <v>1</v>
      </c>
      <c r="R816" s="43">
        <v>2</v>
      </c>
      <c r="S816" s="45"/>
      <c r="T816" t="b">
        <f>(S815+S816+S817)=T3</f>
        <v>0</v>
      </c>
      <c r="X816" s="1">
        <v>0</v>
      </c>
      <c r="Y816" s="48">
        <v>0</v>
      </c>
      <c r="AA816" s="1">
        <v>9</v>
      </c>
      <c r="AB816" s="1" t="s">
        <v>16</v>
      </c>
      <c r="AC816" s="1" t="s">
        <v>22</v>
      </c>
      <c r="AD816" s="1">
        <v>19</v>
      </c>
      <c r="AE816" s="1">
        <v>16</v>
      </c>
      <c r="AF816" s="1">
        <v>0.8</v>
      </c>
      <c r="AG816" s="1">
        <v>0.9</v>
      </c>
      <c r="AH816" s="1">
        <v>0</v>
      </c>
      <c r="AI816" s="1">
        <v>0</v>
      </c>
      <c r="AJ816" s="1">
        <f t="shared" si="67"/>
        <v>0</v>
      </c>
      <c r="AK816" s="1">
        <f>D85</f>
        <v>0</v>
      </c>
      <c r="AL816" s="1">
        <f>D91</f>
        <v>0</v>
      </c>
      <c r="AM816" s="1">
        <f t="shared" si="68"/>
        <v>0</v>
      </c>
      <c r="AN816" s="1">
        <f t="shared" si="69"/>
        <v>0</v>
      </c>
      <c r="AO816" s="1">
        <f t="shared" si="70"/>
        <v>0</v>
      </c>
      <c r="AP816" t="b" cm="1">
        <f t="array" ref="AP816">INDEX($AU$8:$BB$25,6*(R816-1)+MATCH(AB816,$AS$8:$AS$13,0),MATCH(O816,$AU$7:$BB$7,0))</f>
        <v>1</v>
      </c>
    </row>
    <row r="817" spans="15:42" ht="14.25" x14ac:dyDescent="0.45">
      <c r="O817" s="43" t="s">
        <v>35</v>
      </c>
      <c r="P817" s="43">
        <v>2</v>
      </c>
      <c r="Q817" s="43">
        <v>1</v>
      </c>
      <c r="R817" s="43">
        <v>3</v>
      </c>
      <c r="S817" s="45"/>
      <c r="T817" t="b">
        <f>(S815+S816+S817)=T3</f>
        <v>0</v>
      </c>
      <c r="X817" s="1">
        <v>0</v>
      </c>
      <c r="Y817" s="48">
        <v>0</v>
      </c>
      <c r="AA817" s="1">
        <v>9</v>
      </c>
      <c r="AB817" s="1" t="s">
        <v>16</v>
      </c>
      <c r="AC817" s="1" t="s">
        <v>22</v>
      </c>
      <c r="AD817" s="1">
        <v>19</v>
      </c>
      <c r="AE817" s="1">
        <v>16</v>
      </c>
      <c r="AF817" s="1">
        <v>0.8</v>
      </c>
      <c r="AG817" s="1">
        <v>0.9</v>
      </c>
      <c r="AH817" s="1">
        <v>0</v>
      </c>
      <c r="AI817" s="1">
        <v>0</v>
      </c>
      <c r="AJ817" s="1">
        <f t="shared" si="67"/>
        <v>0</v>
      </c>
      <c r="AK817" s="1">
        <f>E85</f>
        <v>0</v>
      </c>
      <c r="AL817" s="1">
        <f>E91</f>
        <v>0</v>
      </c>
      <c r="AM817" s="1">
        <f t="shared" si="68"/>
        <v>0</v>
      </c>
      <c r="AN817" s="1">
        <f t="shared" si="69"/>
        <v>0</v>
      </c>
      <c r="AO817" s="1">
        <f t="shared" si="70"/>
        <v>0</v>
      </c>
      <c r="AP817" t="b" cm="1">
        <f t="array" ref="AP817">INDEX($AU$8:$BB$25,6*(R817-1)+MATCH(AB817,$AS$8:$AS$13,0),MATCH(O817,$AU$7:$BB$7,0))</f>
        <v>1</v>
      </c>
    </row>
    <row r="818" spans="15:42" ht="14.25" x14ac:dyDescent="0.45">
      <c r="O818" s="43" t="s">
        <v>35</v>
      </c>
      <c r="P818" s="43">
        <v>2</v>
      </c>
      <c r="Q818" s="43">
        <v>2</v>
      </c>
      <c r="R818" s="43">
        <v>1</v>
      </c>
      <c r="S818" s="45"/>
      <c r="T818" t="b">
        <f>(S818+S819+S820)=T3</f>
        <v>0</v>
      </c>
      <c r="X818" s="1">
        <f t="shared" ref="X818:X859" si="72">MAX(S815-S818,0)</f>
        <v>0</v>
      </c>
      <c r="Y818" s="48">
        <v>0</v>
      </c>
      <c r="AA818" s="1">
        <v>1</v>
      </c>
      <c r="AB818" s="1" t="s">
        <v>12</v>
      </c>
      <c r="AC818" s="1" t="s">
        <v>18</v>
      </c>
      <c r="AD818" s="1">
        <v>20</v>
      </c>
      <c r="AE818" s="1">
        <v>18</v>
      </c>
      <c r="AF818" s="1">
        <v>0.76</v>
      </c>
      <c r="AG818" s="1">
        <v>0.81</v>
      </c>
      <c r="AH818" s="1">
        <v>0</v>
      </c>
      <c r="AI818" s="1">
        <v>0</v>
      </c>
      <c r="AJ818" s="1">
        <f t="shared" si="67"/>
        <v>0</v>
      </c>
      <c r="AK818" s="1">
        <f>C81</f>
        <v>0</v>
      </c>
      <c r="AL818" s="1">
        <f>C87</f>
        <v>0</v>
      </c>
      <c r="AM818" s="1">
        <f t="shared" si="68"/>
        <v>0</v>
      </c>
      <c r="AN818" s="1">
        <f t="shared" si="69"/>
        <v>0</v>
      </c>
      <c r="AO818" s="1">
        <f t="shared" si="70"/>
        <v>0</v>
      </c>
      <c r="AP818" t="b" cm="1">
        <f t="array" ref="AP818">INDEX($AU$8:$BB$25,6*(R818-1)+MATCH(AB818,$AS$8:$AS$13,0),MATCH(O818,$AU$7:$BB$7,0))</f>
        <v>1</v>
      </c>
    </row>
    <row r="819" spans="15:42" ht="14.25" x14ac:dyDescent="0.45">
      <c r="O819" s="43" t="s">
        <v>35</v>
      </c>
      <c r="P819" s="43">
        <v>2</v>
      </c>
      <c r="Q819" s="43">
        <v>2</v>
      </c>
      <c r="R819" s="43">
        <v>2</v>
      </c>
      <c r="S819" s="45"/>
      <c r="T819" t="b">
        <f>(S818+S819+S820)=T3</f>
        <v>0</v>
      </c>
      <c r="X819" s="1">
        <f t="shared" si="72"/>
        <v>0</v>
      </c>
      <c r="Y819" s="48">
        <v>0</v>
      </c>
      <c r="AA819" s="1">
        <v>1</v>
      </c>
      <c r="AB819" s="1" t="s">
        <v>12</v>
      </c>
      <c r="AC819" s="1" t="s">
        <v>18</v>
      </c>
      <c r="AD819" s="1">
        <v>20</v>
      </c>
      <c r="AE819" s="1">
        <v>18</v>
      </c>
      <c r="AF819" s="1">
        <v>0.76</v>
      </c>
      <c r="AG819" s="1">
        <v>0.81</v>
      </c>
      <c r="AH819" s="1">
        <v>0</v>
      </c>
      <c r="AI819" s="1">
        <v>0</v>
      </c>
      <c r="AJ819" s="1">
        <f t="shared" si="67"/>
        <v>0</v>
      </c>
      <c r="AK819" s="1">
        <f>D81</f>
        <v>0</v>
      </c>
      <c r="AL819" s="1">
        <f>D87</f>
        <v>0</v>
      </c>
      <c r="AM819" s="1">
        <f t="shared" si="68"/>
        <v>0</v>
      </c>
      <c r="AN819" s="1">
        <f t="shared" si="69"/>
        <v>0</v>
      </c>
      <c r="AO819" s="1">
        <f t="shared" si="70"/>
        <v>0</v>
      </c>
      <c r="AP819" t="b" cm="1">
        <f t="array" ref="AP819">INDEX($AU$8:$BB$25,6*(R819-1)+MATCH(AB819,$AS$8:$AS$13,0),MATCH(O819,$AU$7:$BB$7,0))</f>
        <v>1</v>
      </c>
    </row>
    <row r="820" spans="15:42" ht="14.25" x14ac:dyDescent="0.45">
      <c r="O820" s="43" t="s">
        <v>35</v>
      </c>
      <c r="P820" s="43">
        <v>2</v>
      </c>
      <c r="Q820" s="43">
        <v>2</v>
      </c>
      <c r="R820" s="43">
        <v>3</v>
      </c>
      <c r="S820" s="45"/>
      <c r="T820" t="b">
        <f>(S818+S819+S820)=T3</f>
        <v>0</v>
      </c>
      <c r="X820" s="1">
        <f t="shared" si="72"/>
        <v>0</v>
      </c>
      <c r="Y820" s="48">
        <v>0</v>
      </c>
      <c r="AA820" s="1">
        <v>1</v>
      </c>
      <c r="AB820" s="1" t="s">
        <v>12</v>
      </c>
      <c r="AC820" s="1" t="s">
        <v>18</v>
      </c>
      <c r="AD820" s="1">
        <v>20</v>
      </c>
      <c r="AE820" s="1">
        <v>18</v>
      </c>
      <c r="AF820" s="1">
        <v>0.76</v>
      </c>
      <c r="AG820" s="1">
        <v>0.81</v>
      </c>
      <c r="AH820" s="1">
        <v>0</v>
      </c>
      <c r="AI820" s="1">
        <v>0</v>
      </c>
      <c r="AJ820" s="1">
        <f t="shared" si="67"/>
        <v>0</v>
      </c>
      <c r="AK820" s="1">
        <f>E81</f>
        <v>0</v>
      </c>
      <c r="AL820" s="1">
        <f>E87</f>
        <v>0</v>
      </c>
      <c r="AM820" s="1">
        <f t="shared" si="68"/>
        <v>0</v>
      </c>
      <c r="AN820" s="1">
        <f t="shared" si="69"/>
        <v>0</v>
      </c>
      <c r="AO820" s="1">
        <f t="shared" si="70"/>
        <v>0</v>
      </c>
      <c r="AP820" t="b" cm="1">
        <f t="array" ref="AP820">INDEX($AU$8:$BB$25,6*(R820-1)+MATCH(AB820,$AS$8:$AS$13,0),MATCH(O820,$AU$7:$BB$7,0))</f>
        <v>1</v>
      </c>
    </row>
    <row r="821" spans="15:42" ht="14.25" x14ac:dyDescent="0.45">
      <c r="O821" s="43" t="s">
        <v>35</v>
      </c>
      <c r="P821" s="43">
        <v>2</v>
      </c>
      <c r="Q821" s="43">
        <v>3</v>
      </c>
      <c r="R821" s="43">
        <v>1</v>
      </c>
      <c r="S821" s="45"/>
      <c r="T821" t="b">
        <f>(S821+S822+S823)=T3</f>
        <v>0</v>
      </c>
      <c r="X821" s="1">
        <f t="shared" si="72"/>
        <v>0</v>
      </c>
      <c r="Y821" s="48">
        <v>0</v>
      </c>
      <c r="AA821" s="1">
        <v>11</v>
      </c>
      <c r="AB821" s="1" t="s">
        <v>15</v>
      </c>
      <c r="AC821" s="1" t="s">
        <v>21</v>
      </c>
      <c r="AD821" s="1">
        <v>10</v>
      </c>
      <c r="AE821" s="1">
        <v>7</v>
      </c>
      <c r="AF821" s="1">
        <v>0.76</v>
      </c>
      <c r="AG821" s="1">
        <v>0.84</v>
      </c>
      <c r="AH821" s="1">
        <v>0</v>
      </c>
      <c r="AI821" s="1">
        <v>0</v>
      </c>
      <c r="AJ821" s="1">
        <f t="shared" si="67"/>
        <v>0</v>
      </c>
      <c r="AK821" s="1">
        <f>C84</f>
        <v>0</v>
      </c>
      <c r="AL821" s="1">
        <f>C90</f>
        <v>0</v>
      </c>
      <c r="AM821" s="1">
        <f t="shared" si="68"/>
        <v>0</v>
      </c>
      <c r="AN821" s="1">
        <f t="shared" si="69"/>
        <v>0</v>
      </c>
      <c r="AO821" s="1">
        <f t="shared" si="70"/>
        <v>0</v>
      </c>
      <c r="AP821" t="b" cm="1">
        <f t="array" ref="AP821">INDEX($AU$8:$BB$25,6*(R821-1)+MATCH(AB821,$AS$8:$AS$13,0),MATCH(O821,$AU$7:$BB$7,0))</f>
        <v>1</v>
      </c>
    </row>
    <row r="822" spans="15:42" ht="14.25" x14ac:dyDescent="0.45">
      <c r="O822" s="43" t="s">
        <v>35</v>
      </c>
      <c r="P822" s="43">
        <v>2</v>
      </c>
      <c r="Q822" s="43">
        <v>3</v>
      </c>
      <c r="R822" s="43">
        <v>2</v>
      </c>
      <c r="S822" s="45"/>
      <c r="T822" t="b">
        <f>(S821+S822+S823)=T3</f>
        <v>0</v>
      </c>
      <c r="X822" s="1">
        <f t="shared" si="72"/>
        <v>0</v>
      </c>
      <c r="Y822" s="48">
        <v>0</v>
      </c>
      <c r="AA822" s="1">
        <v>11</v>
      </c>
      <c r="AB822" s="1" t="s">
        <v>15</v>
      </c>
      <c r="AC822" s="1" t="s">
        <v>21</v>
      </c>
      <c r="AD822" s="1">
        <v>10</v>
      </c>
      <c r="AE822" s="1">
        <v>7</v>
      </c>
      <c r="AF822" s="1">
        <v>0.76</v>
      </c>
      <c r="AG822" s="1">
        <v>0.84</v>
      </c>
      <c r="AH822" s="1">
        <v>0</v>
      </c>
      <c r="AI822" s="1">
        <v>0</v>
      </c>
      <c r="AJ822" s="1">
        <f t="shared" si="67"/>
        <v>0</v>
      </c>
      <c r="AK822" s="1">
        <f>D84</f>
        <v>0</v>
      </c>
      <c r="AL822" s="1">
        <f>D90</f>
        <v>0</v>
      </c>
      <c r="AM822" s="1">
        <f t="shared" si="68"/>
        <v>0</v>
      </c>
      <c r="AN822" s="1">
        <f t="shared" si="69"/>
        <v>0</v>
      </c>
      <c r="AO822" s="1">
        <f t="shared" si="70"/>
        <v>0</v>
      </c>
      <c r="AP822" t="b" cm="1">
        <f t="array" ref="AP822">INDEX($AU$8:$BB$25,6*(R822-1)+MATCH(AB822,$AS$8:$AS$13,0),MATCH(O822,$AU$7:$BB$7,0))</f>
        <v>1</v>
      </c>
    </row>
    <row r="823" spans="15:42" ht="14.25" x14ac:dyDescent="0.45">
      <c r="O823" s="43" t="s">
        <v>35</v>
      </c>
      <c r="P823" s="43">
        <v>2</v>
      </c>
      <c r="Q823" s="43">
        <v>3</v>
      </c>
      <c r="R823" s="43">
        <v>3</v>
      </c>
      <c r="S823" s="45"/>
      <c r="T823" t="b">
        <f>(S821+S822+S823)=T3</f>
        <v>0</v>
      </c>
      <c r="X823" s="1">
        <f t="shared" si="72"/>
        <v>0</v>
      </c>
      <c r="Y823" s="48">
        <v>0</v>
      </c>
      <c r="AA823" s="1">
        <v>11</v>
      </c>
      <c r="AB823" s="1" t="s">
        <v>15</v>
      </c>
      <c r="AC823" s="1" t="s">
        <v>21</v>
      </c>
      <c r="AD823" s="1">
        <v>10</v>
      </c>
      <c r="AE823" s="1">
        <v>7</v>
      </c>
      <c r="AF823" s="1">
        <v>0.76</v>
      </c>
      <c r="AG823" s="1">
        <v>0.84</v>
      </c>
      <c r="AH823" s="1">
        <v>0</v>
      </c>
      <c r="AI823" s="1">
        <v>0</v>
      </c>
      <c r="AJ823" s="1">
        <f t="shared" si="67"/>
        <v>0</v>
      </c>
      <c r="AK823" s="1">
        <f>E84</f>
        <v>0</v>
      </c>
      <c r="AL823" s="1">
        <f>E90</f>
        <v>0</v>
      </c>
      <c r="AM823" s="1">
        <f t="shared" si="68"/>
        <v>0</v>
      </c>
      <c r="AN823" s="1">
        <f t="shared" si="69"/>
        <v>0</v>
      </c>
      <c r="AO823" s="1">
        <f t="shared" si="70"/>
        <v>0</v>
      </c>
      <c r="AP823" t="b" cm="1">
        <f t="array" ref="AP823">INDEX($AU$8:$BB$25,6*(R823-1)+MATCH(AB823,$AS$8:$AS$13,0),MATCH(O823,$AU$7:$BB$7,0))</f>
        <v>1</v>
      </c>
    </row>
    <row r="824" spans="15:42" ht="14.25" x14ac:dyDescent="0.45">
      <c r="O824" s="43" t="s">
        <v>35</v>
      </c>
      <c r="P824" s="43">
        <v>2</v>
      </c>
      <c r="Q824" s="43">
        <v>4</v>
      </c>
      <c r="R824" s="43">
        <v>1</v>
      </c>
      <c r="S824" s="45"/>
      <c r="T824" t="b">
        <f>(S824+S825+S826)=T3</f>
        <v>0</v>
      </c>
      <c r="X824" s="1">
        <f t="shared" si="72"/>
        <v>0</v>
      </c>
      <c r="Y824" s="48">
        <v>0</v>
      </c>
      <c r="AA824" s="1">
        <v>2</v>
      </c>
      <c r="AB824" s="1" t="s">
        <v>12</v>
      </c>
      <c r="AC824" s="1" t="s">
        <v>18</v>
      </c>
      <c r="AD824" s="1">
        <v>25</v>
      </c>
      <c r="AE824" s="1">
        <v>19</v>
      </c>
      <c r="AF824" s="1">
        <v>0.76</v>
      </c>
      <c r="AG824" s="1">
        <v>0.81</v>
      </c>
      <c r="AH824" s="1">
        <v>0</v>
      </c>
      <c r="AI824" s="1">
        <v>0</v>
      </c>
      <c r="AJ824" s="1">
        <f t="shared" si="67"/>
        <v>0</v>
      </c>
      <c r="AK824" s="1">
        <f>C81</f>
        <v>0</v>
      </c>
      <c r="AL824" s="1">
        <f>C87</f>
        <v>0</v>
      </c>
      <c r="AM824" s="1">
        <f t="shared" si="68"/>
        <v>0</v>
      </c>
      <c r="AN824" s="1">
        <f t="shared" si="69"/>
        <v>0</v>
      </c>
      <c r="AO824" s="1">
        <f t="shared" si="70"/>
        <v>0</v>
      </c>
      <c r="AP824" t="b" cm="1">
        <f t="array" ref="AP824">INDEX($AU$8:$BB$25,6*(R824-1)+MATCH(AB824,$AS$8:$AS$13,0),MATCH(O824,$AU$7:$BB$7,0))</f>
        <v>1</v>
      </c>
    </row>
    <row r="825" spans="15:42" ht="14.25" x14ac:dyDescent="0.45">
      <c r="O825" s="43" t="s">
        <v>35</v>
      </c>
      <c r="P825" s="43">
        <v>2</v>
      </c>
      <c r="Q825" s="43">
        <v>4</v>
      </c>
      <c r="R825" s="43">
        <v>2</v>
      </c>
      <c r="S825" s="45"/>
      <c r="T825" t="b">
        <f>(S824+S825+S826)=T3</f>
        <v>0</v>
      </c>
      <c r="X825" s="1">
        <f t="shared" si="72"/>
        <v>0</v>
      </c>
      <c r="Y825" s="48">
        <v>0</v>
      </c>
      <c r="AA825" s="1">
        <v>2</v>
      </c>
      <c r="AB825" s="1" t="s">
        <v>12</v>
      </c>
      <c r="AC825" s="1" t="s">
        <v>18</v>
      </c>
      <c r="AD825" s="1">
        <v>25</v>
      </c>
      <c r="AE825" s="1">
        <v>19</v>
      </c>
      <c r="AF825" s="1">
        <v>0.76</v>
      </c>
      <c r="AG825" s="1">
        <v>0.81</v>
      </c>
      <c r="AH825" s="1">
        <v>0</v>
      </c>
      <c r="AI825" s="1">
        <v>0</v>
      </c>
      <c r="AJ825" s="1">
        <f t="shared" si="67"/>
        <v>0</v>
      </c>
      <c r="AK825" s="1">
        <f>D81</f>
        <v>0</v>
      </c>
      <c r="AL825" s="1">
        <f>D87</f>
        <v>0</v>
      </c>
      <c r="AM825" s="1">
        <f t="shared" si="68"/>
        <v>0</v>
      </c>
      <c r="AN825" s="1">
        <f t="shared" si="69"/>
        <v>0</v>
      </c>
      <c r="AO825" s="1">
        <f t="shared" si="70"/>
        <v>0</v>
      </c>
      <c r="AP825" t="b" cm="1">
        <f t="array" ref="AP825">INDEX($AU$8:$BB$25,6*(R825-1)+MATCH(AB825,$AS$8:$AS$13,0),MATCH(O825,$AU$7:$BB$7,0))</f>
        <v>1</v>
      </c>
    </row>
    <row r="826" spans="15:42" ht="14.25" x14ac:dyDescent="0.45">
      <c r="O826" s="43" t="s">
        <v>35</v>
      </c>
      <c r="P826" s="43">
        <v>2</v>
      </c>
      <c r="Q826" s="43">
        <v>4</v>
      </c>
      <c r="R826" s="43">
        <v>3</v>
      </c>
      <c r="S826" s="45"/>
      <c r="T826" t="b">
        <f>(S824+S825+S826)=T3</f>
        <v>0</v>
      </c>
      <c r="X826" s="1">
        <f t="shared" si="72"/>
        <v>0</v>
      </c>
      <c r="Y826" s="48">
        <v>0</v>
      </c>
      <c r="AA826" s="1">
        <v>2</v>
      </c>
      <c r="AB826" s="1" t="s">
        <v>12</v>
      </c>
      <c r="AC826" s="1" t="s">
        <v>18</v>
      </c>
      <c r="AD826" s="1">
        <v>25</v>
      </c>
      <c r="AE826" s="1">
        <v>19</v>
      </c>
      <c r="AF826" s="1">
        <v>0.76</v>
      </c>
      <c r="AG826" s="1">
        <v>0.81</v>
      </c>
      <c r="AH826" s="1">
        <v>0</v>
      </c>
      <c r="AI826" s="1">
        <v>0</v>
      </c>
      <c r="AJ826" s="1">
        <f t="shared" si="67"/>
        <v>0</v>
      </c>
      <c r="AK826" s="1">
        <f>E81</f>
        <v>0</v>
      </c>
      <c r="AL826" s="1">
        <f>E87</f>
        <v>0</v>
      </c>
      <c r="AM826" s="1">
        <f t="shared" si="68"/>
        <v>0</v>
      </c>
      <c r="AN826" s="1">
        <f t="shared" si="69"/>
        <v>0</v>
      </c>
      <c r="AO826" s="1">
        <f t="shared" si="70"/>
        <v>0</v>
      </c>
      <c r="AP826" t="b" cm="1">
        <f t="array" ref="AP826">INDEX($AU$8:$BB$25,6*(R826-1)+MATCH(AB826,$AS$8:$AS$13,0),MATCH(O826,$AU$7:$BB$7,0))</f>
        <v>1</v>
      </c>
    </row>
    <row r="827" spans="15:42" ht="14.25" x14ac:dyDescent="0.45">
      <c r="O827" s="43" t="s">
        <v>35</v>
      </c>
      <c r="P827" s="43">
        <v>2</v>
      </c>
      <c r="Q827" s="43">
        <v>5</v>
      </c>
      <c r="R827" s="43">
        <v>1</v>
      </c>
      <c r="S827" s="45"/>
      <c r="T827" t="b">
        <f>(S827+S828+S829)=T3</f>
        <v>0</v>
      </c>
      <c r="X827" s="1">
        <f t="shared" si="72"/>
        <v>0</v>
      </c>
      <c r="Y827" s="48">
        <v>0</v>
      </c>
      <c r="AA827" s="1">
        <v>3</v>
      </c>
      <c r="AB827" s="1" t="s">
        <v>12</v>
      </c>
      <c r="AC827" s="1" t="s">
        <v>18</v>
      </c>
      <c r="AD827" s="1">
        <v>15</v>
      </c>
      <c r="AE827" s="1">
        <v>11</v>
      </c>
      <c r="AF827" s="1">
        <v>0.76</v>
      </c>
      <c r="AG827" s="1">
        <v>0.81</v>
      </c>
      <c r="AH827" s="1">
        <v>0</v>
      </c>
      <c r="AI827" s="1">
        <v>0</v>
      </c>
      <c r="AJ827" s="1">
        <f t="shared" si="67"/>
        <v>0</v>
      </c>
      <c r="AK827" s="1">
        <f>C81</f>
        <v>0</v>
      </c>
      <c r="AL827" s="1">
        <f>C87</f>
        <v>0</v>
      </c>
      <c r="AM827" s="1">
        <f t="shared" si="68"/>
        <v>0</v>
      </c>
      <c r="AN827" s="1">
        <f t="shared" si="69"/>
        <v>0</v>
      </c>
      <c r="AO827" s="1">
        <f t="shared" si="70"/>
        <v>0</v>
      </c>
      <c r="AP827" t="b" cm="1">
        <f t="array" ref="AP827">INDEX($AU$8:$BB$25,6*(R827-1)+MATCH(AB827,$AS$8:$AS$13,0),MATCH(O827,$AU$7:$BB$7,0))</f>
        <v>1</v>
      </c>
    </row>
    <row r="828" spans="15:42" ht="14.25" x14ac:dyDescent="0.45">
      <c r="O828" s="43" t="s">
        <v>35</v>
      </c>
      <c r="P828" s="43">
        <v>2</v>
      </c>
      <c r="Q828" s="43">
        <v>5</v>
      </c>
      <c r="R828" s="43">
        <v>2</v>
      </c>
      <c r="S828" s="45"/>
      <c r="T828" t="b">
        <f>(S827+S828+S829)=T3</f>
        <v>0</v>
      </c>
      <c r="X828" s="1">
        <f t="shared" si="72"/>
        <v>0</v>
      </c>
      <c r="Y828" s="48">
        <v>0</v>
      </c>
      <c r="AA828" s="1">
        <v>3</v>
      </c>
      <c r="AB828" s="1" t="s">
        <v>12</v>
      </c>
      <c r="AC828" s="1" t="s">
        <v>18</v>
      </c>
      <c r="AD828" s="1">
        <v>15</v>
      </c>
      <c r="AE828" s="1">
        <v>11</v>
      </c>
      <c r="AF828" s="1">
        <v>0.76</v>
      </c>
      <c r="AG828" s="1">
        <v>0.81</v>
      </c>
      <c r="AH828" s="1">
        <v>0</v>
      </c>
      <c r="AI828" s="1">
        <v>0</v>
      </c>
      <c r="AJ828" s="1">
        <f t="shared" si="67"/>
        <v>0</v>
      </c>
      <c r="AK828" s="1">
        <f>D81</f>
        <v>0</v>
      </c>
      <c r="AL828" s="1">
        <f>D87</f>
        <v>0</v>
      </c>
      <c r="AM828" s="1">
        <f t="shared" si="68"/>
        <v>0</v>
      </c>
      <c r="AN828" s="1">
        <f t="shared" si="69"/>
        <v>0</v>
      </c>
      <c r="AO828" s="1">
        <f t="shared" si="70"/>
        <v>0</v>
      </c>
      <c r="AP828" t="b" cm="1">
        <f t="array" ref="AP828">INDEX($AU$8:$BB$25,6*(R828-1)+MATCH(AB828,$AS$8:$AS$13,0),MATCH(O828,$AU$7:$BB$7,0))</f>
        <v>1</v>
      </c>
    </row>
    <row r="829" spans="15:42" ht="14.25" x14ac:dyDescent="0.45">
      <c r="O829" s="43" t="s">
        <v>35</v>
      </c>
      <c r="P829" s="43">
        <v>2</v>
      </c>
      <c r="Q829" s="43">
        <v>5</v>
      </c>
      <c r="R829" s="43">
        <v>3</v>
      </c>
      <c r="S829" s="45"/>
      <c r="T829" t="b">
        <f>(S827+S828+S829)=T3</f>
        <v>0</v>
      </c>
      <c r="X829" s="1">
        <f t="shared" si="72"/>
        <v>0</v>
      </c>
      <c r="Y829" s="48">
        <v>0</v>
      </c>
      <c r="AA829" s="1">
        <v>3</v>
      </c>
      <c r="AB829" s="1" t="s">
        <v>12</v>
      </c>
      <c r="AC829" s="1" t="s">
        <v>18</v>
      </c>
      <c r="AD829" s="1">
        <v>15</v>
      </c>
      <c r="AE829" s="1">
        <v>11</v>
      </c>
      <c r="AF829" s="1">
        <v>0.76</v>
      </c>
      <c r="AG829" s="1">
        <v>0.81</v>
      </c>
      <c r="AH829" s="1">
        <v>0</v>
      </c>
      <c r="AI829" s="1">
        <v>0</v>
      </c>
      <c r="AJ829" s="1">
        <f t="shared" si="67"/>
        <v>0</v>
      </c>
      <c r="AK829" s="1">
        <f>E81</f>
        <v>0</v>
      </c>
      <c r="AL829" s="1">
        <f>E87</f>
        <v>0</v>
      </c>
      <c r="AM829" s="1">
        <f t="shared" si="68"/>
        <v>0</v>
      </c>
      <c r="AN829" s="1">
        <f t="shared" si="69"/>
        <v>0</v>
      </c>
      <c r="AO829" s="1">
        <f t="shared" si="70"/>
        <v>0</v>
      </c>
      <c r="AP829" t="b" cm="1">
        <f t="array" ref="AP829">INDEX($AU$8:$BB$25,6*(R829-1)+MATCH(AB829,$AS$8:$AS$13,0),MATCH(O829,$AU$7:$BB$7,0))</f>
        <v>1</v>
      </c>
    </row>
    <row r="830" spans="15:42" ht="14.25" x14ac:dyDescent="0.45">
      <c r="O830" s="43" t="s">
        <v>35</v>
      </c>
      <c r="P830" s="43">
        <v>2</v>
      </c>
      <c r="Q830" s="43">
        <v>6</v>
      </c>
      <c r="R830" s="43">
        <v>1</v>
      </c>
      <c r="S830" s="45"/>
      <c r="T830" t="b">
        <f>(S830+S831+S832)=T3</f>
        <v>0</v>
      </c>
      <c r="X830" s="1">
        <f t="shared" si="72"/>
        <v>0</v>
      </c>
      <c r="Y830" s="48">
        <v>0</v>
      </c>
      <c r="AA830" s="1">
        <v>5</v>
      </c>
      <c r="AB830" s="1" t="s">
        <v>16</v>
      </c>
      <c r="AC830" s="1" t="s">
        <v>22</v>
      </c>
      <c r="AD830" s="1">
        <v>16</v>
      </c>
      <c r="AE830" s="1">
        <v>14</v>
      </c>
      <c r="AF830" s="1">
        <v>0.8</v>
      </c>
      <c r="AG830" s="1">
        <v>0.9</v>
      </c>
      <c r="AH830" s="1">
        <v>0</v>
      </c>
      <c r="AI830" s="1">
        <v>0</v>
      </c>
      <c r="AJ830" s="1">
        <f t="shared" si="67"/>
        <v>0</v>
      </c>
      <c r="AK830" s="1">
        <f>C85</f>
        <v>0</v>
      </c>
      <c r="AL830" s="1">
        <f>C91</f>
        <v>0</v>
      </c>
      <c r="AM830" s="1">
        <f t="shared" si="68"/>
        <v>0</v>
      </c>
      <c r="AN830" s="1">
        <f t="shared" si="69"/>
        <v>0</v>
      </c>
      <c r="AO830" s="1">
        <f t="shared" si="70"/>
        <v>0</v>
      </c>
      <c r="AP830" t="b" cm="1">
        <f t="array" ref="AP830">INDEX($AU$8:$BB$25,6*(R830-1)+MATCH(AB830,$AS$8:$AS$13,0),MATCH(O830,$AU$7:$BB$7,0))</f>
        <v>1</v>
      </c>
    </row>
    <row r="831" spans="15:42" ht="14.25" x14ac:dyDescent="0.45">
      <c r="O831" s="43" t="s">
        <v>35</v>
      </c>
      <c r="P831" s="43">
        <v>2</v>
      </c>
      <c r="Q831" s="43">
        <v>6</v>
      </c>
      <c r="R831" s="43">
        <v>2</v>
      </c>
      <c r="S831" s="45"/>
      <c r="T831" t="b">
        <f>(S830+S831+S832)=T3</f>
        <v>0</v>
      </c>
      <c r="X831" s="1">
        <f t="shared" si="72"/>
        <v>0</v>
      </c>
      <c r="Y831" s="48">
        <v>0</v>
      </c>
      <c r="AA831" s="1">
        <v>5</v>
      </c>
      <c r="AB831" s="1" t="s">
        <v>16</v>
      </c>
      <c r="AC831" s="1" t="s">
        <v>22</v>
      </c>
      <c r="AD831" s="1">
        <v>16</v>
      </c>
      <c r="AE831" s="1">
        <v>14</v>
      </c>
      <c r="AF831" s="1">
        <v>0.8</v>
      </c>
      <c r="AG831" s="1">
        <v>0.9</v>
      </c>
      <c r="AH831" s="1">
        <v>0</v>
      </c>
      <c r="AI831" s="1">
        <v>0</v>
      </c>
      <c r="AJ831" s="1">
        <f t="shared" si="67"/>
        <v>0</v>
      </c>
      <c r="AK831" s="1">
        <f>D85</f>
        <v>0</v>
      </c>
      <c r="AL831" s="1">
        <f>D91</f>
        <v>0</v>
      </c>
      <c r="AM831" s="1">
        <f t="shared" si="68"/>
        <v>0</v>
      </c>
      <c r="AN831" s="1">
        <f t="shared" si="69"/>
        <v>0</v>
      </c>
      <c r="AO831" s="1">
        <f t="shared" si="70"/>
        <v>0</v>
      </c>
      <c r="AP831" t="b" cm="1">
        <f t="array" ref="AP831">INDEX($AU$8:$BB$25,6*(R831-1)+MATCH(AB831,$AS$8:$AS$13,0),MATCH(O831,$AU$7:$BB$7,0))</f>
        <v>1</v>
      </c>
    </row>
    <row r="832" spans="15:42" ht="14.25" x14ac:dyDescent="0.45">
      <c r="O832" s="43" t="s">
        <v>35</v>
      </c>
      <c r="P832" s="43">
        <v>2</v>
      </c>
      <c r="Q832" s="43">
        <v>6</v>
      </c>
      <c r="R832" s="43">
        <v>3</v>
      </c>
      <c r="S832" s="45"/>
      <c r="T832" t="b">
        <f>(S830+S831+S832)=T3</f>
        <v>0</v>
      </c>
      <c r="X832" s="1">
        <f t="shared" si="72"/>
        <v>0</v>
      </c>
      <c r="Y832" s="48">
        <v>0</v>
      </c>
      <c r="AA832" s="1">
        <v>5</v>
      </c>
      <c r="AB832" s="1" t="s">
        <v>16</v>
      </c>
      <c r="AC832" s="1" t="s">
        <v>22</v>
      </c>
      <c r="AD832" s="1">
        <v>16</v>
      </c>
      <c r="AE832" s="1">
        <v>14</v>
      </c>
      <c r="AF832" s="1">
        <v>0.8</v>
      </c>
      <c r="AG832" s="1">
        <v>0.9</v>
      </c>
      <c r="AH832" s="1">
        <v>0</v>
      </c>
      <c r="AI832" s="1">
        <v>0</v>
      </c>
      <c r="AJ832" s="1">
        <f t="shared" si="67"/>
        <v>0</v>
      </c>
      <c r="AK832" s="1">
        <f>E85</f>
        <v>0</v>
      </c>
      <c r="AL832" s="1">
        <f>E91</f>
        <v>0</v>
      </c>
      <c r="AM832" s="1">
        <f t="shared" si="68"/>
        <v>0</v>
      </c>
      <c r="AN832" s="1">
        <f t="shared" si="69"/>
        <v>0</v>
      </c>
      <c r="AO832" s="1">
        <f t="shared" si="70"/>
        <v>0</v>
      </c>
      <c r="AP832" t="b" cm="1">
        <f t="array" ref="AP832">INDEX($AU$8:$BB$25,6*(R832-1)+MATCH(AB832,$AS$8:$AS$13,0),MATCH(O832,$AU$7:$BB$7,0))</f>
        <v>1</v>
      </c>
    </row>
    <row r="833" spans="15:42" ht="14.25" x14ac:dyDescent="0.45">
      <c r="O833" s="43" t="s">
        <v>35</v>
      </c>
      <c r="P833" s="43">
        <v>2</v>
      </c>
      <c r="Q833" s="43">
        <v>7</v>
      </c>
      <c r="R833" s="43">
        <v>1</v>
      </c>
      <c r="S833" s="45"/>
      <c r="T833" t="b">
        <f>(S833+S834+S835)=T3</f>
        <v>0</v>
      </c>
      <c r="X833" s="1">
        <f t="shared" si="72"/>
        <v>0</v>
      </c>
      <c r="Y833" s="48">
        <v>0</v>
      </c>
      <c r="AA833" s="1">
        <v>4</v>
      </c>
      <c r="AB833" s="1" t="s">
        <v>16</v>
      </c>
      <c r="AC833" s="1" t="s">
        <v>22</v>
      </c>
      <c r="AD833" s="1">
        <v>17</v>
      </c>
      <c r="AE833" s="1">
        <v>15</v>
      </c>
      <c r="AF833" s="1">
        <v>0.8</v>
      </c>
      <c r="AG833" s="1">
        <v>0.9</v>
      </c>
      <c r="AH833" s="1">
        <v>0</v>
      </c>
      <c r="AI833" s="1">
        <v>0</v>
      </c>
      <c r="AJ833" s="1">
        <f t="shared" si="67"/>
        <v>0</v>
      </c>
      <c r="AK833" s="1">
        <f>C85</f>
        <v>0</v>
      </c>
      <c r="AL833" s="1">
        <f>C91</f>
        <v>0</v>
      </c>
      <c r="AM833" s="1">
        <f t="shared" si="68"/>
        <v>0</v>
      </c>
      <c r="AN833" s="1">
        <f t="shared" si="69"/>
        <v>0</v>
      </c>
      <c r="AO833" s="1">
        <f t="shared" si="70"/>
        <v>0</v>
      </c>
      <c r="AP833" t="b" cm="1">
        <f t="array" ref="AP833">INDEX($AU$8:$BB$25,6*(R833-1)+MATCH(AB833,$AS$8:$AS$13,0),MATCH(O833,$AU$7:$BB$7,0))</f>
        <v>1</v>
      </c>
    </row>
    <row r="834" spans="15:42" ht="14.25" x14ac:dyDescent="0.45">
      <c r="O834" s="43" t="s">
        <v>35</v>
      </c>
      <c r="P834" s="43">
        <v>2</v>
      </c>
      <c r="Q834" s="43">
        <v>7</v>
      </c>
      <c r="R834" s="43">
        <v>2</v>
      </c>
      <c r="S834" s="45"/>
      <c r="T834" t="b">
        <f>(S833+S834+S835)=T3</f>
        <v>0</v>
      </c>
      <c r="X834" s="1">
        <f t="shared" si="72"/>
        <v>0</v>
      </c>
      <c r="Y834" s="48">
        <v>0</v>
      </c>
      <c r="AA834" s="1">
        <v>4</v>
      </c>
      <c r="AB834" s="1" t="s">
        <v>16</v>
      </c>
      <c r="AC834" s="1" t="s">
        <v>22</v>
      </c>
      <c r="AD834" s="1">
        <v>17</v>
      </c>
      <c r="AE834" s="1">
        <v>15</v>
      </c>
      <c r="AF834" s="1">
        <v>0.8</v>
      </c>
      <c r="AG834" s="1">
        <v>0.9</v>
      </c>
      <c r="AH834" s="1">
        <v>0</v>
      </c>
      <c r="AI834" s="1">
        <v>0</v>
      </c>
      <c r="AJ834" s="1">
        <f t="shared" si="67"/>
        <v>0</v>
      </c>
      <c r="AK834" s="1">
        <f>D85</f>
        <v>0</v>
      </c>
      <c r="AL834" s="1">
        <f>D91</f>
        <v>0</v>
      </c>
      <c r="AM834" s="1">
        <f t="shared" si="68"/>
        <v>0</v>
      </c>
      <c r="AN834" s="1">
        <f t="shared" si="69"/>
        <v>0</v>
      </c>
      <c r="AO834" s="1">
        <f t="shared" si="70"/>
        <v>0</v>
      </c>
      <c r="AP834" t="b" cm="1">
        <f t="array" ref="AP834">INDEX($AU$8:$BB$25,6*(R834-1)+MATCH(AB834,$AS$8:$AS$13,0),MATCH(O834,$AU$7:$BB$7,0))</f>
        <v>1</v>
      </c>
    </row>
    <row r="835" spans="15:42" ht="14.25" x14ac:dyDescent="0.45">
      <c r="O835" s="43" t="s">
        <v>35</v>
      </c>
      <c r="P835" s="43">
        <v>2</v>
      </c>
      <c r="Q835" s="43">
        <v>7</v>
      </c>
      <c r="R835" s="43">
        <v>3</v>
      </c>
      <c r="S835" s="45"/>
      <c r="T835" t="b">
        <f>(S833+S834+S835)=T3</f>
        <v>0</v>
      </c>
      <c r="X835" s="1">
        <f t="shared" si="72"/>
        <v>0</v>
      </c>
      <c r="Y835" s="48">
        <v>0</v>
      </c>
      <c r="AA835" s="1">
        <v>4</v>
      </c>
      <c r="AB835" s="1" t="s">
        <v>16</v>
      </c>
      <c r="AC835" s="1" t="s">
        <v>22</v>
      </c>
      <c r="AD835" s="1">
        <v>17</v>
      </c>
      <c r="AE835" s="1">
        <v>15</v>
      </c>
      <c r="AF835" s="1">
        <v>0.8</v>
      </c>
      <c r="AG835" s="1">
        <v>0.9</v>
      </c>
      <c r="AH835" s="1">
        <v>0</v>
      </c>
      <c r="AI835" s="1">
        <v>0</v>
      </c>
      <c r="AJ835" s="1">
        <f t="shared" si="67"/>
        <v>0</v>
      </c>
      <c r="AK835" s="1">
        <f>E85</f>
        <v>0</v>
      </c>
      <c r="AL835" s="1">
        <f>E91</f>
        <v>0</v>
      </c>
      <c r="AM835" s="1">
        <f t="shared" si="68"/>
        <v>0</v>
      </c>
      <c r="AN835" s="1">
        <f t="shared" si="69"/>
        <v>0</v>
      </c>
      <c r="AO835" s="1">
        <f t="shared" si="70"/>
        <v>0</v>
      </c>
      <c r="AP835" t="b" cm="1">
        <f t="array" ref="AP835">INDEX($AU$8:$BB$25,6*(R835-1)+MATCH(AB835,$AS$8:$AS$13,0),MATCH(O835,$AU$7:$BB$7,0))</f>
        <v>1</v>
      </c>
    </row>
    <row r="836" spans="15:42" ht="14.25" x14ac:dyDescent="0.45">
      <c r="O836" s="43" t="s">
        <v>35</v>
      </c>
      <c r="P836" s="43">
        <v>2</v>
      </c>
      <c r="Q836" s="43">
        <v>8</v>
      </c>
      <c r="R836" s="43">
        <v>1</v>
      </c>
      <c r="S836" s="45"/>
      <c r="T836" t="b">
        <f>(S836+S837+S838)=T3</f>
        <v>0</v>
      </c>
      <c r="X836" s="1">
        <f t="shared" si="72"/>
        <v>0</v>
      </c>
      <c r="Y836" s="48">
        <v>0</v>
      </c>
      <c r="AA836" s="1">
        <v>4</v>
      </c>
      <c r="AB836" s="1" t="s">
        <v>12</v>
      </c>
      <c r="AC836" s="1" t="s">
        <v>18</v>
      </c>
      <c r="AD836" s="1">
        <v>22</v>
      </c>
      <c r="AE836" s="1">
        <v>16</v>
      </c>
      <c r="AF836" s="1">
        <v>0.76</v>
      </c>
      <c r="AG836" s="1">
        <v>0.81</v>
      </c>
      <c r="AH836" s="1">
        <v>0</v>
      </c>
      <c r="AI836" s="1">
        <v>0</v>
      </c>
      <c r="AJ836" s="1">
        <f t="shared" si="67"/>
        <v>0</v>
      </c>
      <c r="AK836" s="1">
        <f>C81</f>
        <v>0</v>
      </c>
      <c r="AL836" s="1">
        <f>C87</f>
        <v>0</v>
      </c>
      <c r="AM836" s="1">
        <f t="shared" si="68"/>
        <v>0</v>
      </c>
      <c r="AN836" s="1">
        <f t="shared" si="69"/>
        <v>0</v>
      </c>
      <c r="AO836" s="1">
        <f t="shared" si="70"/>
        <v>0</v>
      </c>
      <c r="AP836" t="b" cm="1">
        <f t="array" ref="AP836">INDEX($AU$8:$BB$25,6*(R836-1)+MATCH(AB836,$AS$8:$AS$13,0),MATCH(O836,$AU$7:$BB$7,0))</f>
        <v>1</v>
      </c>
    </row>
    <row r="837" spans="15:42" ht="14.25" x14ac:dyDescent="0.45">
      <c r="O837" s="43" t="s">
        <v>35</v>
      </c>
      <c r="P837" s="43">
        <v>2</v>
      </c>
      <c r="Q837" s="43">
        <v>8</v>
      </c>
      <c r="R837" s="43">
        <v>2</v>
      </c>
      <c r="S837" s="45"/>
      <c r="T837" t="b">
        <f>(S836+S837+S838)=T3</f>
        <v>0</v>
      </c>
      <c r="X837" s="1">
        <f t="shared" si="72"/>
        <v>0</v>
      </c>
      <c r="Y837" s="48">
        <v>0</v>
      </c>
      <c r="AA837" s="1">
        <v>4</v>
      </c>
      <c r="AB837" s="1" t="s">
        <v>12</v>
      </c>
      <c r="AC837" s="1" t="s">
        <v>18</v>
      </c>
      <c r="AD837" s="1">
        <v>22</v>
      </c>
      <c r="AE837" s="1">
        <v>16</v>
      </c>
      <c r="AF837" s="1">
        <v>0.76</v>
      </c>
      <c r="AG837" s="1">
        <v>0.81</v>
      </c>
      <c r="AH837" s="1">
        <v>0</v>
      </c>
      <c r="AI837" s="1">
        <v>0</v>
      </c>
      <c r="AJ837" s="1">
        <f t="shared" si="67"/>
        <v>0</v>
      </c>
      <c r="AK837" s="1">
        <f>D81</f>
        <v>0</v>
      </c>
      <c r="AL837" s="1">
        <f>D87</f>
        <v>0</v>
      </c>
      <c r="AM837" s="1">
        <f t="shared" si="68"/>
        <v>0</v>
      </c>
      <c r="AN837" s="1">
        <f t="shared" si="69"/>
        <v>0</v>
      </c>
      <c r="AO837" s="1">
        <f t="shared" si="70"/>
        <v>0</v>
      </c>
      <c r="AP837" t="b" cm="1">
        <f t="array" ref="AP837">INDEX($AU$8:$BB$25,6*(R837-1)+MATCH(AB837,$AS$8:$AS$13,0),MATCH(O837,$AU$7:$BB$7,0))</f>
        <v>1</v>
      </c>
    </row>
    <row r="838" spans="15:42" ht="14.25" x14ac:dyDescent="0.45">
      <c r="O838" s="43" t="s">
        <v>35</v>
      </c>
      <c r="P838" s="43">
        <v>2</v>
      </c>
      <c r="Q838" s="43">
        <v>8</v>
      </c>
      <c r="R838" s="43">
        <v>3</v>
      </c>
      <c r="S838" s="45"/>
      <c r="T838" t="b">
        <f>(S836+S837+S838)=T3</f>
        <v>0</v>
      </c>
      <c r="X838" s="1">
        <f t="shared" si="72"/>
        <v>0</v>
      </c>
      <c r="Y838" s="48">
        <v>0</v>
      </c>
      <c r="AA838" s="1">
        <v>4</v>
      </c>
      <c r="AB838" s="1" t="s">
        <v>12</v>
      </c>
      <c r="AC838" s="1" t="s">
        <v>18</v>
      </c>
      <c r="AD838" s="1">
        <v>22</v>
      </c>
      <c r="AE838" s="1">
        <v>16</v>
      </c>
      <c r="AF838" s="1">
        <v>0.76</v>
      </c>
      <c r="AG838" s="1">
        <v>0.81</v>
      </c>
      <c r="AH838" s="1">
        <v>0</v>
      </c>
      <c r="AI838" s="1">
        <v>0</v>
      </c>
      <c r="AJ838" s="1">
        <f t="shared" si="67"/>
        <v>0</v>
      </c>
      <c r="AK838" s="1">
        <f>E81</f>
        <v>0</v>
      </c>
      <c r="AL838" s="1">
        <f>E87</f>
        <v>0</v>
      </c>
      <c r="AM838" s="1">
        <f t="shared" si="68"/>
        <v>0</v>
      </c>
      <c r="AN838" s="1">
        <f t="shared" si="69"/>
        <v>0</v>
      </c>
      <c r="AO838" s="1">
        <f t="shared" si="70"/>
        <v>0</v>
      </c>
      <c r="AP838" t="b" cm="1">
        <f t="array" ref="AP838">INDEX($AU$8:$BB$25,6*(R838-1)+MATCH(AB838,$AS$8:$AS$13,0),MATCH(O838,$AU$7:$BB$7,0))</f>
        <v>1</v>
      </c>
    </row>
    <row r="839" spans="15:42" ht="14.25" x14ac:dyDescent="0.45">
      <c r="O839" s="43" t="s">
        <v>35</v>
      </c>
      <c r="P839" s="43">
        <v>2</v>
      </c>
      <c r="Q839" s="43">
        <v>9</v>
      </c>
      <c r="R839" s="43">
        <v>1</v>
      </c>
      <c r="S839" s="45"/>
      <c r="T839" t="b">
        <f>(S839+S840+S841)=T3</f>
        <v>0</v>
      </c>
      <c r="X839" s="1">
        <f t="shared" si="72"/>
        <v>0</v>
      </c>
      <c r="Y839" s="48">
        <v>0</v>
      </c>
      <c r="AA839" s="1">
        <v>4</v>
      </c>
      <c r="AB839" s="1" t="s">
        <v>15</v>
      </c>
      <c r="AC839" s="1" t="s">
        <v>21</v>
      </c>
      <c r="AD839" s="1">
        <v>7</v>
      </c>
      <c r="AE839" s="1">
        <v>6</v>
      </c>
      <c r="AF839" s="1">
        <v>0.76</v>
      </c>
      <c r="AG839" s="1">
        <v>0.84</v>
      </c>
      <c r="AH839" s="1">
        <v>0</v>
      </c>
      <c r="AI839" s="1">
        <v>0</v>
      </c>
      <c r="AJ839" s="1">
        <f t="shared" si="67"/>
        <v>0</v>
      </c>
      <c r="AK839" s="1">
        <f>C84</f>
        <v>0</v>
      </c>
      <c r="AL839" s="1">
        <f>C90</f>
        <v>0</v>
      </c>
      <c r="AM839" s="1">
        <f t="shared" si="68"/>
        <v>0</v>
      </c>
      <c r="AN839" s="1">
        <f t="shared" si="69"/>
        <v>0</v>
      </c>
      <c r="AO839" s="1">
        <f t="shared" si="70"/>
        <v>0</v>
      </c>
      <c r="AP839" t="b" cm="1">
        <f t="array" ref="AP839">INDEX($AU$8:$BB$25,6*(R839-1)+MATCH(AB839,$AS$8:$AS$13,0),MATCH(O839,$AU$7:$BB$7,0))</f>
        <v>1</v>
      </c>
    </row>
    <row r="840" spans="15:42" ht="14.25" x14ac:dyDescent="0.45">
      <c r="O840" s="43" t="s">
        <v>35</v>
      </c>
      <c r="P840" s="43">
        <v>2</v>
      </c>
      <c r="Q840" s="43">
        <v>9</v>
      </c>
      <c r="R840" s="43">
        <v>2</v>
      </c>
      <c r="S840" s="45"/>
      <c r="T840" t="b">
        <f>(S839+S840+S841)=T3</f>
        <v>0</v>
      </c>
      <c r="X840" s="1">
        <f t="shared" si="72"/>
        <v>0</v>
      </c>
      <c r="Y840" s="48">
        <v>0</v>
      </c>
      <c r="AA840" s="1">
        <v>4</v>
      </c>
      <c r="AB840" s="1" t="s">
        <v>15</v>
      </c>
      <c r="AC840" s="1" t="s">
        <v>21</v>
      </c>
      <c r="AD840" s="1">
        <v>7</v>
      </c>
      <c r="AE840" s="1">
        <v>6</v>
      </c>
      <c r="AF840" s="1">
        <v>0.76</v>
      </c>
      <c r="AG840" s="1">
        <v>0.84</v>
      </c>
      <c r="AH840" s="1">
        <v>0</v>
      </c>
      <c r="AI840" s="1">
        <v>0</v>
      </c>
      <c r="AJ840" s="1">
        <f t="shared" si="67"/>
        <v>0</v>
      </c>
      <c r="AK840" s="1">
        <f>D84</f>
        <v>0</v>
      </c>
      <c r="AL840" s="1">
        <f>D90</f>
        <v>0</v>
      </c>
      <c r="AM840" s="1">
        <f t="shared" si="68"/>
        <v>0</v>
      </c>
      <c r="AN840" s="1">
        <f t="shared" si="69"/>
        <v>0</v>
      </c>
      <c r="AO840" s="1">
        <f t="shared" si="70"/>
        <v>0</v>
      </c>
      <c r="AP840" t="b" cm="1">
        <f t="array" ref="AP840">INDEX($AU$8:$BB$25,6*(R840-1)+MATCH(AB840,$AS$8:$AS$13,0),MATCH(O840,$AU$7:$BB$7,0))</f>
        <v>1</v>
      </c>
    </row>
    <row r="841" spans="15:42" ht="14.25" x14ac:dyDescent="0.45">
      <c r="O841" s="43" t="s">
        <v>35</v>
      </c>
      <c r="P841" s="43">
        <v>2</v>
      </c>
      <c r="Q841" s="43">
        <v>9</v>
      </c>
      <c r="R841" s="43">
        <v>3</v>
      </c>
      <c r="S841" s="45"/>
      <c r="T841" t="b">
        <f>(S839+S840+S841)=T3</f>
        <v>0</v>
      </c>
      <c r="X841" s="1">
        <f t="shared" si="72"/>
        <v>0</v>
      </c>
      <c r="Y841" s="48">
        <v>0</v>
      </c>
      <c r="AA841" s="1">
        <v>4</v>
      </c>
      <c r="AB841" s="1" t="s">
        <v>15</v>
      </c>
      <c r="AC841" s="1" t="s">
        <v>21</v>
      </c>
      <c r="AD841" s="1">
        <v>7</v>
      </c>
      <c r="AE841" s="1">
        <v>6</v>
      </c>
      <c r="AF841" s="1">
        <v>0.76</v>
      </c>
      <c r="AG841" s="1">
        <v>0.84</v>
      </c>
      <c r="AH841" s="1">
        <v>0</v>
      </c>
      <c r="AI841" s="1">
        <v>0</v>
      </c>
      <c r="AJ841" s="1">
        <f t="shared" ref="AJ841:AJ904" si="73">SUMIFS(AH$8:AH$1039,$O$8:$O$1039,O841,$AB$8:$AB$1039,AB841,$R$8:$R$1039,R841,$AA$8:$AA$1039,"&lt;="&amp;AA841)</f>
        <v>0</v>
      </c>
      <c r="AK841" s="1">
        <f>E84</f>
        <v>0</v>
      </c>
      <c r="AL841" s="1">
        <f>E90</f>
        <v>0</v>
      </c>
      <c r="AM841" s="1">
        <f t="shared" ref="AM841:AM904" si="74">MAX(0,AJ841-AK841)</f>
        <v>0</v>
      </c>
      <c r="AN841" s="1">
        <f t="shared" ref="AN841:AN904" si="75">IF(AM841=0,AH841,IF(AM841&gt;=AH841,0,AH841-AM841))</f>
        <v>0</v>
      </c>
      <c r="AO841" s="1">
        <f t="shared" ref="AO841:AO904" si="76">IF(AM841&gt;=AH841,AI841,AI841*AM841/AH841)</f>
        <v>0</v>
      </c>
      <c r="AP841" t="b" cm="1">
        <f t="array" ref="AP841">INDEX($AU$8:$BB$25,6*(R841-1)+MATCH(AB841,$AS$8:$AS$13,0),MATCH(O841,$AU$7:$BB$7,0))</f>
        <v>1</v>
      </c>
    </row>
    <row r="842" spans="15:42" ht="14.25" x14ac:dyDescent="0.45">
      <c r="O842" s="43" t="s">
        <v>35</v>
      </c>
      <c r="P842" s="43">
        <v>2</v>
      </c>
      <c r="Q842" s="43">
        <v>10</v>
      </c>
      <c r="R842" s="43">
        <v>1</v>
      </c>
      <c r="S842" s="45"/>
      <c r="T842" t="b">
        <f>(S842+S843+S844)=T3</f>
        <v>0</v>
      </c>
      <c r="X842" s="1">
        <f t="shared" si="72"/>
        <v>0</v>
      </c>
      <c r="Y842" s="48">
        <v>0</v>
      </c>
      <c r="AA842" s="1">
        <v>6</v>
      </c>
      <c r="AB842" s="1" t="s">
        <v>15</v>
      </c>
      <c r="AC842" s="1" t="s">
        <v>21</v>
      </c>
      <c r="AD842" s="1">
        <v>9</v>
      </c>
      <c r="AE842" s="1">
        <v>7</v>
      </c>
      <c r="AF842" s="1">
        <v>0.76</v>
      </c>
      <c r="AG842" s="1">
        <v>0.84</v>
      </c>
      <c r="AH842" s="1">
        <v>0</v>
      </c>
      <c r="AI842" s="1">
        <v>0</v>
      </c>
      <c r="AJ842" s="1">
        <f t="shared" si="73"/>
        <v>0</v>
      </c>
      <c r="AK842" s="1">
        <f>C84</f>
        <v>0</v>
      </c>
      <c r="AL842" s="1">
        <f>C90</f>
        <v>0</v>
      </c>
      <c r="AM842" s="1">
        <f t="shared" si="74"/>
        <v>0</v>
      </c>
      <c r="AN842" s="1">
        <f t="shared" si="75"/>
        <v>0</v>
      </c>
      <c r="AO842" s="1">
        <f t="shared" si="76"/>
        <v>0</v>
      </c>
      <c r="AP842" t="b" cm="1">
        <f t="array" ref="AP842">INDEX($AU$8:$BB$25,6*(R842-1)+MATCH(AB842,$AS$8:$AS$13,0),MATCH(O842,$AU$7:$BB$7,0))</f>
        <v>1</v>
      </c>
    </row>
    <row r="843" spans="15:42" ht="14.25" x14ac:dyDescent="0.45">
      <c r="O843" s="43" t="s">
        <v>35</v>
      </c>
      <c r="P843" s="43">
        <v>2</v>
      </c>
      <c r="Q843" s="43">
        <v>10</v>
      </c>
      <c r="R843" s="43">
        <v>2</v>
      </c>
      <c r="S843" s="45"/>
      <c r="T843" t="b">
        <f>(S842+S843+S844)=T3</f>
        <v>0</v>
      </c>
      <c r="X843" s="1">
        <f t="shared" si="72"/>
        <v>0</v>
      </c>
      <c r="Y843" s="48">
        <v>0</v>
      </c>
      <c r="AA843" s="1">
        <v>6</v>
      </c>
      <c r="AB843" s="1" t="s">
        <v>15</v>
      </c>
      <c r="AC843" s="1" t="s">
        <v>21</v>
      </c>
      <c r="AD843" s="1">
        <v>9</v>
      </c>
      <c r="AE843" s="1">
        <v>7</v>
      </c>
      <c r="AF843" s="1">
        <v>0.76</v>
      </c>
      <c r="AG843" s="1">
        <v>0.84</v>
      </c>
      <c r="AH843" s="1">
        <v>0</v>
      </c>
      <c r="AI843" s="1">
        <v>0</v>
      </c>
      <c r="AJ843" s="1">
        <f t="shared" si="73"/>
        <v>0</v>
      </c>
      <c r="AK843" s="1">
        <f>D84</f>
        <v>0</v>
      </c>
      <c r="AL843" s="1">
        <f>D90</f>
        <v>0</v>
      </c>
      <c r="AM843" s="1">
        <f t="shared" si="74"/>
        <v>0</v>
      </c>
      <c r="AN843" s="1">
        <f t="shared" si="75"/>
        <v>0</v>
      </c>
      <c r="AO843" s="1">
        <f t="shared" si="76"/>
        <v>0</v>
      </c>
      <c r="AP843" t="b" cm="1">
        <f t="array" ref="AP843">INDEX($AU$8:$BB$25,6*(R843-1)+MATCH(AB843,$AS$8:$AS$13,0),MATCH(O843,$AU$7:$BB$7,0))</f>
        <v>1</v>
      </c>
    </row>
    <row r="844" spans="15:42" ht="14.25" x14ac:dyDescent="0.45">
      <c r="O844" s="43" t="s">
        <v>35</v>
      </c>
      <c r="P844" s="43">
        <v>2</v>
      </c>
      <c r="Q844" s="43">
        <v>10</v>
      </c>
      <c r="R844" s="43">
        <v>3</v>
      </c>
      <c r="S844" s="45"/>
      <c r="T844" t="b">
        <f>(S842+S843+S844)=T3</f>
        <v>0</v>
      </c>
      <c r="X844" s="1">
        <f t="shared" si="72"/>
        <v>0</v>
      </c>
      <c r="Y844" s="48">
        <v>0</v>
      </c>
      <c r="AA844" s="1">
        <v>6</v>
      </c>
      <c r="AB844" s="1" t="s">
        <v>15</v>
      </c>
      <c r="AC844" s="1" t="s">
        <v>21</v>
      </c>
      <c r="AD844" s="1">
        <v>9</v>
      </c>
      <c r="AE844" s="1">
        <v>7</v>
      </c>
      <c r="AF844" s="1">
        <v>0.76</v>
      </c>
      <c r="AG844" s="1">
        <v>0.84</v>
      </c>
      <c r="AH844" s="1">
        <v>0</v>
      </c>
      <c r="AI844" s="1">
        <v>0</v>
      </c>
      <c r="AJ844" s="1">
        <f t="shared" si="73"/>
        <v>0</v>
      </c>
      <c r="AK844" s="1">
        <f>E84</f>
        <v>0</v>
      </c>
      <c r="AL844" s="1">
        <f>E90</f>
        <v>0</v>
      </c>
      <c r="AM844" s="1">
        <f t="shared" si="74"/>
        <v>0</v>
      </c>
      <c r="AN844" s="1">
        <f t="shared" si="75"/>
        <v>0</v>
      </c>
      <c r="AO844" s="1">
        <f t="shared" si="76"/>
        <v>0</v>
      </c>
      <c r="AP844" t="b" cm="1">
        <f t="array" ref="AP844">INDEX($AU$8:$BB$25,6*(R844-1)+MATCH(AB844,$AS$8:$AS$13,0),MATCH(O844,$AU$7:$BB$7,0))</f>
        <v>1</v>
      </c>
    </row>
    <row r="845" spans="15:42" ht="14.25" x14ac:dyDescent="0.45">
      <c r="O845" s="43" t="s">
        <v>35</v>
      </c>
      <c r="P845" s="43">
        <v>2</v>
      </c>
      <c r="Q845" s="43">
        <v>11</v>
      </c>
      <c r="R845" s="43">
        <v>1</v>
      </c>
      <c r="S845" s="45"/>
      <c r="T845" t="b">
        <f>(S845+S846+S847)=T3</f>
        <v>0</v>
      </c>
      <c r="X845" s="1">
        <f t="shared" si="72"/>
        <v>0</v>
      </c>
      <c r="Y845" s="48">
        <v>0</v>
      </c>
      <c r="AA845" s="1">
        <v>2</v>
      </c>
      <c r="AB845" s="1" t="s">
        <v>15</v>
      </c>
      <c r="AC845" s="1" t="s">
        <v>21</v>
      </c>
      <c r="AD845" s="1">
        <v>20</v>
      </c>
      <c r="AE845" s="1">
        <v>19</v>
      </c>
      <c r="AF845" s="1">
        <v>0.76</v>
      </c>
      <c r="AG845" s="1">
        <v>0.84</v>
      </c>
      <c r="AH845" s="1">
        <v>0</v>
      </c>
      <c r="AI845" s="1">
        <v>0</v>
      </c>
      <c r="AJ845" s="1">
        <f t="shared" si="73"/>
        <v>0</v>
      </c>
      <c r="AK845" s="1">
        <f>C84</f>
        <v>0</v>
      </c>
      <c r="AL845" s="1">
        <f>C90</f>
        <v>0</v>
      </c>
      <c r="AM845" s="1">
        <f t="shared" si="74"/>
        <v>0</v>
      </c>
      <c r="AN845" s="1">
        <f t="shared" si="75"/>
        <v>0</v>
      </c>
      <c r="AO845" s="1">
        <f t="shared" si="76"/>
        <v>0</v>
      </c>
      <c r="AP845" t="b" cm="1">
        <f t="array" ref="AP845">INDEX($AU$8:$BB$25,6*(R845-1)+MATCH(AB845,$AS$8:$AS$13,0),MATCH(O845,$AU$7:$BB$7,0))</f>
        <v>1</v>
      </c>
    </row>
    <row r="846" spans="15:42" ht="14.25" x14ac:dyDescent="0.45">
      <c r="O846" s="43" t="s">
        <v>35</v>
      </c>
      <c r="P846" s="43">
        <v>2</v>
      </c>
      <c r="Q846" s="43">
        <v>11</v>
      </c>
      <c r="R846" s="43">
        <v>2</v>
      </c>
      <c r="S846" s="45"/>
      <c r="T846" t="b">
        <f>(S845+S846+S847)=T3</f>
        <v>0</v>
      </c>
      <c r="X846" s="1">
        <f t="shared" si="72"/>
        <v>0</v>
      </c>
      <c r="Y846" s="48">
        <v>0</v>
      </c>
      <c r="AA846" s="1">
        <v>2</v>
      </c>
      <c r="AB846" s="1" t="s">
        <v>15</v>
      </c>
      <c r="AC846" s="1" t="s">
        <v>21</v>
      </c>
      <c r="AD846" s="1">
        <v>20</v>
      </c>
      <c r="AE846" s="1">
        <v>19</v>
      </c>
      <c r="AF846" s="1">
        <v>0.76</v>
      </c>
      <c r="AG846" s="1">
        <v>0.84</v>
      </c>
      <c r="AH846" s="1">
        <v>0</v>
      </c>
      <c r="AI846" s="1">
        <v>0</v>
      </c>
      <c r="AJ846" s="1">
        <f t="shared" si="73"/>
        <v>0</v>
      </c>
      <c r="AK846" s="1">
        <f>D84</f>
        <v>0</v>
      </c>
      <c r="AL846" s="1">
        <f>D90</f>
        <v>0</v>
      </c>
      <c r="AM846" s="1">
        <f t="shared" si="74"/>
        <v>0</v>
      </c>
      <c r="AN846" s="1">
        <f t="shared" si="75"/>
        <v>0</v>
      </c>
      <c r="AO846" s="1">
        <f t="shared" si="76"/>
        <v>0</v>
      </c>
      <c r="AP846" t="b" cm="1">
        <f t="array" ref="AP846">INDEX($AU$8:$BB$25,6*(R846-1)+MATCH(AB846,$AS$8:$AS$13,0),MATCH(O846,$AU$7:$BB$7,0))</f>
        <v>1</v>
      </c>
    </row>
    <row r="847" spans="15:42" ht="14.25" x14ac:dyDescent="0.45">
      <c r="O847" s="43" t="s">
        <v>35</v>
      </c>
      <c r="P847" s="43">
        <v>2</v>
      </c>
      <c r="Q847" s="43">
        <v>11</v>
      </c>
      <c r="R847" s="43">
        <v>3</v>
      </c>
      <c r="S847" s="45"/>
      <c r="T847" t="b">
        <f>(S845+S846+S847)=T3</f>
        <v>0</v>
      </c>
      <c r="X847" s="1">
        <f t="shared" si="72"/>
        <v>0</v>
      </c>
      <c r="Y847" s="48">
        <v>0</v>
      </c>
      <c r="AA847" s="1">
        <v>2</v>
      </c>
      <c r="AB847" s="1" t="s">
        <v>15</v>
      </c>
      <c r="AC847" s="1" t="s">
        <v>21</v>
      </c>
      <c r="AD847" s="1">
        <v>20</v>
      </c>
      <c r="AE847" s="1">
        <v>19</v>
      </c>
      <c r="AF847" s="1">
        <v>0.76</v>
      </c>
      <c r="AG847" s="1">
        <v>0.84</v>
      </c>
      <c r="AH847" s="1">
        <v>0</v>
      </c>
      <c r="AI847" s="1">
        <v>0</v>
      </c>
      <c r="AJ847" s="1">
        <f t="shared" si="73"/>
        <v>0</v>
      </c>
      <c r="AK847" s="1">
        <f>E84</f>
        <v>0</v>
      </c>
      <c r="AL847" s="1">
        <f>E90</f>
        <v>0</v>
      </c>
      <c r="AM847" s="1">
        <f t="shared" si="74"/>
        <v>0</v>
      </c>
      <c r="AN847" s="1">
        <f t="shared" si="75"/>
        <v>0</v>
      </c>
      <c r="AO847" s="1">
        <f t="shared" si="76"/>
        <v>0</v>
      </c>
      <c r="AP847" t="b" cm="1">
        <f t="array" ref="AP847">INDEX($AU$8:$BB$25,6*(R847-1)+MATCH(AB847,$AS$8:$AS$13,0),MATCH(O847,$AU$7:$BB$7,0))</f>
        <v>1</v>
      </c>
    </row>
    <row r="848" spans="15:42" ht="14.25" x14ac:dyDescent="0.45">
      <c r="O848" s="43" t="s">
        <v>35</v>
      </c>
      <c r="P848" s="43">
        <v>2</v>
      </c>
      <c r="Q848" s="43">
        <v>12</v>
      </c>
      <c r="R848" s="43">
        <v>1</v>
      </c>
      <c r="S848" s="45"/>
      <c r="T848" t="b">
        <f>(S848+S849+S850)=T3</f>
        <v>0</v>
      </c>
      <c r="X848" s="1">
        <f t="shared" si="72"/>
        <v>0</v>
      </c>
      <c r="Y848" s="48">
        <v>0</v>
      </c>
      <c r="AA848" s="1">
        <v>7</v>
      </c>
      <c r="AB848" s="1" t="s">
        <v>16</v>
      </c>
      <c r="AC848" s="1" t="s">
        <v>22</v>
      </c>
      <c r="AD848" s="1">
        <v>21</v>
      </c>
      <c r="AE848" s="1">
        <v>18</v>
      </c>
      <c r="AF848" s="1">
        <v>0.8</v>
      </c>
      <c r="AG848" s="1">
        <v>0.9</v>
      </c>
      <c r="AH848" s="1">
        <v>0</v>
      </c>
      <c r="AI848" s="1">
        <v>0</v>
      </c>
      <c r="AJ848" s="1">
        <f t="shared" si="73"/>
        <v>0</v>
      </c>
      <c r="AK848" s="1">
        <f>C85</f>
        <v>0</v>
      </c>
      <c r="AL848" s="1">
        <f>C91</f>
        <v>0</v>
      </c>
      <c r="AM848" s="1">
        <f t="shared" si="74"/>
        <v>0</v>
      </c>
      <c r="AN848" s="1">
        <f t="shared" si="75"/>
        <v>0</v>
      </c>
      <c r="AO848" s="1">
        <f t="shared" si="76"/>
        <v>0</v>
      </c>
      <c r="AP848" t="b" cm="1">
        <f t="array" ref="AP848">INDEX($AU$8:$BB$25,6*(R848-1)+MATCH(AB848,$AS$8:$AS$13,0),MATCH(O848,$AU$7:$BB$7,0))</f>
        <v>1</v>
      </c>
    </row>
    <row r="849" spans="15:42" ht="14.25" x14ac:dyDescent="0.45">
      <c r="O849" s="43" t="s">
        <v>35</v>
      </c>
      <c r="P849" s="43">
        <v>2</v>
      </c>
      <c r="Q849" s="43">
        <v>12</v>
      </c>
      <c r="R849" s="43">
        <v>2</v>
      </c>
      <c r="S849" s="45"/>
      <c r="T849" t="b">
        <f>(S848+S849+S850)=T3</f>
        <v>0</v>
      </c>
      <c r="X849" s="1">
        <f t="shared" si="72"/>
        <v>0</v>
      </c>
      <c r="Y849" s="48">
        <v>0</v>
      </c>
      <c r="AA849" s="1">
        <v>7</v>
      </c>
      <c r="AB849" s="1" t="s">
        <v>16</v>
      </c>
      <c r="AC849" s="1" t="s">
        <v>22</v>
      </c>
      <c r="AD849" s="1">
        <v>21</v>
      </c>
      <c r="AE849" s="1">
        <v>18</v>
      </c>
      <c r="AF849" s="1">
        <v>0.8</v>
      </c>
      <c r="AG849" s="1">
        <v>0.9</v>
      </c>
      <c r="AH849" s="1">
        <v>0</v>
      </c>
      <c r="AI849" s="1">
        <v>0</v>
      </c>
      <c r="AJ849" s="1">
        <f t="shared" si="73"/>
        <v>0</v>
      </c>
      <c r="AK849" s="1">
        <f>D85</f>
        <v>0</v>
      </c>
      <c r="AL849" s="1">
        <f>D91</f>
        <v>0</v>
      </c>
      <c r="AM849" s="1">
        <f t="shared" si="74"/>
        <v>0</v>
      </c>
      <c r="AN849" s="1">
        <f t="shared" si="75"/>
        <v>0</v>
      </c>
      <c r="AO849" s="1">
        <f t="shared" si="76"/>
        <v>0</v>
      </c>
      <c r="AP849" t="b" cm="1">
        <f t="array" ref="AP849">INDEX($AU$8:$BB$25,6*(R849-1)+MATCH(AB849,$AS$8:$AS$13,0),MATCH(O849,$AU$7:$BB$7,0))</f>
        <v>1</v>
      </c>
    </row>
    <row r="850" spans="15:42" ht="14.25" x14ac:dyDescent="0.45">
      <c r="O850" s="43" t="s">
        <v>35</v>
      </c>
      <c r="P850" s="43">
        <v>2</v>
      </c>
      <c r="Q850" s="43">
        <v>12</v>
      </c>
      <c r="R850" s="43">
        <v>3</v>
      </c>
      <c r="S850" s="45"/>
      <c r="T850" t="b">
        <f>(S848+S849+S850)=T3</f>
        <v>0</v>
      </c>
      <c r="X850" s="1">
        <f t="shared" si="72"/>
        <v>0</v>
      </c>
      <c r="Y850" s="48">
        <v>0</v>
      </c>
      <c r="AA850" s="1">
        <v>7</v>
      </c>
      <c r="AB850" s="1" t="s">
        <v>16</v>
      </c>
      <c r="AC850" s="1" t="s">
        <v>22</v>
      </c>
      <c r="AD850" s="1">
        <v>21</v>
      </c>
      <c r="AE850" s="1">
        <v>18</v>
      </c>
      <c r="AF850" s="1">
        <v>0.8</v>
      </c>
      <c r="AG850" s="1">
        <v>0.9</v>
      </c>
      <c r="AH850" s="1">
        <v>0</v>
      </c>
      <c r="AI850" s="1">
        <v>0</v>
      </c>
      <c r="AJ850" s="1">
        <f t="shared" si="73"/>
        <v>0</v>
      </c>
      <c r="AK850" s="1">
        <f>E85</f>
        <v>0</v>
      </c>
      <c r="AL850" s="1">
        <f>E91</f>
        <v>0</v>
      </c>
      <c r="AM850" s="1">
        <f t="shared" si="74"/>
        <v>0</v>
      </c>
      <c r="AN850" s="1">
        <f t="shared" si="75"/>
        <v>0</v>
      </c>
      <c r="AO850" s="1">
        <f t="shared" si="76"/>
        <v>0</v>
      </c>
      <c r="AP850" t="b" cm="1">
        <f t="array" ref="AP850">INDEX($AU$8:$BB$25,6*(R850-1)+MATCH(AB850,$AS$8:$AS$13,0),MATCH(O850,$AU$7:$BB$7,0))</f>
        <v>1</v>
      </c>
    </row>
    <row r="851" spans="15:42" ht="14.25" x14ac:dyDescent="0.45">
      <c r="O851" s="43" t="s">
        <v>35</v>
      </c>
      <c r="P851" s="43">
        <v>2</v>
      </c>
      <c r="Q851" s="43">
        <v>13</v>
      </c>
      <c r="R851" s="43">
        <v>1</v>
      </c>
      <c r="S851" s="45"/>
      <c r="T851" t="b">
        <f>(S851+S852+S853)=T3</f>
        <v>0</v>
      </c>
      <c r="X851" s="1">
        <f t="shared" si="72"/>
        <v>0</v>
      </c>
      <c r="Y851" s="48">
        <v>0</v>
      </c>
      <c r="AA851" s="1">
        <v>8</v>
      </c>
      <c r="AB851" s="1" t="s">
        <v>15</v>
      </c>
      <c r="AC851" s="1" t="s">
        <v>21</v>
      </c>
      <c r="AD851" s="1">
        <v>12</v>
      </c>
      <c r="AE851" s="1">
        <v>9</v>
      </c>
      <c r="AF851" s="1">
        <v>0.76</v>
      </c>
      <c r="AG851" s="1">
        <v>0.84</v>
      </c>
      <c r="AH851" s="1">
        <v>0</v>
      </c>
      <c r="AI851" s="1">
        <v>0</v>
      </c>
      <c r="AJ851" s="1">
        <f t="shared" si="73"/>
        <v>0</v>
      </c>
      <c r="AK851" s="1">
        <f>C84</f>
        <v>0</v>
      </c>
      <c r="AL851" s="1">
        <f>C90</f>
        <v>0</v>
      </c>
      <c r="AM851" s="1">
        <f t="shared" si="74"/>
        <v>0</v>
      </c>
      <c r="AN851" s="1">
        <f t="shared" si="75"/>
        <v>0</v>
      </c>
      <c r="AO851" s="1">
        <f t="shared" si="76"/>
        <v>0</v>
      </c>
      <c r="AP851" t="b" cm="1">
        <f t="array" ref="AP851">INDEX($AU$8:$BB$25,6*(R851-1)+MATCH(AB851,$AS$8:$AS$13,0),MATCH(O851,$AU$7:$BB$7,0))</f>
        <v>1</v>
      </c>
    </row>
    <row r="852" spans="15:42" ht="14.25" x14ac:dyDescent="0.45">
      <c r="O852" s="43" t="s">
        <v>35</v>
      </c>
      <c r="P852" s="43">
        <v>2</v>
      </c>
      <c r="Q852" s="43">
        <v>13</v>
      </c>
      <c r="R852" s="43">
        <v>2</v>
      </c>
      <c r="S852" s="45"/>
      <c r="T852" t="b">
        <f>(S851+S852+S853)=T3</f>
        <v>0</v>
      </c>
      <c r="X852" s="1">
        <f t="shared" si="72"/>
        <v>0</v>
      </c>
      <c r="Y852" s="48">
        <v>0</v>
      </c>
      <c r="AA852" s="1">
        <v>8</v>
      </c>
      <c r="AB852" s="1" t="s">
        <v>15</v>
      </c>
      <c r="AC852" s="1" t="s">
        <v>21</v>
      </c>
      <c r="AD852" s="1">
        <v>12</v>
      </c>
      <c r="AE852" s="1">
        <v>9</v>
      </c>
      <c r="AF852" s="1">
        <v>0.76</v>
      </c>
      <c r="AG852" s="1">
        <v>0.84</v>
      </c>
      <c r="AH852" s="1">
        <v>0</v>
      </c>
      <c r="AI852" s="1">
        <v>0</v>
      </c>
      <c r="AJ852" s="1">
        <f t="shared" si="73"/>
        <v>0</v>
      </c>
      <c r="AK852" s="1">
        <f>D84</f>
        <v>0</v>
      </c>
      <c r="AL852" s="1">
        <f>D90</f>
        <v>0</v>
      </c>
      <c r="AM852" s="1">
        <f t="shared" si="74"/>
        <v>0</v>
      </c>
      <c r="AN852" s="1">
        <f t="shared" si="75"/>
        <v>0</v>
      </c>
      <c r="AO852" s="1">
        <f t="shared" si="76"/>
        <v>0</v>
      </c>
      <c r="AP852" t="b" cm="1">
        <f t="array" ref="AP852">INDEX($AU$8:$BB$25,6*(R852-1)+MATCH(AB852,$AS$8:$AS$13,0),MATCH(O852,$AU$7:$BB$7,0))</f>
        <v>1</v>
      </c>
    </row>
    <row r="853" spans="15:42" ht="14.25" x14ac:dyDescent="0.45">
      <c r="O853" s="43" t="s">
        <v>35</v>
      </c>
      <c r="P853" s="43">
        <v>2</v>
      </c>
      <c r="Q853" s="43">
        <v>13</v>
      </c>
      <c r="R853" s="43">
        <v>3</v>
      </c>
      <c r="S853" s="45"/>
      <c r="T853" t="b">
        <f>(S851+S852+S853)=T3</f>
        <v>0</v>
      </c>
      <c r="X853" s="1">
        <f t="shared" si="72"/>
        <v>0</v>
      </c>
      <c r="Y853" s="48">
        <v>0</v>
      </c>
      <c r="AA853" s="1">
        <v>8</v>
      </c>
      <c r="AB853" s="1" t="s">
        <v>15</v>
      </c>
      <c r="AC853" s="1" t="s">
        <v>21</v>
      </c>
      <c r="AD853" s="1">
        <v>12</v>
      </c>
      <c r="AE853" s="1">
        <v>9</v>
      </c>
      <c r="AF853" s="1">
        <v>0.76</v>
      </c>
      <c r="AG853" s="1">
        <v>0.84</v>
      </c>
      <c r="AH853" s="1">
        <v>0</v>
      </c>
      <c r="AI853" s="1">
        <v>0</v>
      </c>
      <c r="AJ853" s="1">
        <f t="shared" si="73"/>
        <v>0</v>
      </c>
      <c r="AK853" s="1">
        <f>E84</f>
        <v>0</v>
      </c>
      <c r="AL853" s="1">
        <f>E90</f>
        <v>0</v>
      </c>
      <c r="AM853" s="1">
        <f t="shared" si="74"/>
        <v>0</v>
      </c>
      <c r="AN853" s="1">
        <f t="shared" si="75"/>
        <v>0</v>
      </c>
      <c r="AO853" s="1">
        <f t="shared" si="76"/>
        <v>0</v>
      </c>
      <c r="AP853" t="b" cm="1">
        <f t="array" ref="AP853">INDEX($AU$8:$BB$25,6*(R853-1)+MATCH(AB853,$AS$8:$AS$13,0),MATCH(O853,$AU$7:$BB$7,0))</f>
        <v>1</v>
      </c>
    </row>
    <row r="854" spans="15:42" ht="14.25" x14ac:dyDescent="0.45">
      <c r="O854" s="43" t="s">
        <v>35</v>
      </c>
      <c r="P854" s="43">
        <v>2</v>
      </c>
      <c r="Q854" s="43">
        <v>14</v>
      </c>
      <c r="R854" s="43">
        <v>1</v>
      </c>
      <c r="S854" s="45"/>
      <c r="T854" t="b">
        <f>(S854+S855+S856)=T3</f>
        <v>0</v>
      </c>
      <c r="X854" s="1">
        <f t="shared" si="72"/>
        <v>0</v>
      </c>
      <c r="Y854" s="48">
        <v>0</v>
      </c>
      <c r="AA854" s="1">
        <v>5</v>
      </c>
      <c r="AB854" s="1" t="s">
        <v>15</v>
      </c>
      <c r="AC854" s="1" t="s">
        <v>21</v>
      </c>
      <c r="AD854" s="1">
        <v>15</v>
      </c>
      <c r="AE854" s="1">
        <v>12</v>
      </c>
      <c r="AF854" s="1">
        <v>0.76</v>
      </c>
      <c r="AG854" s="1">
        <v>0.84</v>
      </c>
      <c r="AH854" s="1">
        <v>0</v>
      </c>
      <c r="AI854" s="1">
        <v>0</v>
      </c>
      <c r="AJ854" s="1">
        <f t="shared" si="73"/>
        <v>0</v>
      </c>
      <c r="AK854" s="1">
        <f>C84</f>
        <v>0</v>
      </c>
      <c r="AL854" s="1">
        <f>C90</f>
        <v>0</v>
      </c>
      <c r="AM854" s="1">
        <f t="shared" si="74"/>
        <v>0</v>
      </c>
      <c r="AN854" s="1">
        <f t="shared" si="75"/>
        <v>0</v>
      </c>
      <c r="AO854" s="1">
        <f t="shared" si="76"/>
        <v>0</v>
      </c>
      <c r="AP854" t="b" cm="1">
        <f t="array" ref="AP854">INDEX($AU$8:$BB$25,6*(R854-1)+MATCH(AB854,$AS$8:$AS$13,0),MATCH(O854,$AU$7:$BB$7,0))</f>
        <v>1</v>
      </c>
    </row>
    <row r="855" spans="15:42" ht="14.25" x14ac:dyDescent="0.45">
      <c r="O855" s="43" t="s">
        <v>35</v>
      </c>
      <c r="P855" s="43">
        <v>2</v>
      </c>
      <c r="Q855" s="43">
        <v>14</v>
      </c>
      <c r="R855" s="43">
        <v>2</v>
      </c>
      <c r="S855" s="45"/>
      <c r="T855" t="b">
        <f>(S854+S855+S856)=T3</f>
        <v>0</v>
      </c>
      <c r="X855" s="1">
        <f t="shared" si="72"/>
        <v>0</v>
      </c>
      <c r="Y855" s="48">
        <v>0</v>
      </c>
      <c r="AA855" s="1">
        <v>5</v>
      </c>
      <c r="AB855" s="1" t="s">
        <v>15</v>
      </c>
      <c r="AC855" s="1" t="s">
        <v>21</v>
      </c>
      <c r="AD855" s="1">
        <v>15</v>
      </c>
      <c r="AE855" s="1">
        <v>12</v>
      </c>
      <c r="AF855" s="1">
        <v>0.76</v>
      </c>
      <c r="AG855" s="1">
        <v>0.84</v>
      </c>
      <c r="AH855" s="1">
        <v>0</v>
      </c>
      <c r="AI855" s="1">
        <v>0</v>
      </c>
      <c r="AJ855" s="1">
        <f t="shared" si="73"/>
        <v>0</v>
      </c>
      <c r="AK855" s="1">
        <f>D84</f>
        <v>0</v>
      </c>
      <c r="AL855" s="1">
        <f>D90</f>
        <v>0</v>
      </c>
      <c r="AM855" s="1">
        <f t="shared" si="74"/>
        <v>0</v>
      </c>
      <c r="AN855" s="1">
        <f t="shared" si="75"/>
        <v>0</v>
      </c>
      <c r="AO855" s="1">
        <f t="shared" si="76"/>
        <v>0</v>
      </c>
      <c r="AP855" t="b" cm="1">
        <f t="array" ref="AP855">INDEX($AU$8:$BB$25,6*(R855-1)+MATCH(AB855,$AS$8:$AS$13,0),MATCH(O855,$AU$7:$BB$7,0))</f>
        <v>1</v>
      </c>
    </row>
    <row r="856" spans="15:42" ht="14.25" x14ac:dyDescent="0.45">
      <c r="O856" s="43" t="s">
        <v>35</v>
      </c>
      <c r="P856" s="43">
        <v>2</v>
      </c>
      <c r="Q856" s="43">
        <v>14</v>
      </c>
      <c r="R856" s="43">
        <v>3</v>
      </c>
      <c r="S856" s="45"/>
      <c r="T856" t="b">
        <f>(S854+S855+S856)=T3</f>
        <v>0</v>
      </c>
      <c r="X856" s="1">
        <f t="shared" si="72"/>
        <v>0</v>
      </c>
      <c r="Y856" s="48">
        <v>0</v>
      </c>
      <c r="AA856" s="1">
        <v>5</v>
      </c>
      <c r="AB856" s="1" t="s">
        <v>15</v>
      </c>
      <c r="AC856" s="1" t="s">
        <v>21</v>
      </c>
      <c r="AD856" s="1">
        <v>15</v>
      </c>
      <c r="AE856" s="1">
        <v>12</v>
      </c>
      <c r="AF856" s="1">
        <v>0.76</v>
      </c>
      <c r="AG856" s="1">
        <v>0.84</v>
      </c>
      <c r="AH856" s="1">
        <v>0</v>
      </c>
      <c r="AI856" s="1">
        <v>0</v>
      </c>
      <c r="AJ856" s="1">
        <f t="shared" si="73"/>
        <v>0</v>
      </c>
      <c r="AK856" s="1">
        <f>E84</f>
        <v>0</v>
      </c>
      <c r="AL856" s="1">
        <f>E90</f>
        <v>0</v>
      </c>
      <c r="AM856" s="1">
        <f t="shared" si="74"/>
        <v>0</v>
      </c>
      <c r="AN856" s="1">
        <f t="shared" si="75"/>
        <v>0</v>
      </c>
      <c r="AO856" s="1">
        <f t="shared" si="76"/>
        <v>0</v>
      </c>
      <c r="AP856" t="b" cm="1">
        <f t="array" ref="AP856">INDEX($AU$8:$BB$25,6*(R856-1)+MATCH(AB856,$AS$8:$AS$13,0),MATCH(O856,$AU$7:$BB$7,0))</f>
        <v>1</v>
      </c>
    </row>
    <row r="857" spans="15:42" ht="14.25" x14ac:dyDescent="0.45">
      <c r="O857" s="43" t="s">
        <v>35</v>
      </c>
      <c r="P857" s="43">
        <v>2</v>
      </c>
      <c r="Q857" s="43">
        <v>15</v>
      </c>
      <c r="R857" s="43">
        <v>1</v>
      </c>
      <c r="S857" s="45"/>
      <c r="T857" t="b">
        <f>(S857+S858+S859)=T3</f>
        <v>0</v>
      </c>
      <c r="X857" s="1">
        <f t="shared" si="72"/>
        <v>0</v>
      </c>
      <c r="Y857" s="48">
        <v>0</v>
      </c>
      <c r="AA857" s="1">
        <v>7</v>
      </c>
      <c r="AB857" s="1" t="s">
        <v>15</v>
      </c>
      <c r="AC857" s="1" t="s">
        <v>21</v>
      </c>
      <c r="AD857" s="1">
        <v>13</v>
      </c>
      <c r="AE857" s="1">
        <v>10</v>
      </c>
      <c r="AF857" s="1">
        <v>0.76</v>
      </c>
      <c r="AG857" s="1">
        <v>0.84</v>
      </c>
      <c r="AH857" s="1">
        <v>0</v>
      </c>
      <c r="AI857" s="1">
        <v>0</v>
      </c>
      <c r="AJ857" s="1">
        <f t="shared" si="73"/>
        <v>0</v>
      </c>
      <c r="AK857" s="1">
        <f>C84</f>
        <v>0</v>
      </c>
      <c r="AL857" s="1">
        <f>C90</f>
        <v>0</v>
      </c>
      <c r="AM857" s="1">
        <f t="shared" si="74"/>
        <v>0</v>
      </c>
      <c r="AN857" s="1">
        <f t="shared" si="75"/>
        <v>0</v>
      </c>
      <c r="AO857" s="1">
        <f t="shared" si="76"/>
        <v>0</v>
      </c>
      <c r="AP857" t="b" cm="1">
        <f t="array" ref="AP857">INDEX($AU$8:$BB$25,6*(R857-1)+MATCH(AB857,$AS$8:$AS$13,0),MATCH(O857,$AU$7:$BB$7,0))</f>
        <v>1</v>
      </c>
    </row>
    <row r="858" spans="15:42" ht="14.25" x14ac:dyDescent="0.45">
      <c r="O858" s="43" t="s">
        <v>35</v>
      </c>
      <c r="P858" s="43">
        <v>2</v>
      </c>
      <c r="Q858" s="43">
        <v>15</v>
      </c>
      <c r="R858" s="43">
        <v>2</v>
      </c>
      <c r="S858" s="45"/>
      <c r="T858" t="b">
        <f>(S857+S858+S859)=T3</f>
        <v>0</v>
      </c>
      <c r="X858" s="1">
        <f t="shared" si="72"/>
        <v>0</v>
      </c>
      <c r="Y858" s="48">
        <v>0</v>
      </c>
      <c r="AA858" s="1">
        <v>7</v>
      </c>
      <c r="AB858" s="1" t="s">
        <v>15</v>
      </c>
      <c r="AC858" s="1" t="s">
        <v>21</v>
      </c>
      <c r="AD858" s="1">
        <v>13</v>
      </c>
      <c r="AE858" s="1">
        <v>10</v>
      </c>
      <c r="AF858" s="1">
        <v>0.76</v>
      </c>
      <c r="AG858" s="1">
        <v>0.84</v>
      </c>
      <c r="AH858" s="1">
        <v>0</v>
      </c>
      <c r="AI858" s="1">
        <v>0</v>
      </c>
      <c r="AJ858" s="1">
        <f t="shared" si="73"/>
        <v>0</v>
      </c>
      <c r="AK858" s="1">
        <f>D84</f>
        <v>0</v>
      </c>
      <c r="AL858" s="1">
        <f>D90</f>
        <v>0</v>
      </c>
      <c r="AM858" s="1">
        <f t="shared" si="74"/>
        <v>0</v>
      </c>
      <c r="AN858" s="1">
        <f t="shared" si="75"/>
        <v>0</v>
      </c>
      <c r="AO858" s="1">
        <f t="shared" si="76"/>
        <v>0</v>
      </c>
      <c r="AP858" t="b" cm="1">
        <f t="array" ref="AP858">INDEX($AU$8:$BB$25,6*(R858-1)+MATCH(AB858,$AS$8:$AS$13,0),MATCH(O858,$AU$7:$BB$7,0))</f>
        <v>1</v>
      </c>
    </row>
    <row r="859" spans="15:42" ht="14.25" x14ac:dyDescent="0.45">
      <c r="O859" s="43" t="s">
        <v>35</v>
      </c>
      <c r="P859" s="43">
        <v>2</v>
      </c>
      <c r="Q859" s="43">
        <v>15</v>
      </c>
      <c r="R859" s="43">
        <v>3</v>
      </c>
      <c r="S859" s="45"/>
      <c r="T859" t="b">
        <f>(S857+S858+S859)=T3</f>
        <v>0</v>
      </c>
      <c r="X859" s="1">
        <f t="shared" si="72"/>
        <v>0</v>
      </c>
      <c r="Y859" s="48">
        <v>0</v>
      </c>
      <c r="AA859" s="1">
        <v>7</v>
      </c>
      <c r="AB859" s="1" t="s">
        <v>15</v>
      </c>
      <c r="AC859" s="1" t="s">
        <v>21</v>
      </c>
      <c r="AD859" s="1">
        <v>13</v>
      </c>
      <c r="AE859" s="1">
        <v>10</v>
      </c>
      <c r="AF859" s="1">
        <v>0.76</v>
      </c>
      <c r="AG859" s="1">
        <v>0.84</v>
      </c>
      <c r="AH859" s="1">
        <v>0</v>
      </c>
      <c r="AI859" s="1">
        <v>0</v>
      </c>
      <c r="AJ859" s="1">
        <f t="shared" si="73"/>
        <v>0</v>
      </c>
      <c r="AK859" s="1">
        <f>E84</f>
        <v>0</v>
      </c>
      <c r="AL859" s="1">
        <f>E90</f>
        <v>0</v>
      </c>
      <c r="AM859" s="1">
        <f t="shared" si="74"/>
        <v>0</v>
      </c>
      <c r="AN859" s="1">
        <f t="shared" si="75"/>
        <v>0</v>
      </c>
      <c r="AO859" s="1">
        <f t="shared" si="76"/>
        <v>0</v>
      </c>
      <c r="AP859" t="b" cm="1">
        <f t="array" ref="AP859">INDEX($AU$8:$BB$25,6*(R859-1)+MATCH(AB859,$AS$8:$AS$13,0),MATCH(O859,$AU$7:$BB$7,0))</f>
        <v>1</v>
      </c>
    </row>
    <row r="860" spans="15:42" ht="14.25" x14ac:dyDescent="0.45">
      <c r="O860" s="43" t="s">
        <v>35</v>
      </c>
      <c r="P860" s="43">
        <v>3</v>
      </c>
      <c r="Q860" s="43">
        <v>1</v>
      </c>
      <c r="R860" s="43">
        <v>1</v>
      </c>
      <c r="S860" s="45"/>
      <c r="T860" t="b">
        <f>(S860+S861+S862)=T4</f>
        <v>0</v>
      </c>
      <c r="X860" s="1">
        <v>0</v>
      </c>
      <c r="Y860" s="48">
        <v>0</v>
      </c>
      <c r="AA860" s="1">
        <v>1</v>
      </c>
      <c r="AB860" s="1" t="s">
        <v>13</v>
      </c>
      <c r="AC860" s="1" t="s">
        <v>19</v>
      </c>
      <c r="AD860" s="1">
        <v>21</v>
      </c>
      <c r="AE860" s="1">
        <v>20</v>
      </c>
      <c r="AF860" s="1">
        <v>0.8</v>
      </c>
      <c r="AG860" s="1">
        <v>0.86</v>
      </c>
      <c r="AH860" s="1">
        <v>0</v>
      </c>
      <c r="AI860" s="1">
        <v>0</v>
      </c>
      <c r="AJ860" s="1">
        <f t="shared" si="73"/>
        <v>0</v>
      </c>
      <c r="AK860" s="1">
        <f>C82</f>
        <v>0</v>
      </c>
      <c r="AL860" s="1">
        <f>C88</f>
        <v>0</v>
      </c>
      <c r="AM860" s="1">
        <f t="shared" si="74"/>
        <v>0</v>
      </c>
      <c r="AN860" s="1">
        <f t="shared" si="75"/>
        <v>0</v>
      </c>
      <c r="AO860" s="1">
        <f t="shared" si="76"/>
        <v>0</v>
      </c>
      <c r="AP860" t="b" cm="1">
        <f t="array" ref="AP860">INDEX($AU$8:$BB$25,6*(R860-1)+MATCH(AB860,$AS$8:$AS$13,0),MATCH(O860,$AU$7:$BB$7,0))</f>
        <v>1</v>
      </c>
    </row>
    <row r="861" spans="15:42" ht="14.25" x14ac:dyDescent="0.45">
      <c r="O861" s="43" t="s">
        <v>35</v>
      </c>
      <c r="P861" s="43">
        <v>3</v>
      </c>
      <c r="Q861" s="43">
        <v>1</v>
      </c>
      <c r="R861" s="43">
        <v>2</v>
      </c>
      <c r="S861" s="45"/>
      <c r="T861" t="b">
        <f>(S860+S861+S862)=T4</f>
        <v>0</v>
      </c>
      <c r="X861" s="1">
        <v>0</v>
      </c>
      <c r="Y861" s="48">
        <v>0</v>
      </c>
      <c r="AA861" s="1">
        <v>1</v>
      </c>
      <c r="AB861" s="1" t="s">
        <v>13</v>
      </c>
      <c r="AC861" s="1" t="s">
        <v>19</v>
      </c>
      <c r="AD861" s="1">
        <v>21</v>
      </c>
      <c r="AE861" s="1">
        <v>20</v>
      </c>
      <c r="AF861" s="1">
        <v>0.8</v>
      </c>
      <c r="AG861" s="1">
        <v>0.86</v>
      </c>
      <c r="AH861" s="1">
        <v>0</v>
      </c>
      <c r="AI861" s="1">
        <v>0</v>
      </c>
      <c r="AJ861" s="1">
        <f t="shared" si="73"/>
        <v>0</v>
      </c>
      <c r="AK861" s="1">
        <f>D82</f>
        <v>0</v>
      </c>
      <c r="AL861" s="1">
        <f>D88</f>
        <v>0</v>
      </c>
      <c r="AM861" s="1">
        <f t="shared" si="74"/>
        <v>0</v>
      </c>
      <c r="AN861" s="1">
        <f t="shared" si="75"/>
        <v>0</v>
      </c>
      <c r="AO861" s="1">
        <f t="shared" si="76"/>
        <v>0</v>
      </c>
      <c r="AP861" t="b" cm="1">
        <f t="array" ref="AP861">INDEX($AU$8:$BB$25,6*(R861-1)+MATCH(AB861,$AS$8:$AS$13,0),MATCH(O861,$AU$7:$BB$7,0))</f>
        <v>1</v>
      </c>
    </row>
    <row r="862" spans="15:42" ht="14.25" x14ac:dyDescent="0.45">
      <c r="O862" s="43" t="s">
        <v>35</v>
      </c>
      <c r="P862" s="43">
        <v>3</v>
      </c>
      <c r="Q862" s="43">
        <v>1</v>
      </c>
      <c r="R862" s="43">
        <v>3</v>
      </c>
      <c r="S862" s="45"/>
      <c r="T862" t="b">
        <f>(S860+S861+S862)=T4</f>
        <v>0</v>
      </c>
      <c r="X862" s="1">
        <v>0</v>
      </c>
      <c r="Y862" s="48">
        <v>0</v>
      </c>
      <c r="AA862" s="1">
        <v>1</v>
      </c>
      <c r="AB862" s="1" t="s">
        <v>13</v>
      </c>
      <c r="AC862" s="1" t="s">
        <v>19</v>
      </c>
      <c r="AD862" s="1">
        <v>21</v>
      </c>
      <c r="AE862" s="1">
        <v>20</v>
      </c>
      <c r="AF862" s="1">
        <v>0.8</v>
      </c>
      <c r="AG862" s="1">
        <v>0.86</v>
      </c>
      <c r="AH862" s="1">
        <v>0</v>
      </c>
      <c r="AI862" s="1">
        <v>0</v>
      </c>
      <c r="AJ862" s="1">
        <f t="shared" si="73"/>
        <v>0</v>
      </c>
      <c r="AK862" s="1">
        <f>E82</f>
        <v>0</v>
      </c>
      <c r="AL862" s="1">
        <f>E88</f>
        <v>0</v>
      </c>
      <c r="AM862" s="1">
        <f t="shared" si="74"/>
        <v>0</v>
      </c>
      <c r="AN862" s="1">
        <f t="shared" si="75"/>
        <v>0</v>
      </c>
      <c r="AO862" s="1">
        <f t="shared" si="76"/>
        <v>0</v>
      </c>
      <c r="AP862" t="b" cm="1">
        <f t="array" ref="AP862">INDEX($AU$8:$BB$25,6*(R862-1)+MATCH(AB862,$AS$8:$AS$13,0),MATCH(O862,$AU$7:$BB$7,0))</f>
        <v>1</v>
      </c>
    </row>
    <row r="863" spans="15:42" ht="14.25" x14ac:dyDescent="0.45">
      <c r="O863" s="43" t="s">
        <v>35</v>
      </c>
      <c r="P863" s="43">
        <v>3</v>
      </c>
      <c r="Q863" s="43">
        <v>2</v>
      </c>
      <c r="R863" s="43">
        <v>1</v>
      </c>
      <c r="S863" s="45"/>
      <c r="T863" t="b">
        <f>(S863+S864+S865)=T4</f>
        <v>0</v>
      </c>
      <c r="X863" s="1">
        <f t="shared" ref="X863:X910" si="77">MAX(S860-S863,0)</f>
        <v>0</v>
      </c>
      <c r="Y863" s="48">
        <v>0</v>
      </c>
      <c r="AA863" s="1">
        <v>8</v>
      </c>
      <c r="AB863" s="1" t="s">
        <v>14</v>
      </c>
      <c r="AC863" s="1" t="s">
        <v>20</v>
      </c>
      <c r="AD863" s="1">
        <v>9</v>
      </c>
      <c r="AE863" s="1">
        <v>7</v>
      </c>
      <c r="AF863" s="1">
        <v>0.8</v>
      </c>
      <c r="AG863" s="1">
        <v>0.88</v>
      </c>
      <c r="AH863" s="1">
        <v>0</v>
      </c>
      <c r="AI863" s="1">
        <v>0</v>
      </c>
      <c r="AJ863" s="1">
        <f t="shared" si="73"/>
        <v>0</v>
      </c>
      <c r="AK863" s="1">
        <f>C83</f>
        <v>0</v>
      </c>
      <c r="AL863" s="1">
        <f>C89</f>
        <v>0</v>
      </c>
      <c r="AM863" s="1">
        <f t="shared" si="74"/>
        <v>0</v>
      </c>
      <c r="AN863" s="1">
        <f t="shared" si="75"/>
        <v>0</v>
      </c>
      <c r="AO863" s="1">
        <f t="shared" si="76"/>
        <v>0</v>
      </c>
      <c r="AP863" t="b" cm="1">
        <f t="array" ref="AP863">INDEX($AU$8:$BB$25,6*(R863-1)+MATCH(AB863,$AS$8:$AS$13,0),MATCH(O863,$AU$7:$BB$7,0))</f>
        <v>1</v>
      </c>
    </row>
    <row r="864" spans="15:42" ht="14.25" x14ac:dyDescent="0.45">
      <c r="O864" s="43" t="s">
        <v>35</v>
      </c>
      <c r="P864" s="43">
        <v>3</v>
      </c>
      <c r="Q864" s="43">
        <v>2</v>
      </c>
      <c r="R864" s="43">
        <v>2</v>
      </c>
      <c r="S864" s="45"/>
      <c r="T864" t="b">
        <f>(S863+S864+S865)=T4</f>
        <v>0</v>
      </c>
      <c r="X864" s="1">
        <f t="shared" si="77"/>
        <v>0</v>
      </c>
      <c r="Y864" s="48">
        <v>0</v>
      </c>
      <c r="AA864" s="1">
        <v>8</v>
      </c>
      <c r="AB864" s="1" t="s">
        <v>14</v>
      </c>
      <c r="AC864" s="1" t="s">
        <v>20</v>
      </c>
      <c r="AD864" s="1">
        <v>9</v>
      </c>
      <c r="AE864" s="1">
        <v>7</v>
      </c>
      <c r="AF864" s="1">
        <v>0.8</v>
      </c>
      <c r="AG864" s="1">
        <v>0.88</v>
      </c>
      <c r="AH864" s="1">
        <v>0</v>
      </c>
      <c r="AI864" s="1">
        <v>0</v>
      </c>
      <c r="AJ864" s="1">
        <f t="shared" si="73"/>
        <v>0</v>
      </c>
      <c r="AK864" s="1">
        <f>D83</f>
        <v>0</v>
      </c>
      <c r="AL864" s="1">
        <f>D89</f>
        <v>0</v>
      </c>
      <c r="AM864" s="1">
        <f t="shared" si="74"/>
        <v>0</v>
      </c>
      <c r="AN864" s="1">
        <f t="shared" si="75"/>
        <v>0</v>
      </c>
      <c r="AO864" s="1">
        <f t="shared" si="76"/>
        <v>0</v>
      </c>
      <c r="AP864" t="b" cm="1">
        <f t="array" ref="AP864">INDEX($AU$8:$BB$25,6*(R864-1)+MATCH(AB864,$AS$8:$AS$13,0),MATCH(O864,$AU$7:$BB$7,0))</f>
        <v>1</v>
      </c>
    </row>
    <row r="865" spans="15:42" ht="14.25" x14ac:dyDescent="0.45">
      <c r="O865" s="43" t="s">
        <v>35</v>
      </c>
      <c r="P865" s="43">
        <v>3</v>
      </c>
      <c r="Q865" s="43">
        <v>2</v>
      </c>
      <c r="R865" s="43">
        <v>3</v>
      </c>
      <c r="S865" s="45"/>
      <c r="T865" t="b">
        <f>(S863+S864+S865)=T4</f>
        <v>0</v>
      </c>
      <c r="X865" s="1">
        <f t="shared" si="77"/>
        <v>0</v>
      </c>
      <c r="Y865" s="48">
        <v>0</v>
      </c>
      <c r="AA865" s="1">
        <v>8</v>
      </c>
      <c r="AB865" s="1" t="s">
        <v>14</v>
      </c>
      <c r="AC865" s="1" t="s">
        <v>20</v>
      </c>
      <c r="AD865" s="1">
        <v>9</v>
      </c>
      <c r="AE865" s="1">
        <v>7</v>
      </c>
      <c r="AF865" s="1">
        <v>0.8</v>
      </c>
      <c r="AG865" s="1">
        <v>0.88</v>
      </c>
      <c r="AH865" s="1">
        <v>0</v>
      </c>
      <c r="AI865" s="1">
        <v>0</v>
      </c>
      <c r="AJ865" s="1">
        <f t="shared" si="73"/>
        <v>0</v>
      </c>
      <c r="AK865" s="1">
        <f>E83</f>
        <v>0</v>
      </c>
      <c r="AL865" s="1">
        <f>E89</f>
        <v>0</v>
      </c>
      <c r="AM865" s="1">
        <f t="shared" si="74"/>
        <v>0</v>
      </c>
      <c r="AN865" s="1">
        <f t="shared" si="75"/>
        <v>0</v>
      </c>
      <c r="AO865" s="1">
        <f t="shared" si="76"/>
        <v>0</v>
      </c>
      <c r="AP865" t="b" cm="1">
        <f t="array" ref="AP865">INDEX($AU$8:$BB$25,6*(R865-1)+MATCH(AB865,$AS$8:$AS$13,0),MATCH(O865,$AU$7:$BB$7,0))</f>
        <v>1</v>
      </c>
    </row>
    <row r="866" spans="15:42" ht="14.25" x14ac:dyDescent="0.45">
      <c r="O866" s="43" t="s">
        <v>35</v>
      </c>
      <c r="P866" s="43">
        <v>3</v>
      </c>
      <c r="Q866" s="43">
        <v>3</v>
      </c>
      <c r="R866" s="43">
        <v>1</v>
      </c>
      <c r="S866" s="45"/>
      <c r="T866" t="b">
        <f>(S866+S867+S868)=T4</f>
        <v>0</v>
      </c>
      <c r="X866" s="1">
        <f t="shared" si="77"/>
        <v>0</v>
      </c>
      <c r="Y866" s="48">
        <v>0</v>
      </c>
      <c r="AA866" s="1">
        <v>1</v>
      </c>
      <c r="AB866" s="1" t="s">
        <v>15</v>
      </c>
      <c r="AC866" s="1" t="s">
        <v>21</v>
      </c>
      <c r="AD866" s="1">
        <v>24</v>
      </c>
      <c r="AE866" s="1">
        <v>23</v>
      </c>
      <c r="AF866" s="1">
        <v>0.76</v>
      </c>
      <c r="AG866" s="1">
        <v>0.84</v>
      </c>
      <c r="AH866" s="1">
        <v>0</v>
      </c>
      <c r="AI866" s="1">
        <v>0</v>
      </c>
      <c r="AJ866" s="1">
        <f t="shared" si="73"/>
        <v>0</v>
      </c>
      <c r="AK866" s="1">
        <f>C84</f>
        <v>0</v>
      </c>
      <c r="AL866" s="1">
        <f>C90</f>
        <v>0</v>
      </c>
      <c r="AM866" s="1">
        <f t="shared" si="74"/>
        <v>0</v>
      </c>
      <c r="AN866" s="1">
        <f t="shared" si="75"/>
        <v>0</v>
      </c>
      <c r="AO866" s="1">
        <f t="shared" si="76"/>
        <v>0</v>
      </c>
      <c r="AP866" t="b" cm="1">
        <f t="array" ref="AP866">INDEX($AU$8:$BB$25,6*(R866-1)+MATCH(AB866,$AS$8:$AS$13,0),MATCH(O866,$AU$7:$BB$7,0))</f>
        <v>1</v>
      </c>
    </row>
    <row r="867" spans="15:42" ht="14.25" x14ac:dyDescent="0.45">
      <c r="O867" s="43" t="s">
        <v>35</v>
      </c>
      <c r="P867" s="43">
        <v>3</v>
      </c>
      <c r="Q867" s="43">
        <v>3</v>
      </c>
      <c r="R867" s="43">
        <v>2</v>
      </c>
      <c r="S867" s="45"/>
      <c r="T867" t="b">
        <f>(S866+S867+S868)=T4</f>
        <v>0</v>
      </c>
      <c r="X867" s="1">
        <f t="shared" si="77"/>
        <v>0</v>
      </c>
      <c r="Y867" s="48">
        <v>0</v>
      </c>
      <c r="AA867" s="1">
        <v>1</v>
      </c>
      <c r="AB867" s="1" t="s">
        <v>15</v>
      </c>
      <c r="AC867" s="1" t="s">
        <v>21</v>
      </c>
      <c r="AD867" s="1">
        <v>24</v>
      </c>
      <c r="AE867" s="1">
        <v>23</v>
      </c>
      <c r="AF867" s="1">
        <v>0.76</v>
      </c>
      <c r="AG867" s="1">
        <v>0.84</v>
      </c>
      <c r="AH867" s="1">
        <v>0</v>
      </c>
      <c r="AI867" s="1">
        <v>0</v>
      </c>
      <c r="AJ867" s="1">
        <f t="shared" si="73"/>
        <v>0</v>
      </c>
      <c r="AK867" s="1">
        <f>D84</f>
        <v>0</v>
      </c>
      <c r="AL867" s="1">
        <f>D90</f>
        <v>0</v>
      </c>
      <c r="AM867" s="1">
        <f t="shared" si="74"/>
        <v>0</v>
      </c>
      <c r="AN867" s="1">
        <f t="shared" si="75"/>
        <v>0</v>
      </c>
      <c r="AO867" s="1">
        <f t="shared" si="76"/>
        <v>0</v>
      </c>
      <c r="AP867" t="b" cm="1">
        <f t="array" ref="AP867">INDEX($AU$8:$BB$25,6*(R867-1)+MATCH(AB867,$AS$8:$AS$13,0),MATCH(O867,$AU$7:$BB$7,0))</f>
        <v>1</v>
      </c>
    </row>
    <row r="868" spans="15:42" ht="14.25" x14ac:dyDescent="0.45">
      <c r="O868" s="43" t="s">
        <v>35</v>
      </c>
      <c r="P868" s="43">
        <v>3</v>
      </c>
      <c r="Q868" s="43">
        <v>3</v>
      </c>
      <c r="R868" s="43">
        <v>3</v>
      </c>
      <c r="S868" s="45"/>
      <c r="T868" t="b">
        <f>(S866+S867+S868)=T4</f>
        <v>0</v>
      </c>
      <c r="X868" s="1">
        <f t="shared" si="77"/>
        <v>0</v>
      </c>
      <c r="Y868" s="48">
        <v>0</v>
      </c>
      <c r="AA868" s="1">
        <v>1</v>
      </c>
      <c r="AB868" s="1" t="s">
        <v>15</v>
      </c>
      <c r="AC868" s="1" t="s">
        <v>21</v>
      </c>
      <c r="AD868" s="1">
        <v>24</v>
      </c>
      <c r="AE868" s="1">
        <v>23</v>
      </c>
      <c r="AF868" s="1">
        <v>0.76</v>
      </c>
      <c r="AG868" s="1">
        <v>0.84</v>
      </c>
      <c r="AH868" s="1">
        <v>0</v>
      </c>
      <c r="AI868" s="1">
        <v>0</v>
      </c>
      <c r="AJ868" s="1">
        <f t="shared" si="73"/>
        <v>0</v>
      </c>
      <c r="AK868" s="1">
        <f>E84</f>
        <v>0</v>
      </c>
      <c r="AL868" s="1">
        <f>E90</f>
        <v>0</v>
      </c>
      <c r="AM868" s="1">
        <f t="shared" si="74"/>
        <v>0</v>
      </c>
      <c r="AN868" s="1">
        <f t="shared" si="75"/>
        <v>0</v>
      </c>
      <c r="AO868" s="1">
        <f t="shared" si="76"/>
        <v>0</v>
      </c>
      <c r="AP868" t="b" cm="1">
        <f t="array" ref="AP868">INDEX($AU$8:$BB$25,6*(R868-1)+MATCH(AB868,$AS$8:$AS$13,0),MATCH(O868,$AU$7:$BB$7,0))</f>
        <v>1</v>
      </c>
    </row>
    <row r="869" spans="15:42" ht="14.25" x14ac:dyDescent="0.45">
      <c r="O869" s="43" t="s">
        <v>35</v>
      </c>
      <c r="P869" s="43">
        <v>3</v>
      </c>
      <c r="Q869" s="43">
        <v>4</v>
      </c>
      <c r="R869" s="43">
        <v>1</v>
      </c>
      <c r="S869" s="45"/>
      <c r="T869" t="b">
        <f>(S869+S870+S871)=T4</f>
        <v>0</v>
      </c>
      <c r="X869" s="1">
        <f t="shared" si="77"/>
        <v>0</v>
      </c>
      <c r="Y869" s="48">
        <v>0</v>
      </c>
      <c r="AA869" s="1">
        <v>9</v>
      </c>
      <c r="AB869" s="1" t="s">
        <v>15</v>
      </c>
      <c r="AC869" s="1" t="s">
        <v>21</v>
      </c>
      <c r="AD869" s="1">
        <v>15</v>
      </c>
      <c r="AE869" s="1">
        <v>11</v>
      </c>
      <c r="AF869" s="1">
        <v>0.76</v>
      </c>
      <c r="AG869" s="1">
        <v>0.84</v>
      </c>
      <c r="AH869" s="1">
        <v>0</v>
      </c>
      <c r="AI869" s="1">
        <v>0</v>
      </c>
      <c r="AJ869" s="1">
        <f t="shared" si="73"/>
        <v>0</v>
      </c>
      <c r="AK869" s="1">
        <f>C84</f>
        <v>0</v>
      </c>
      <c r="AL869" s="1">
        <f>C90</f>
        <v>0</v>
      </c>
      <c r="AM869" s="1">
        <f t="shared" si="74"/>
        <v>0</v>
      </c>
      <c r="AN869" s="1">
        <f t="shared" si="75"/>
        <v>0</v>
      </c>
      <c r="AO869" s="1">
        <f t="shared" si="76"/>
        <v>0</v>
      </c>
      <c r="AP869" t="b" cm="1">
        <f t="array" ref="AP869">INDEX($AU$8:$BB$25,6*(R869-1)+MATCH(AB869,$AS$8:$AS$13,0),MATCH(O869,$AU$7:$BB$7,0))</f>
        <v>1</v>
      </c>
    </row>
    <row r="870" spans="15:42" ht="14.25" x14ac:dyDescent="0.45">
      <c r="O870" s="43" t="s">
        <v>35</v>
      </c>
      <c r="P870" s="43">
        <v>3</v>
      </c>
      <c r="Q870" s="43">
        <v>4</v>
      </c>
      <c r="R870" s="43">
        <v>2</v>
      </c>
      <c r="S870" s="45"/>
      <c r="T870" t="b">
        <f>(S869+S870+S871)=T4</f>
        <v>0</v>
      </c>
      <c r="X870" s="1">
        <f t="shared" si="77"/>
        <v>0</v>
      </c>
      <c r="Y870" s="48">
        <v>0</v>
      </c>
      <c r="AA870" s="1">
        <v>9</v>
      </c>
      <c r="AB870" s="1" t="s">
        <v>15</v>
      </c>
      <c r="AC870" s="1" t="s">
        <v>21</v>
      </c>
      <c r="AD870" s="1">
        <v>15</v>
      </c>
      <c r="AE870" s="1">
        <v>11</v>
      </c>
      <c r="AF870" s="1">
        <v>0.76</v>
      </c>
      <c r="AG870" s="1">
        <v>0.84</v>
      </c>
      <c r="AH870" s="1">
        <v>0</v>
      </c>
      <c r="AI870" s="1">
        <v>0</v>
      </c>
      <c r="AJ870" s="1">
        <f t="shared" si="73"/>
        <v>0</v>
      </c>
      <c r="AK870" s="1">
        <f>D84</f>
        <v>0</v>
      </c>
      <c r="AL870" s="1">
        <f>D90</f>
        <v>0</v>
      </c>
      <c r="AM870" s="1">
        <f t="shared" si="74"/>
        <v>0</v>
      </c>
      <c r="AN870" s="1">
        <f t="shared" si="75"/>
        <v>0</v>
      </c>
      <c r="AO870" s="1">
        <f t="shared" si="76"/>
        <v>0</v>
      </c>
      <c r="AP870" t="b" cm="1">
        <f t="array" ref="AP870">INDEX($AU$8:$BB$25,6*(R870-1)+MATCH(AB870,$AS$8:$AS$13,0),MATCH(O870,$AU$7:$BB$7,0))</f>
        <v>1</v>
      </c>
    </row>
    <row r="871" spans="15:42" ht="14.25" x14ac:dyDescent="0.45">
      <c r="O871" s="43" t="s">
        <v>35</v>
      </c>
      <c r="P871" s="43">
        <v>3</v>
      </c>
      <c r="Q871" s="43">
        <v>4</v>
      </c>
      <c r="R871" s="43">
        <v>3</v>
      </c>
      <c r="S871" s="45"/>
      <c r="T871" t="b">
        <f>(S869+S870+S871)=T4</f>
        <v>0</v>
      </c>
      <c r="X871" s="1">
        <f t="shared" si="77"/>
        <v>0</v>
      </c>
      <c r="Y871" s="48">
        <v>0</v>
      </c>
      <c r="AA871" s="1">
        <v>9</v>
      </c>
      <c r="AB871" s="1" t="s">
        <v>15</v>
      </c>
      <c r="AC871" s="1" t="s">
        <v>21</v>
      </c>
      <c r="AD871" s="1">
        <v>15</v>
      </c>
      <c r="AE871" s="1">
        <v>11</v>
      </c>
      <c r="AF871" s="1">
        <v>0.76</v>
      </c>
      <c r="AG871" s="1">
        <v>0.84</v>
      </c>
      <c r="AH871" s="1">
        <v>0</v>
      </c>
      <c r="AI871" s="1">
        <v>0</v>
      </c>
      <c r="AJ871" s="1">
        <f t="shared" si="73"/>
        <v>0</v>
      </c>
      <c r="AK871" s="1">
        <f>E84</f>
        <v>0</v>
      </c>
      <c r="AL871" s="1">
        <f>E90</f>
        <v>0</v>
      </c>
      <c r="AM871" s="1">
        <f t="shared" si="74"/>
        <v>0</v>
      </c>
      <c r="AN871" s="1">
        <f t="shared" si="75"/>
        <v>0</v>
      </c>
      <c r="AO871" s="1">
        <f t="shared" si="76"/>
        <v>0</v>
      </c>
      <c r="AP871" t="b" cm="1">
        <f t="array" ref="AP871">INDEX($AU$8:$BB$25,6*(R871-1)+MATCH(AB871,$AS$8:$AS$13,0),MATCH(O871,$AU$7:$BB$7,0))</f>
        <v>1</v>
      </c>
    </row>
    <row r="872" spans="15:42" ht="14.25" x14ac:dyDescent="0.45">
      <c r="O872" s="43" t="s">
        <v>35</v>
      </c>
      <c r="P872" s="43">
        <v>3</v>
      </c>
      <c r="Q872" s="43">
        <v>5</v>
      </c>
      <c r="R872" s="43">
        <v>1</v>
      </c>
      <c r="S872" s="45"/>
      <c r="T872" t="b">
        <f>(S872+S873+S874)=T4</f>
        <v>0</v>
      </c>
      <c r="X872" s="1">
        <f t="shared" si="77"/>
        <v>0</v>
      </c>
      <c r="Y872" s="48">
        <v>0</v>
      </c>
      <c r="AA872" s="1">
        <v>6</v>
      </c>
      <c r="AB872" s="1" t="s">
        <v>16</v>
      </c>
      <c r="AC872" s="1" t="s">
        <v>22</v>
      </c>
      <c r="AD872" s="1">
        <v>16</v>
      </c>
      <c r="AE872" s="1">
        <v>14</v>
      </c>
      <c r="AF872" s="1">
        <v>0.8</v>
      </c>
      <c r="AG872" s="1">
        <v>0.9</v>
      </c>
      <c r="AH872" s="1">
        <v>0</v>
      </c>
      <c r="AI872" s="1">
        <v>0</v>
      </c>
      <c r="AJ872" s="1">
        <f t="shared" si="73"/>
        <v>0</v>
      </c>
      <c r="AK872" s="1">
        <f>C85</f>
        <v>0</v>
      </c>
      <c r="AL872" s="1">
        <f>C91</f>
        <v>0</v>
      </c>
      <c r="AM872" s="1">
        <f t="shared" si="74"/>
        <v>0</v>
      </c>
      <c r="AN872" s="1">
        <f t="shared" si="75"/>
        <v>0</v>
      </c>
      <c r="AO872" s="1">
        <f t="shared" si="76"/>
        <v>0</v>
      </c>
      <c r="AP872" t="b" cm="1">
        <f t="array" ref="AP872">INDEX($AU$8:$BB$25,6*(R872-1)+MATCH(AB872,$AS$8:$AS$13,0),MATCH(O872,$AU$7:$BB$7,0))</f>
        <v>1</v>
      </c>
    </row>
    <row r="873" spans="15:42" ht="14.25" x14ac:dyDescent="0.45">
      <c r="O873" s="43" t="s">
        <v>35</v>
      </c>
      <c r="P873" s="43">
        <v>3</v>
      </c>
      <c r="Q873" s="43">
        <v>5</v>
      </c>
      <c r="R873" s="43">
        <v>2</v>
      </c>
      <c r="S873" s="45"/>
      <c r="T873" t="b">
        <f>(S872+S873+S874)=T4</f>
        <v>0</v>
      </c>
      <c r="X873" s="1">
        <f t="shared" si="77"/>
        <v>0</v>
      </c>
      <c r="Y873" s="48">
        <v>0</v>
      </c>
      <c r="AA873" s="1">
        <v>6</v>
      </c>
      <c r="AB873" s="1" t="s">
        <v>16</v>
      </c>
      <c r="AC873" s="1" t="s">
        <v>22</v>
      </c>
      <c r="AD873" s="1">
        <v>16</v>
      </c>
      <c r="AE873" s="1">
        <v>14</v>
      </c>
      <c r="AF873" s="1">
        <v>0.8</v>
      </c>
      <c r="AG873" s="1">
        <v>0.9</v>
      </c>
      <c r="AH873" s="1">
        <v>0</v>
      </c>
      <c r="AI873" s="1">
        <v>0</v>
      </c>
      <c r="AJ873" s="1">
        <f t="shared" si="73"/>
        <v>0</v>
      </c>
      <c r="AK873" s="1">
        <f>D85</f>
        <v>0</v>
      </c>
      <c r="AL873" s="1">
        <f>D91</f>
        <v>0</v>
      </c>
      <c r="AM873" s="1">
        <f t="shared" si="74"/>
        <v>0</v>
      </c>
      <c r="AN873" s="1">
        <f t="shared" si="75"/>
        <v>0</v>
      </c>
      <c r="AO873" s="1">
        <f t="shared" si="76"/>
        <v>0</v>
      </c>
      <c r="AP873" t="b" cm="1">
        <f t="array" ref="AP873">INDEX($AU$8:$BB$25,6*(R873-1)+MATCH(AB873,$AS$8:$AS$13,0),MATCH(O873,$AU$7:$BB$7,0))</f>
        <v>1</v>
      </c>
    </row>
    <row r="874" spans="15:42" ht="14.25" x14ac:dyDescent="0.45">
      <c r="O874" s="43" t="s">
        <v>35</v>
      </c>
      <c r="P874" s="43">
        <v>3</v>
      </c>
      <c r="Q874" s="43">
        <v>5</v>
      </c>
      <c r="R874" s="43">
        <v>3</v>
      </c>
      <c r="S874" s="45"/>
      <c r="T874" t="b">
        <f>(S872+S873+S874)=T4</f>
        <v>0</v>
      </c>
      <c r="X874" s="1">
        <f t="shared" si="77"/>
        <v>0</v>
      </c>
      <c r="Y874" s="48">
        <v>0</v>
      </c>
      <c r="AA874" s="1">
        <v>6</v>
      </c>
      <c r="AB874" s="1" t="s">
        <v>16</v>
      </c>
      <c r="AC874" s="1" t="s">
        <v>22</v>
      </c>
      <c r="AD874" s="1">
        <v>16</v>
      </c>
      <c r="AE874" s="1">
        <v>14</v>
      </c>
      <c r="AF874" s="1">
        <v>0.8</v>
      </c>
      <c r="AG874" s="1">
        <v>0.9</v>
      </c>
      <c r="AH874" s="1">
        <v>0</v>
      </c>
      <c r="AI874" s="1">
        <v>0</v>
      </c>
      <c r="AJ874" s="1">
        <f t="shared" si="73"/>
        <v>0</v>
      </c>
      <c r="AK874" s="1">
        <f>E85</f>
        <v>0</v>
      </c>
      <c r="AL874" s="1">
        <f>E91</f>
        <v>0</v>
      </c>
      <c r="AM874" s="1">
        <f t="shared" si="74"/>
        <v>0</v>
      </c>
      <c r="AN874" s="1">
        <f t="shared" si="75"/>
        <v>0</v>
      </c>
      <c r="AO874" s="1">
        <f t="shared" si="76"/>
        <v>0</v>
      </c>
      <c r="AP874" t="b" cm="1">
        <f t="array" ref="AP874">INDEX($AU$8:$BB$25,6*(R874-1)+MATCH(AB874,$AS$8:$AS$13,0),MATCH(O874,$AU$7:$BB$7,0))</f>
        <v>1</v>
      </c>
    </row>
    <row r="875" spans="15:42" ht="14.25" x14ac:dyDescent="0.45">
      <c r="O875" s="43" t="s">
        <v>35</v>
      </c>
      <c r="P875" s="43">
        <v>3</v>
      </c>
      <c r="Q875" s="43">
        <v>6</v>
      </c>
      <c r="R875" s="43">
        <v>1</v>
      </c>
      <c r="S875" s="45"/>
      <c r="T875" t="b">
        <f>(S875+S876+S877)=T4</f>
        <v>0</v>
      </c>
      <c r="X875" s="1">
        <f t="shared" si="77"/>
        <v>0</v>
      </c>
      <c r="Y875" s="48">
        <v>0</v>
      </c>
      <c r="AA875" s="1">
        <v>1</v>
      </c>
      <c r="AB875" s="1" t="s">
        <v>14</v>
      </c>
      <c r="AC875" s="1" t="s">
        <v>20</v>
      </c>
      <c r="AD875" s="1">
        <v>12</v>
      </c>
      <c r="AE875" s="1">
        <v>11</v>
      </c>
      <c r="AF875" s="1">
        <v>0.8</v>
      </c>
      <c r="AG875" s="1">
        <v>0.88</v>
      </c>
      <c r="AH875" s="1">
        <v>0</v>
      </c>
      <c r="AI875" s="1">
        <v>0</v>
      </c>
      <c r="AJ875" s="1">
        <f t="shared" si="73"/>
        <v>0</v>
      </c>
      <c r="AK875" s="1">
        <f>C83</f>
        <v>0</v>
      </c>
      <c r="AL875" s="1">
        <f>C89</f>
        <v>0</v>
      </c>
      <c r="AM875" s="1">
        <f t="shared" si="74"/>
        <v>0</v>
      </c>
      <c r="AN875" s="1">
        <f t="shared" si="75"/>
        <v>0</v>
      </c>
      <c r="AO875" s="1">
        <f t="shared" si="76"/>
        <v>0</v>
      </c>
      <c r="AP875" t="b" cm="1">
        <f t="array" ref="AP875">INDEX($AU$8:$BB$25,6*(R875-1)+MATCH(AB875,$AS$8:$AS$13,0),MATCH(O875,$AU$7:$BB$7,0))</f>
        <v>1</v>
      </c>
    </row>
    <row r="876" spans="15:42" ht="14.25" x14ac:dyDescent="0.45">
      <c r="O876" s="43" t="s">
        <v>35</v>
      </c>
      <c r="P876" s="43">
        <v>3</v>
      </c>
      <c r="Q876" s="43">
        <v>6</v>
      </c>
      <c r="R876" s="43">
        <v>2</v>
      </c>
      <c r="S876" s="45"/>
      <c r="T876" t="b">
        <f>(S875+S876+S877)=T4</f>
        <v>0</v>
      </c>
      <c r="X876" s="1">
        <f t="shared" si="77"/>
        <v>0</v>
      </c>
      <c r="Y876" s="48">
        <v>0</v>
      </c>
      <c r="AA876" s="1">
        <v>1</v>
      </c>
      <c r="AB876" s="1" t="s">
        <v>14</v>
      </c>
      <c r="AC876" s="1" t="s">
        <v>20</v>
      </c>
      <c r="AD876" s="1">
        <v>12</v>
      </c>
      <c r="AE876" s="1">
        <v>11</v>
      </c>
      <c r="AF876" s="1">
        <v>0.8</v>
      </c>
      <c r="AG876" s="1">
        <v>0.88</v>
      </c>
      <c r="AH876" s="1">
        <v>0</v>
      </c>
      <c r="AI876" s="1">
        <v>0</v>
      </c>
      <c r="AJ876" s="1">
        <f t="shared" si="73"/>
        <v>0</v>
      </c>
      <c r="AK876" s="1">
        <f>D83</f>
        <v>0</v>
      </c>
      <c r="AL876" s="1">
        <f>D89</f>
        <v>0</v>
      </c>
      <c r="AM876" s="1">
        <f t="shared" si="74"/>
        <v>0</v>
      </c>
      <c r="AN876" s="1">
        <f t="shared" si="75"/>
        <v>0</v>
      </c>
      <c r="AO876" s="1">
        <f t="shared" si="76"/>
        <v>0</v>
      </c>
      <c r="AP876" t="b" cm="1">
        <f t="array" ref="AP876">INDEX($AU$8:$BB$25,6*(R876-1)+MATCH(AB876,$AS$8:$AS$13,0),MATCH(O876,$AU$7:$BB$7,0))</f>
        <v>1</v>
      </c>
    </row>
    <row r="877" spans="15:42" ht="14.25" x14ac:dyDescent="0.45">
      <c r="O877" s="43" t="s">
        <v>35</v>
      </c>
      <c r="P877" s="43">
        <v>3</v>
      </c>
      <c r="Q877" s="43">
        <v>6</v>
      </c>
      <c r="R877" s="43">
        <v>3</v>
      </c>
      <c r="S877" s="45"/>
      <c r="T877" t="b">
        <f>(S875+S876+S877)=T4</f>
        <v>0</v>
      </c>
      <c r="X877" s="1">
        <f t="shared" si="77"/>
        <v>0</v>
      </c>
      <c r="Y877" s="48">
        <v>0</v>
      </c>
      <c r="AA877" s="1">
        <v>1</v>
      </c>
      <c r="AB877" s="1" t="s">
        <v>14</v>
      </c>
      <c r="AC877" s="1" t="s">
        <v>20</v>
      </c>
      <c r="AD877" s="1">
        <v>12</v>
      </c>
      <c r="AE877" s="1">
        <v>11</v>
      </c>
      <c r="AF877" s="1">
        <v>0.8</v>
      </c>
      <c r="AG877" s="1">
        <v>0.88</v>
      </c>
      <c r="AH877" s="1">
        <v>0</v>
      </c>
      <c r="AI877" s="1">
        <v>0</v>
      </c>
      <c r="AJ877" s="1">
        <f t="shared" si="73"/>
        <v>0</v>
      </c>
      <c r="AK877" s="1">
        <f>E83</f>
        <v>0</v>
      </c>
      <c r="AL877" s="1">
        <f>E89</f>
        <v>0</v>
      </c>
      <c r="AM877" s="1">
        <f t="shared" si="74"/>
        <v>0</v>
      </c>
      <c r="AN877" s="1">
        <f t="shared" si="75"/>
        <v>0</v>
      </c>
      <c r="AO877" s="1">
        <f t="shared" si="76"/>
        <v>0</v>
      </c>
      <c r="AP877" t="b" cm="1">
        <f t="array" ref="AP877">INDEX($AU$8:$BB$25,6*(R877-1)+MATCH(AB877,$AS$8:$AS$13,0),MATCH(O877,$AU$7:$BB$7,0))</f>
        <v>1</v>
      </c>
    </row>
    <row r="878" spans="15:42" ht="14.25" x14ac:dyDescent="0.45">
      <c r="O878" s="43" t="s">
        <v>35</v>
      </c>
      <c r="P878" s="43">
        <v>3</v>
      </c>
      <c r="Q878" s="43">
        <v>7</v>
      </c>
      <c r="R878" s="43">
        <v>1</v>
      </c>
      <c r="S878" s="45"/>
      <c r="T878" t="b">
        <f>(S878+S879+S880)=T4</f>
        <v>0</v>
      </c>
      <c r="X878" s="1">
        <f t="shared" si="77"/>
        <v>0</v>
      </c>
      <c r="Y878" s="48">
        <v>0</v>
      </c>
      <c r="AA878" s="1">
        <v>3</v>
      </c>
      <c r="AB878" s="1" t="s">
        <v>13</v>
      </c>
      <c r="AC878" s="1" t="s">
        <v>19</v>
      </c>
      <c r="AD878" s="1">
        <v>24</v>
      </c>
      <c r="AE878" s="1">
        <v>21</v>
      </c>
      <c r="AF878" s="1">
        <v>0.8</v>
      </c>
      <c r="AG878" s="1">
        <v>0.86</v>
      </c>
      <c r="AH878" s="1">
        <v>0</v>
      </c>
      <c r="AI878" s="1">
        <v>0</v>
      </c>
      <c r="AJ878" s="1">
        <f t="shared" si="73"/>
        <v>0</v>
      </c>
      <c r="AK878" s="1">
        <f>C82</f>
        <v>0</v>
      </c>
      <c r="AL878" s="1">
        <f>C88</f>
        <v>0</v>
      </c>
      <c r="AM878" s="1">
        <f t="shared" si="74"/>
        <v>0</v>
      </c>
      <c r="AN878" s="1">
        <f t="shared" si="75"/>
        <v>0</v>
      </c>
      <c r="AO878" s="1">
        <f t="shared" si="76"/>
        <v>0</v>
      </c>
      <c r="AP878" t="b" cm="1">
        <f t="array" ref="AP878">INDEX($AU$8:$BB$25,6*(R878-1)+MATCH(AB878,$AS$8:$AS$13,0),MATCH(O878,$AU$7:$BB$7,0))</f>
        <v>1</v>
      </c>
    </row>
    <row r="879" spans="15:42" ht="14.25" x14ac:dyDescent="0.45">
      <c r="O879" s="43" t="s">
        <v>35</v>
      </c>
      <c r="P879" s="43">
        <v>3</v>
      </c>
      <c r="Q879" s="43">
        <v>7</v>
      </c>
      <c r="R879" s="43">
        <v>2</v>
      </c>
      <c r="S879" s="45"/>
      <c r="T879" t="b">
        <f>(S878+S879+S880)=T4</f>
        <v>0</v>
      </c>
      <c r="X879" s="1">
        <f t="shared" si="77"/>
        <v>0</v>
      </c>
      <c r="Y879" s="48">
        <v>0</v>
      </c>
      <c r="AA879" s="1">
        <v>3</v>
      </c>
      <c r="AB879" s="1" t="s">
        <v>13</v>
      </c>
      <c r="AC879" s="1" t="s">
        <v>19</v>
      </c>
      <c r="AD879" s="1">
        <v>24</v>
      </c>
      <c r="AE879" s="1">
        <v>21</v>
      </c>
      <c r="AF879" s="1">
        <v>0.8</v>
      </c>
      <c r="AG879" s="1">
        <v>0.86</v>
      </c>
      <c r="AH879" s="1">
        <v>0</v>
      </c>
      <c r="AI879" s="1">
        <v>0</v>
      </c>
      <c r="AJ879" s="1">
        <f t="shared" si="73"/>
        <v>0</v>
      </c>
      <c r="AK879" s="1">
        <f>D82</f>
        <v>0</v>
      </c>
      <c r="AL879" s="1">
        <f>D88</f>
        <v>0</v>
      </c>
      <c r="AM879" s="1">
        <f t="shared" si="74"/>
        <v>0</v>
      </c>
      <c r="AN879" s="1">
        <f t="shared" si="75"/>
        <v>0</v>
      </c>
      <c r="AO879" s="1">
        <f t="shared" si="76"/>
        <v>0</v>
      </c>
      <c r="AP879" t="b" cm="1">
        <f t="array" ref="AP879">INDEX($AU$8:$BB$25,6*(R879-1)+MATCH(AB879,$AS$8:$AS$13,0),MATCH(O879,$AU$7:$BB$7,0))</f>
        <v>1</v>
      </c>
    </row>
    <row r="880" spans="15:42" ht="14.25" x14ac:dyDescent="0.45">
      <c r="O880" s="43" t="s">
        <v>35</v>
      </c>
      <c r="P880" s="43">
        <v>3</v>
      </c>
      <c r="Q880" s="43">
        <v>7</v>
      </c>
      <c r="R880" s="43">
        <v>3</v>
      </c>
      <c r="S880" s="45"/>
      <c r="T880" t="b">
        <f>(S878+S879+S880)=T4</f>
        <v>0</v>
      </c>
      <c r="X880" s="1">
        <f t="shared" si="77"/>
        <v>0</v>
      </c>
      <c r="Y880" s="48">
        <v>0</v>
      </c>
      <c r="AA880" s="1">
        <v>3</v>
      </c>
      <c r="AB880" s="1" t="s">
        <v>13</v>
      </c>
      <c r="AC880" s="1" t="s">
        <v>19</v>
      </c>
      <c r="AD880" s="1">
        <v>24</v>
      </c>
      <c r="AE880" s="1">
        <v>21</v>
      </c>
      <c r="AF880" s="1">
        <v>0.8</v>
      </c>
      <c r="AG880" s="1">
        <v>0.86</v>
      </c>
      <c r="AH880" s="1">
        <v>0</v>
      </c>
      <c r="AI880" s="1">
        <v>0</v>
      </c>
      <c r="AJ880" s="1">
        <f t="shared" si="73"/>
        <v>0</v>
      </c>
      <c r="AK880" s="1">
        <f>E82</f>
        <v>0</v>
      </c>
      <c r="AL880" s="1">
        <f>E88</f>
        <v>0</v>
      </c>
      <c r="AM880" s="1">
        <f t="shared" si="74"/>
        <v>0</v>
      </c>
      <c r="AN880" s="1">
        <f t="shared" si="75"/>
        <v>0</v>
      </c>
      <c r="AO880" s="1">
        <f t="shared" si="76"/>
        <v>0</v>
      </c>
      <c r="AP880" t="b" cm="1">
        <f t="array" ref="AP880">INDEX($AU$8:$BB$25,6*(R880-1)+MATCH(AB880,$AS$8:$AS$13,0),MATCH(O880,$AU$7:$BB$7,0))</f>
        <v>1</v>
      </c>
    </row>
    <row r="881" spans="15:42" ht="14.25" x14ac:dyDescent="0.45">
      <c r="O881" s="43" t="s">
        <v>35</v>
      </c>
      <c r="P881" s="43">
        <v>3</v>
      </c>
      <c r="Q881" s="43">
        <v>8</v>
      </c>
      <c r="R881" s="43">
        <v>1</v>
      </c>
      <c r="S881" s="45"/>
      <c r="T881" t="b">
        <f>(S881+S882+S883)=T4</f>
        <v>0</v>
      </c>
      <c r="X881" s="1">
        <f t="shared" si="77"/>
        <v>0</v>
      </c>
      <c r="Y881" s="48">
        <v>0</v>
      </c>
      <c r="AA881" s="1">
        <v>5</v>
      </c>
      <c r="AB881" s="1" t="s">
        <v>13</v>
      </c>
      <c r="AC881" s="1" t="s">
        <v>19</v>
      </c>
      <c r="AD881" s="1">
        <v>19</v>
      </c>
      <c r="AE881" s="1">
        <v>13</v>
      </c>
      <c r="AF881" s="1">
        <v>0.8</v>
      </c>
      <c r="AG881" s="1">
        <v>0.86</v>
      </c>
      <c r="AH881" s="1">
        <v>0</v>
      </c>
      <c r="AI881" s="1">
        <v>0</v>
      </c>
      <c r="AJ881" s="1">
        <f t="shared" si="73"/>
        <v>0</v>
      </c>
      <c r="AK881" s="1">
        <f>C82</f>
        <v>0</v>
      </c>
      <c r="AL881" s="1">
        <f>C88</f>
        <v>0</v>
      </c>
      <c r="AM881" s="1">
        <f t="shared" si="74"/>
        <v>0</v>
      </c>
      <c r="AN881" s="1">
        <f t="shared" si="75"/>
        <v>0</v>
      </c>
      <c r="AO881" s="1">
        <f t="shared" si="76"/>
        <v>0</v>
      </c>
      <c r="AP881" t="b" cm="1">
        <f t="array" ref="AP881">INDEX($AU$8:$BB$25,6*(R881-1)+MATCH(AB881,$AS$8:$AS$13,0),MATCH(O881,$AU$7:$BB$7,0))</f>
        <v>1</v>
      </c>
    </row>
    <row r="882" spans="15:42" ht="14.25" x14ac:dyDescent="0.45">
      <c r="O882" s="43" t="s">
        <v>35</v>
      </c>
      <c r="P882" s="43">
        <v>3</v>
      </c>
      <c r="Q882" s="43">
        <v>8</v>
      </c>
      <c r="R882" s="43">
        <v>2</v>
      </c>
      <c r="S882" s="45"/>
      <c r="T882" t="b">
        <f>(S881+S882+S883)=T4</f>
        <v>0</v>
      </c>
      <c r="X882" s="1">
        <f t="shared" si="77"/>
        <v>0</v>
      </c>
      <c r="Y882" s="48">
        <v>0</v>
      </c>
      <c r="AA882" s="1">
        <v>5</v>
      </c>
      <c r="AB882" s="1" t="s">
        <v>13</v>
      </c>
      <c r="AC882" s="1" t="s">
        <v>19</v>
      </c>
      <c r="AD882" s="1">
        <v>19</v>
      </c>
      <c r="AE882" s="1">
        <v>13</v>
      </c>
      <c r="AF882" s="1">
        <v>0.8</v>
      </c>
      <c r="AG882" s="1">
        <v>0.86</v>
      </c>
      <c r="AH882" s="1">
        <v>0</v>
      </c>
      <c r="AI882" s="1">
        <v>0</v>
      </c>
      <c r="AJ882" s="1">
        <f t="shared" si="73"/>
        <v>0</v>
      </c>
      <c r="AK882" s="1">
        <f>D82</f>
        <v>0</v>
      </c>
      <c r="AL882" s="1">
        <f>D88</f>
        <v>0</v>
      </c>
      <c r="AM882" s="1">
        <f t="shared" si="74"/>
        <v>0</v>
      </c>
      <c r="AN882" s="1">
        <f t="shared" si="75"/>
        <v>0</v>
      </c>
      <c r="AO882" s="1">
        <f t="shared" si="76"/>
        <v>0</v>
      </c>
      <c r="AP882" t="b" cm="1">
        <f t="array" ref="AP882">INDEX($AU$8:$BB$25,6*(R882-1)+MATCH(AB882,$AS$8:$AS$13,0),MATCH(O882,$AU$7:$BB$7,0))</f>
        <v>1</v>
      </c>
    </row>
    <row r="883" spans="15:42" ht="14.25" x14ac:dyDescent="0.45">
      <c r="O883" s="43" t="s">
        <v>35</v>
      </c>
      <c r="P883" s="43">
        <v>3</v>
      </c>
      <c r="Q883" s="43">
        <v>8</v>
      </c>
      <c r="R883" s="43">
        <v>3</v>
      </c>
      <c r="S883" s="45"/>
      <c r="T883" t="b">
        <f>(S881+S882+S883)=T4</f>
        <v>0</v>
      </c>
      <c r="X883" s="1">
        <f t="shared" si="77"/>
        <v>0</v>
      </c>
      <c r="Y883" s="48">
        <v>0</v>
      </c>
      <c r="AA883" s="1">
        <v>5</v>
      </c>
      <c r="AB883" s="1" t="s">
        <v>13</v>
      </c>
      <c r="AC883" s="1" t="s">
        <v>19</v>
      </c>
      <c r="AD883" s="1">
        <v>19</v>
      </c>
      <c r="AE883" s="1">
        <v>13</v>
      </c>
      <c r="AF883" s="1">
        <v>0.8</v>
      </c>
      <c r="AG883" s="1">
        <v>0.86</v>
      </c>
      <c r="AH883" s="1">
        <v>0</v>
      </c>
      <c r="AI883" s="1">
        <v>0</v>
      </c>
      <c r="AJ883" s="1">
        <f t="shared" si="73"/>
        <v>0</v>
      </c>
      <c r="AK883" s="1">
        <f>E82</f>
        <v>0</v>
      </c>
      <c r="AL883" s="1">
        <f>E88</f>
        <v>0</v>
      </c>
      <c r="AM883" s="1">
        <f t="shared" si="74"/>
        <v>0</v>
      </c>
      <c r="AN883" s="1">
        <f t="shared" si="75"/>
        <v>0</v>
      </c>
      <c r="AO883" s="1">
        <f t="shared" si="76"/>
        <v>0</v>
      </c>
      <c r="AP883" t="b" cm="1">
        <f t="array" ref="AP883">INDEX($AU$8:$BB$25,6*(R883-1)+MATCH(AB883,$AS$8:$AS$13,0),MATCH(O883,$AU$7:$BB$7,0))</f>
        <v>1</v>
      </c>
    </row>
    <row r="884" spans="15:42" ht="14.25" x14ac:dyDescent="0.45">
      <c r="O884" s="43" t="s">
        <v>35</v>
      </c>
      <c r="P884" s="43">
        <v>3</v>
      </c>
      <c r="Q884" s="43">
        <v>9</v>
      </c>
      <c r="R884" s="43">
        <v>1</v>
      </c>
      <c r="S884" s="45"/>
      <c r="T884" t="b">
        <f>(S884+S885+S886)=T4</f>
        <v>0</v>
      </c>
      <c r="X884" s="1">
        <f t="shared" si="77"/>
        <v>0</v>
      </c>
      <c r="Y884" s="48">
        <v>0</v>
      </c>
      <c r="AA884" s="1">
        <v>3</v>
      </c>
      <c r="AB884" s="1" t="s">
        <v>14</v>
      </c>
      <c r="AC884" s="1" t="s">
        <v>20</v>
      </c>
      <c r="AD884" s="1">
        <v>15</v>
      </c>
      <c r="AE884" s="1">
        <v>13</v>
      </c>
      <c r="AF884" s="1">
        <v>0.8</v>
      </c>
      <c r="AG884" s="1">
        <v>0.88</v>
      </c>
      <c r="AH884" s="1">
        <v>0</v>
      </c>
      <c r="AI884" s="1">
        <v>0</v>
      </c>
      <c r="AJ884" s="1">
        <f t="shared" si="73"/>
        <v>0</v>
      </c>
      <c r="AK884" s="1">
        <f>C83</f>
        <v>0</v>
      </c>
      <c r="AL884" s="1">
        <f>C89</f>
        <v>0</v>
      </c>
      <c r="AM884" s="1">
        <f t="shared" si="74"/>
        <v>0</v>
      </c>
      <c r="AN884" s="1">
        <f t="shared" si="75"/>
        <v>0</v>
      </c>
      <c r="AO884" s="1">
        <f t="shared" si="76"/>
        <v>0</v>
      </c>
      <c r="AP884" t="b" cm="1">
        <f t="array" ref="AP884">INDEX($AU$8:$BB$25,6*(R884-1)+MATCH(AB884,$AS$8:$AS$13,0),MATCH(O884,$AU$7:$BB$7,0))</f>
        <v>1</v>
      </c>
    </row>
    <row r="885" spans="15:42" ht="14.25" x14ac:dyDescent="0.45">
      <c r="O885" s="43" t="s">
        <v>35</v>
      </c>
      <c r="P885" s="43">
        <v>3</v>
      </c>
      <c r="Q885" s="43">
        <v>9</v>
      </c>
      <c r="R885" s="43">
        <v>2</v>
      </c>
      <c r="S885" s="45"/>
      <c r="T885" t="b">
        <f>(S884+S885+S886)=T4</f>
        <v>0</v>
      </c>
      <c r="X885" s="1">
        <f t="shared" si="77"/>
        <v>0</v>
      </c>
      <c r="Y885" s="48">
        <v>0</v>
      </c>
      <c r="AA885" s="1">
        <v>3</v>
      </c>
      <c r="AB885" s="1" t="s">
        <v>14</v>
      </c>
      <c r="AC885" s="1" t="s">
        <v>20</v>
      </c>
      <c r="AD885" s="1">
        <v>15</v>
      </c>
      <c r="AE885" s="1">
        <v>13</v>
      </c>
      <c r="AF885" s="1">
        <v>0.8</v>
      </c>
      <c r="AG885" s="1">
        <v>0.88</v>
      </c>
      <c r="AH885" s="1">
        <v>0</v>
      </c>
      <c r="AI885" s="1">
        <v>0</v>
      </c>
      <c r="AJ885" s="1">
        <f t="shared" si="73"/>
        <v>0</v>
      </c>
      <c r="AK885" s="1">
        <f>D83</f>
        <v>0</v>
      </c>
      <c r="AL885" s="1">
        <f>D89</f>
        <v>0</v>
      </c>
      <c r="AM885" s="1">
        <f t="shared" si="74"/>
        <v>0</v>
      </c>
      <c r="AN885" s="1">
        <f t="shared" si="75"/>
        <v>0</v>
      </c>
      <c r="AO885" s="1">
        <f t="shared" si="76"/>
        <v>0</v>
      </c>
      <c r="AP885" t="b" cm="1">
        <f t="array" ref="AP885">INDEX($AU$8:$BB$25,6*(R885-1)+MATCH(AB885,$AS$8:$AS$13,0),MATCH(O885,$AU$7:$BB$7,0))</f>
        <v>1</v>
      </c>
    </row>
    <row r="886" spans="15:42" ht="14.25" x14ac:dyDescent="0.45">
      <c r="O886" s="43" t="s">
        <v>35</v>
      </c>
      <c r="P886" s="43">
        <v>3</v>
      </c>
      <c r="Q886" s="43">
        <v>9</v>
      </c>
      <c r="R886" s="43">
        <v>3</v>
      </c>
      <c r="S886" s="45"/>
      <c r="T886" t="b">
        <f>(S884+S885+S886)=T4</f>
        <v>0</v>
      </c>
      <c r="X886" s="1">
        <f t="shared" si="77"/>
        <v>0</v>
      </c>
      <c r="Y886" s="48">
        <v>0</v>
      </c>
      <c r="AA886" s="1">
        <v>3</v>
      </c>
      <c r="AB886" s="1" t="s">
        <v>14</v>
      </c>
      <c r="AC886" s="1" t="s">
        <v>20</v>
      </c>
      <c r="AD886" s="1">
        <v>15</v>
      </c>
      <c r="AE886" s="1">
        <v>13</v>
      </c>
      <c r="AF886" s="1">
        <v>0.8</v>
      </c>
      <c r="AG886" s="1">
        <v>0.88</v>
      </c>
      <c r="AH886" s="1">
        <v>0</v>
      </c>
      <c r="AI886" s="1">
        <v>0</v>
      </c>
      <c r="AJ886" s="1">
        <f t="shared" si="73"/>
        <v>0</v>
      </c>
      <c r="AK886" s="1">
        <f>E83</f>
        <v>0</v>
      </c>
      <c r="AL886" s="1">
        <f>E89</f>
        <v>0</v>
      </c>
      <c r="AM886" s="1">
        <f t="shared" si="74"/>
        <v>0</v>
      </c>
      <c r="AN886" s="1">
        <f t="shared" si="75"/>
        <v>0</v>
      </c>
      <c r="AO886" s="1">
        <f t="shared" si="76"/>
        <v>0</v>
      </c>
      <c r="AP886" t="b" cm="1">
        <f t="array" ref="AP886">INDEX($AU$8:$BB$25,6*(R886-1)+MATCH(AB886,$AS$8:$AS$13,0),MATCH(O886,$AU$7:$BB$7,0))</f>
        <v>1</v>
      </c>
    </row>
    <row r="887" spans="15:42" ht="14.25" x14ac:dyDescent="0.45">
      <c r="O887" s="43" t="s">
        <v>35</v>
      </c>
      <c r="P887" s="43">
        <v>3</v>
      </c>
      <c r="Q887" s="43">
        <v>10</v>
      </c>
      <c r="R887" s="43">
        <v>1</v>
      </c>
      <c r="S887" s="45"/>
      <c r="T887" t="b">
        <f>(S887+S888+S889)=T4</f>
        <v>0</v>
      </c>
      <c r="X887" s="1">
        <f t="shared" si="77"/>
        <v>0</v>
      </c>
      <c r="Y887" s="48">
        <v>0</v>
      </c>
      <c r="AA887" s="1">
        <v>5</v>
      </c>
      <c r="AB887" s="1" t="s">
        <v>14</v>
      </c>
      <c r="AC887" s="1" t="s">
        <v>20</v>
      </c>
      <c r="AD887" s="1">
        <v>24</v>
      </c>
      <c r="AE887" s="1">
        <v>20</v>
      </c>
      <c r="AF887" s="1">
        <v>0.8</v>
      </c>
      <c r="AG887" s="1">
        <v>0.88</v>
      </c>
      <c r="AH887" s="1">
        <v>0</v>
      </c>
      <c r="AI887" s="1">
        <v>0</v>
      </c>
      <c r="AJ887" s="1">
        <f t="shared" si="73"/>
        <v>0</v>
      </c>
      <c r="AK887" s="1">
        <f>C83</f>
        <v>0</v>
      </c>
      <c r="AL887" s="1">
        <f>C89</f>
        <v>0</v>
      </c>
      <c r="AM887" s="1">
        <f t="shared" si="74"/>
        <v>0</v>
      </c>
      <c r="AN887" s="1">
        <f t="shared" si="75"/>
        <v>0</v>
      </c>
      <c r="AO887" s="1">
        <f t="shared" si="76"/>
        <v>0</v>
      </c>
      <c r="AP887" t="b" cm="1">
        <f t="array" ref="AP887">INDEX($AU$8:$BB$25,6*(R887-1)+MATCH(AB887,$AS$8:$AS$13,0),MATCH(O887,$AU$7:$BB$7,0))</f>
        <v>1</v>
      </c>
    </row>
    <row r="888" spans="15:42" ht="14.25" x14ac:dyDescent="0.45">
      <c r="O888" s="43" t="s">
        <v>35</v>
      </c>
      <c r="P888" s="43">
        <v>3</v>
      </c>
      <c r="Q888" s="43">
        <v>10</v>
      </c>
      <c r="R888" s="43">
        <v>2</v>
      </c>
      <c r="S888" s="45"/>
      <c r="T888" t="b">
        <f>(S887+S888+S889)=T4</f>
        <v>0</v>
      </c>
      <c r="X888" s="1">
        <f t="shared" si="77"/>
        <v>0</v>
      </c>
      <c r="Y888" s="48">
        <v>0</v>
      </c>
      <c r="AA888" s="1">
        <v>5</v>
      </c>
      <c r="AB888" s="1" t="s">
        <v>14</v>
      </c>
      <c r="AC888" s="1" t="s">
        <v>20</v>
      </c>
      <c r="AD888" s="1">
        <v>24</v>
      </c>
      <c r="AE888" s="1">
        <v>20</v>
      </c>
      <c r="AF888" s="1">
        <v>0.8</v>
      </c>
      <c r="AG888" s="1">
        <v>0.88</v>
      </c>
      <c r="AH888" s="1">
        <v>0</v>
      </c>
      <c r="AI888" s="1">
        <v>0</v>
      </c>
      <c r="AJ888" s="1">
        <f t="shared" si="73"/>
        <v>0</v>
      </c>
      <c r="AK888" s="1">
        <f>D83</f>
        <v>0</v>
      </c>
      <c r="AL888" s="1">
        <f>D89</f>
        <v>0</v>
      </c>
      <c r="AM888" s="1">
        <f t="shared" si="74"/>
        <v>0</v>
      </c>
      <c r="AN888" s="1">
        <f t="shared" si="75"/>
        <v>0</v>
      </c>
      <c r="AO888" s="1">
        <f t="shared" si="76"/>
        <v>0</v>
      </c>
      <c r="AP888" t="b" cm="1">
        <f t="array" ref="AP888">INDEX($AU$8:$BB$25,6*(R888-1)+MATCH(AB888,$AS$8:$AS$13,0),MATCH(O888,$AU$7:$BB$7,0))</f>
        <v>1</v>
      </c>
    </row>
    <row r="889" spans="15:42" ht="14.25" x14ac:dyDescent="0.45">
      <c r="O889" s="43" t="s">
        <v>35</v>
      </c>
      <c r="P889" s="43">
        <v>3</v>
      </c>
      <c r="Q889" s="43">
        <v>10</v>
      </c>
      <c r="R889" s="43">
        <v>3</v>
      </c>
      <c r="S889" s="45"/>
      <c r="T889" t="b">
        <f>(S887+S888+S889)=T4</f>
        <v>0</v>
      </c>
      <c r="X889" s="1">
        <f t="shared" si="77"/>
        <v>0</v>
      </c>
      <c r="Y889" s="48">
        <v>0</v>
      </c>
      <c r="AA889" s="1">
        <v>5</v>
      </c>
      <c r="AB889" s="1" t="s">
        <v>14</v>
      </c>
      <c r="AC889" s="1" t="s">
        <v>20</v>
      </c>
      <c r="AD889" s="1">
        <v>24</v>
      </c>
      <c r="AE889" s="1">
        <v>20</v>
      </c>
      <c r="AF889" s="1">
        <v>0.8</v>
      </c>
      <c r="AG889" s="1">
        <v>0.88</v>
      </c>
      <c r="AH889" s="1">
        <v>0</v>
      </c>
      <c r="AI889" s="1">
        <v>0</v>
      </c>
      <c r="AJ889" s="1">
        <f t="shared" si="73"/>
        <v>0</v>
      </c>
      <c r="AK889" s="1">
        <f>E83</f>
        <v>0</v>
      </c>
      <c r="AL889" s="1">
        <f>E89</f>
        <v>0</v>
      </c>
      <c r="AM889" s="1">
        <f t="shared" si="74"/>
        <v>0</v>
      </c>
      <c r="AN889" s="1">
        <f t="shared" si="75"/>
        <v>0</v>
      </c>
      <c r="AO889" s="1">
        <f t="shared" si="76"/>
        <v>0</v>
      </c>
      <c r="AP889" t="b" cm="1">
        <f t="array" ref="AP889">INDEX($AU$8:$BB$25,6*(R889-1)+MATCH(AB889,$AS$8:$AS$13,0),MATCH(O889,$AU$7:$BB$7,0))</f>
        <v>1</v>
      </c>
    </row>
    <row r="890" spans="15:42" ht="14.25" x14ac:dyDescent="0.45">
      <c r="O890" s="43" t="s">
        <v>35</v>
      </c>
      <c r="P890" s="43">
        <v>3</v>
      </c>
      <c r="Q890" s="43">
        <v>11</v>
      </c>
      <c r="R890" s="43">
        <v>1</v>
      </c>
      <c r="S890" s="45"/>
      <c r="T890" t="b">
        <f>(S890+S891+S892)=T4</f>
        <v>0</v>
      </c>
      <c r="X890" s="1">
        <f t="shared" si="77"/>
        <v>0</v>
      </c>
      <c r="Y890" s="48">
        <v>0</v>
      </c>
      <c r="AA890" s="1">
        <v>3</v>
      </c>
      <c r="AB890" s="1" t="s">
        <v>15</v>
      </c>
      <c r="AC890" s="1" t="s">
        <v>21</v>
      </c>
      <c r="AD890" s="1">
        <v>17</v>
      </c>
      <c r="AE890" s="1">
        <v>15</v>
      </c>
      <c r="AF890" s="1">
        <v>0.76</v>
      </c>
      <c r="AG890" s="1">
        <v>0.84</v>
      </c>
      <c r="AH890" s="1">
        <v>0</v>
      </c>
      <c r="AI890" s="1">
        <v>0</v>
      </c>
      <c r="AJ890" s="1">
        <f t="shared" si="73"/>
        <v>0</v>
      </c>
      <c r="AK890" s="1">
        <f>C84</f>
        <v>0</v>
      </c>
      <c r="AL890" s="1">
        <f>C90</f>
        <v>0</v>
      </c>
      <c r="AM890" s="1">
        <f t="shared" si="74"/>
        <v>0</v>
      </c>
      <c r="AN890" s="1">
        <f t="shared" si="75"/>
        <v>0</v>
      </c>
      <c r="AO890" s="1">
        <f t="shared" si="76"/>
        <v>0</v>
      </c>
      <c r="AP890" t="b" cm="1">
        <f t="array" ref="AP890">INDEX($AU$8:$BB$25,6*(R890-1)+MATCH(AB890,$AS$8:$AS$13,0),MATCH(O890,$AU$7:$BB$7,0))</f>
        <v>1</v>
      </c>
    </row>
    <row r="891" spans="15:42" ht="14.25" x14ac:dyDescent="0.45">
      <c r="O891" s="43" t="s">
        <v>35</v>
      </c>
      <c r="P891" s="43">
        <v>3</v>
      </c>
      <c r="Q891" s="43">
        <v>11</v>
      </c>
      <c r="R891" s="43">
        <v>2</v>
      </c>
      <c r="S891" s="45"/>
      <c r="T891" t="b">
        <f>(S890+S891+S892)=T4</f>
        <v>0</v>
      </c>
      <c r="X891" s="1">
        <f t="shared" si="77"/>
        <v>0</v>
      </c>
      <c r="Y891" s="48">
        <v>0</v>
      </c>
      <c r="AA891" s="1">
        <v>3</v>
      </c>
      <c r="AB891" s="1" t="s">
        <v>15</v>
      </c>
      <c r="AC891" s="1" t="s">
        <v>21</v>
      </c>
      <c r="AD891" s="1">
        <v>17</v>
      </c>
      <c r="AE891" s="1">
        <v>15</v>
      </c>
      <c r="AF891" s="1">
        <v>0.76</v>
      </c>
      <c r="AG891" s="1">
        <v>0.84</v>
      </c>
      <c r="AH891" s="1">
        <v>0</v>
      </c>
      <c r="AI891" s="1">
        <v>0</v>
      </c>
      <c r="AJ891" s="1">
        <f t="shared" si="73"/>
        <v>0</v>
      </c>
      <c r="AK891" s="1">
        <f>D84</f>
        <v>0</v>
      </c>
      <c r="AL891" s="1">
        <f>D90</f>
        <v>0</v>
      </c>
      <c r="AM891" s="1">
        <f t="shared" si="74"/>
        <v>0</v>
      </c>
      <c r="AN891" s="1">
        <f t="shared" si="75"/>
        <v>0</v>
      </c>
      <c r="AO891" s="1">
        <f t="shared" si="76"/>
        <v>0</v>
      </c>
      <c r="AP891" t="b" cm="1">
        <f t="array" ref="AP891">INDEX($AU$8:$BB$25,6*(R891-1)+MATCH(AB891,$AS$8:$AS$13,0),MATCH(O891,$AU$7:$BB$7,0))</f>
        <v>1</v>
      </c>
    </row>
    <row r="892" spans="15:42" ht="14.25" x14ac:dyDescent="0.45">
      <c r="O892" s="43" t="s">
        <v>35</v>
      </c>
      <c r="P892" s="43">
        <v>3</v>
      </c>
      <c r="Q892" s="43">
        <v>11</v>
      </c>
      <c r="R892" s="43">
        <v>3</v>
      </c>
      <c r="S892" s="45"/>
      <c r="T892" t="b">
        <f>(S890+S891+S892)=T4</f>
        <v>0</v>
      </c>
      <c r="X892" s="1">
        <f t="shared" si="77"/>
        <v>0</v>
      </c>
      <c r="Y892" s="48">
        <v>0</v>
      </c>
      <c r="AA892" s="1">
        <v>3</v>
      </c>
      <c r="AB892" s="1" t="s">
        <v>15</v>
      </c>
      <c r="AC892" s="1" t="s">
        <v>21</v>
      </c>
      <c r="AD892" s="1">
        <v>17</v>
      </c>
      <c r="AE892" s="1">
        <v>15</v>
      </c>
      <c r="AF892" s="1">
        <v>0.76</v>
      </c>
      <c r="AG892" s="1">
        <v>0.84</v>
      </c>
      <c r="AH892" s="1">
        <v>0</v>
      </c>
      <c r="AI892" s="1">
        <v>0</v>
      </c>
      <c r="AJ892" s="1">
        <f t="shared" si="73"/>
        <v>0</v>
      </c>
      <c r="AK892" s="1">
        <f>E84</f>
        <v>0</v>
      </c>
      <c r="AL892" s="1">
        <f>E90</f>
        <v>0</v>
      </c>
      <c r="AM892" s="1">
        <f t="shared" si="74"/>
        <v>0</v>
      </c>
      <c r="AN892" s="1">
        <f t="shared" si="75"/>
        <v>0</v>
      </c>
      <c r="AO892" s="1">
        <f t="shared" si="76"/>
        <v>0</v>
      </c>
      <c r="AP892" t="b" cm="1">
        <f t="array" ref="AP892">INDEX($AU$8:$BB$25,6*(R892-1)+MATCH(AB892,$AS$8:$AS$13,0),MATCH(O892,$AU$7:$BB$7,0))</f>
        <v>1</v>
      </c>
    </row>
    <row r="893" spans="15:42" ht="14.25" x14ac:dyDescent="0.45">
      <c r="O893" s="43" t="s">
        <v>35</v>
      </c>
      <c r="P893" s="43">
        <v>3</v>
      </c>
      <c r="Q893" s="43">
        <v>12</v>
      </c>
      <c r="R893" s="43">
        <v>1</v>
      </c>
      <c r="S893" s="45"/>
      <c r="T893" t="b">
        <f>(S893+S894+S895)=T4</f>
        <v>0</v>
      </c>
      <c r="X893" s="1">
        <f t="shared" si="77"/>
        <v>0</v>
      </c>
      <c r="Y893" s="48">
        <v>0</v>
      </c>
      <c r="AA893" s="1">
        <v>10</v>
      </c>
      <c r="AB893" s="1" t="s">
        <v>15</v>
      </c>
      <c r="AC893" s="1" t="s">
        <v>21</v>
      </c>
      <c r="AD893" s="1">
        <v>18</v>
      </c>
      <c r="AE893" s="1">
        <v>13</v>
      </c>
      <c r="AF893" s="1">
        <v>0.76</v>
      </c>
      <c r="AG893" s="1">
        <v>0.84</v>
      </c>
      <c r="AH893" s="1">
        <v>0</v>
      </c>
      <c r="AI893" s="1">
        <v>0</v>
      </c>
      <c r="AJ893" s="1">
        <f t="shared" si="73"/>
        <v>0</v>
      </c>
      <c r="AK893" s="1">
        <f>C84</f>
        <v>0</v>
      </c>
      <c r="AL893" s="1">
        <f>C90</f>
        <v>0</v>
      </c>
      <c r="AM893" s="1">
        <f t="shared" si="74"/>
        <v>0</v>
      </c>
      <c r="AN893" s="1">
        <f t="shared" si="75"/>
        <v>0</v>
      </c>
      <c r="AO893" s="1">
        <f t="shared" si="76"/>
        <v>0</v>
      </c>
      <c r="AP893" t="b" cm="1">
        <f t="array" ref="AP893">INDEX($AU$8:$BB$25,6*(R893-1)+MATCH(AB893,$AS$8:$AS$13,0),MATCH(O893,$AU$7:$BB$7,0))</f>
        <v>1</v>
      </c>
    </row>
    <row r="894" spans="15:42" ht="14.25" x14ac:dyDescent="0.45">
      <c r="O894" s="43" t="s">
        <v>35</v>
      </c>
      <c r="P894" s="43">
        <v>3</v>
      </c>
      <c r="Q894" s="43">
        <v>12</v>
      </c>
      <c r="R894" s="43">
        <v>2</v>
      </c>
      <c r="S894" s="45"/>
      <c r="T894" t="b">
        <f>(S893+S894+S895)=T4</f>
        <v>0</v>
      </c>
      <c r="X894" s="1">
        <f t="shared" si="77"/>
        <v>0</v>
      </c>
      <c r="Y894" s="48">
        <v>0</v>
      </c>
      <c r="AA894" s="1">
        <v>10</v>
      </c>
      <c r="AB894" s="1" t="s">
        <v>15</v>
      </c>
      <c r="AC894" s="1" t="s">
        <v>21</v>
      </c>
      <c r="AD894" s="1">
        <v>18</v>
      </c>
      <c r="AE894" s="1">
        <v>13</v>
      </c>
      <c r="AF894" s="1">
        <v>0.76</v>
      </c>
      <c r="AG894" s="1">
        <v>0.84</v>
      </c>
      <c r="AH894" s="1">
        <v>0</v>
      </c>
      <c r="AI894" s="1">
        <v>0</v>
      </c>
      <c r="AJ894" s="1">
        <f t="shared" si="73"/>
        <v>0</v>
      </c>
      <c r="AK894" s="1">
        <f>D84</f>
        <v>0</v>
      </c>
      <c r="AL894" s="1">
        <f>D90</f>
        <v>0</v>
      </c>
      <c r="AM894" s="1">
        <f t="shared" si="74"/>
        <v>0</v>
      </c>
      <c r="AN894" s="1">
        <f t="shared" si="75"/>
        <v>0</v>
      </c>
      <c r="AO894" s="1">
        <f t="shared" si="76"/>
        <v>0</v>
      </c>
      <c r="AP894" t="b" cm="1">
        <f t="array" ref="AP894">INDEX($AU$8:$BB$25,6*(R894-1)+MATCH(AB894,$AS$8:$AS$13,0),MATCH(O894,$AU$7:$BB$7,0))</f>
        <v>1</v>
      </c>
    </row>
    <row r="895" spans="15:42" ht="14.25" x14ac:dyDescent="0.45">
      <c r="O895" s="43" t="s">
        <v>35</v>
      </c>
      <c r="P895" s="43">
        <v>3</v>
      </c>
      <c r="Q895" s="43">
        <v>12</v>
      </c>
      <c r="R895" s="43">
        <v>3</v>
      </c>
      <c r="S895" s="45"/>
      <c r="T895" t="b">
        <f>(S893+S894+S895)=T4</f>
        <v>0</v>
      </c>
      <c r="X895" s="1">
        <f t="shared" si="77"/>
        <v>0</v>
      </c>
      <c r="Y895" s="48">
        <v>0</v>
      </c>
      <c r="AA895" s="1">
        <v>10</v>
      </c>
      <c r="AB895" s="1" t="s">
        <v>15</v>
      </c>
      <c r="AC895" s="1" t="s">
        <v>21</v>
      </c>
      <c r="AD895" s="1">
        <v>18</v>
      </c>
      <c r="AE895" s="1">
        <v>13</v>
      </c>
      <c r="AF895" s="1">
        <v>0.76</v>
      </c>
      <c r="AG895" s="1">
        <v>0.84</v>
      </c>
      <c r="AH895" s="1">
        <v>0</v>
      </c>
      <c r="AI895" s="1">
        <v>0</v>
      </c>
      <c r="AJ895" s="1">
        <f t="shared" si="73"/>
        <v>0</v>
      </c>
      <c r="AK895" s="1">
        <f>E84</f>
        <v>0</v>
      </c>
      <c r="AL895" s="1">
        <f>E90</f>
        <v>0</v>
      </c>
      <c r="AM895" s="1">
        <f t="shared" si="74"/>
        <v>0</v>
      </c>
      <c r="AN895" s="1">
        <f t="shared" si="75"/>
        <v>0</v>
      </c>
      <c r="AO895" s="1">
        <f t="shared" si="76"/>
        <v>0</v>
      </c>
      <c r="AP895" t="b" cm="1">
        <f t="array" ref="AP895">INDEX($AU$8:$BB$25,6*(R895-1)+MATCH(AB895,$AS$8:$AS$13,0),MATCH(O895,$AU$7:$BB$7,0))</f>
        <v>1</v>
      </c>
    </row>
    <row r="896" spans="15:42" ht="14.25" x14ac:dyDescent="0.45">
      <c r="O896" s="43" t="s">
        <v>35</v>
      </c>
      <c r="P896" s="43">
        <v>3</v>
      </c>
      <c r="Q896" s="43">
        <v>13</v>
      </c>
      <c r="R896" s="43">
        <v>1</v>
      </c>
      <c r="S896" s="45"/>
      <c r="T896" t="b">
        <f>(S896+S897+S898)=T4</f>
        <v>0</v>
      </c>
      <c r="X896" s="1">
        <f t="shared" si="77"/>
        <v>0</v>
      </c>
      <c r="Y896" s="48">
        <v>0</v>
      </c>
      <c r="AA896" s="1">
        <v>2</v>
      </c>
      <c r="AB896" s="1" t="s">
        <v>16</v>
      </c>
      <c r="AC896" s="1" t="s">
        <v>22</v>
      </c>
      <c r="AD896" s="1">
        <v>20</v>
      </c>
      <c r="AE896" s="1">
        <v>18</v>
      </c>
      <c r="AF896" s="1">
        <v>0.8</v>
      </c>
      <c r="AG896" s="1">
        <v>0.9</v>
      </c>
      <c r="AH896" s="1">
        <v>0</v>
      </c>
      <c r="AI896" s="1">
        <v>0</v>
      </c>
      <c r="AJ896" s="1">
        <f t="shared" si="73"/>
        <v>0</v>
      </c>
      <c r="AK896" s="1">
        <f>C85</f>
        <v>0</v>
      </c>
      <c r="AL896" s="1">
        <f>C91</f>
        <v>0</v>
      </c>
      <c r="AM896" s="1">
        <f t="shared" si="74"/>
        <v>0</v>
      </c>
      <c r="AN896" s="1">
        <f t="shared" si="75"/>
        <v>0</v>
      </c>
      <c r="AO896" s="1">
        <f t="shared" si="76"/>
        <v>0</v>
      </c>
      <c r="AP896" t="b" cm="1">
        <f t="array" ref="AP896">INDEX($AU$8:$BB$25,6*(R896-1)+MATCH(AB896,$AS$8:$AS$13,0),MATCH(O896,$AU$7:$BB$7,0))</f>
        <v>1</v>
      </c>
    </row>
    <row r="897" spans="15:42" ht="14.25" x14ac:dyDescent="0.45">
      <c r="O897" s="43" t="s">
        <v>35</v>
      </c>
      <c r="P897" s="43">
        <v>3</v>
      </c>
      <c r="Q897" s="43">
        <v>13</v>
      </c>
      <c r="R897" s="43">
        <v>2</v>
      </c>
      <c r="S897" s="45"/>
      <c r="T897" t="b">
        <f>(S896+S897+S898)=T4</f>
        <v>0</v>
      </c>
      <c r="X897" s="1">
        <f t="shared" si="77"/>
        <v>0</v>
      </c>
      <c r="Y897" s="48">
        <v>0</v>
      </c>
      <c r="AA897" s="1">
        <v>2</v>
      </c>
      <c r="AB897" s="1" t="s">
        <v>16</v>
      </c>
      <c r="AC897" s="1" t="s">
        <v>22</v>
      </c>
      <c r="AD897" s="1">
        <v>20</v>
      </c>
      <c r="AE897" s="1">
        <v>18</v>
      </c>
      <c r="AF897" s="1">
        <v>0.8</v>
      </c>
      <c r="AG897" s="1">
        <v>0.9</v>
      </c>
      <c r="AH897" s="1">
        <v>0</v>
      </c>
      <c r="AI897" s="1">
        <v>0</v>
      </c>
      <c r="AJ897" s="1">
        <f t="shared" si="73"/>
        <v>0</v>
      </c>
      <c r="AK897" s="1">
        <f>D85</f>
        <v>0</v>
      </c>
      <c r="AL897" s="1">
        <f>D91</f>
        <v>0</v>
      </c>
      <c r="AM897" s="1">
        <f t="shared" si="74"/>
        <v>0</v>
      </c>
      <c r="AN897" s="1">
        <f t="shared" si="75"/>
        <v>0</v>
      </c>
      <c r="AO897" s="1">
        <f t="shared" si="76"/>
        <v>0</v>
      </c>
      <c r="AP897" t="b" cm="1">
        <f t="array" ref="AP897">INDEX($AU$8:$BB$25,6*(R897-1)+MATCH(AB897,$AS$8:$AS$13,0),MATCH(O897,$AU$7:$BB$7,0))</f>
        <v>1</v>
      </c>
    </row>
    <row r="898" spans="15:42" ht="14.25" x14ac:dyDescent="0.45">
      <c r="O898" s="43" t="s">
        <v>35</v>
      </c>
      <c r="P898" s="43">
        <v>3</v>
      </c>
      <c r="Q898" s="43">
        <v>13</v>
      </c>
      <c r="R898" s="43">
        <v>3</v>
      </c>
      <c r="S898" s="45"/>
      <c r="T898" t="b">
        <f>(S896+S897+S898)=T4</f>
        <v>0</v>
      </c>
      <c r="X898" s="1">
        <f t="shared" si="77"/>
        <v>0</v>
      </c>
      <c r="Y898" s="48">
        <v>0</v>
      </c>
      <c r="AA898" s="1">
        <v>2</v>
      </c>
      <c r="AB898" s="1" t="s">
        <v>16</v>
      </c>
      <c r="AC898" s="1" t="s">
        <v>22</v>
      </c>
      <c r="AD898" s="1">
        <v>20</v>
      </c>
      <c r="AE898" s="1">
        <v>18</v>
      </c>
      <c r="AF898" s="1">
        <v>0.8</v>
      </c>
      <c r="AG898" s="1">
        <v>0.9</v>
      </c>
      <c r="AH898" s="1">
        <v>0</v>
      </c>
      <c r="AI898" s="1">
        <v>0</v>
      </c>
      <c r="AJ898" s="1">
        <f t="shared" si="73"/>
        <v>0</v>
      </c>
      <c r="AK898" s="1">
        <f>E85</f>
        <v>0</v>
      </c>
      <c r="AL898" s="1">
        <f>E91</f>
        <v>0</v>
      </c>
      <c r="AM898" s="1">
        <f t="shared" si="74"/>
        <v>0</v>
      </c>
      <c r="AN898" s="1">
        <f t="shared" si="75"/>
        <v>0</v>
      </c>
      <c r="AO898" s="1">
        <f t="shared" si="76"/>
        <v>0</v>
      </c>
      <c r="AP898" t="b" cm="1">
        <f t="array" ref="AP898">INDEX($AU$8:$BB$25,6*(R898-1)+MATCH(AB898,$AS$8:$AS$13,0),MATCH(O898,$AU$7:$BB$7,0))</f>
        <v>1</v>
      </c>
    </row>
    <row r="899" spans="15:42" ht="14.25" x14ac:dyDescent="0.45">
      <c r="O899" s="43" t="s">
        <v>35</v>
      </c>
      <c r="P899" s="43">
        <v>3</v>
      </c>
      <c r="Q899" s="43">
        <v>14</v>
      </c>
      <c r="R899" s="43">
        <v>1</v>
      </c>
      <c r="S899" s="45"/>
      <c r="T899" t="b">
        <f>(S899+S900+S901)=T4</f>
        <v>0</v>
      </c>
      <c r="X899" s="1">
        <f t="shared" si="77"/>
        <v>0</v>
      </c>
      <c r="Y899" s="48">
        <v>0</v>
      </c>
      <c r="AA899" s="1">
        <v>2</v>
      </c>
      <c r="AB899" s="1" t="s">
        <v>13</v>
      </c>
      <c r="AC899" s="1" t="s">
        <v>19</v>
      </c>
      <c r="AD899" s="1">
        <v>12</v>
      </c>
      <c r="AE899" s="1">
        <v>11</v>
      </c>
      <c r="AF899" s="1">
        <v>0.8</v>
      </c>
      <c r="AG899" s="1">
        <v>0.86</v>
      </c>
      <c r="AH899" s="1">
        <v>0</v>
      </c>
      <c r="AI899" s="1">
        <v>0</v>
      </c>
      <c r="AJ899" s="1">
        <f t="shared" si="73"/>
        <v>0</v>
      </c>
      <c r="AK899" s="1">
        <f>C82</f>
        <v>0</v>
      </c>
      <c r="AL899" s="1">
        <f>C88</f>
        <v>0</v>
      </c>
      <c r="AM899" s="1">
        <f t="shared" si="74"/>
        <v>0</v>
      </c>
      <c r="AN899" s="1">
        <f t="shared" si="75"/>
        <v>0</v>
      </c>
      <c r="AO899" s="1">
        <f t="shared" si="76"/>
        <v>0</v>
      </c>
      <c r="AP899" t="b" cm="1">
        <f t="array" ref="AP899">INDEX($AU$8:$BB$25,6*(R899-1)+MATCH(AB899,$AS$8:$AS$13,0),MATCH(O899,$AU$7:$BB$7,0))</f>
        <v>1</v>
      </c>
    </row>
    <row r="900" spans="15:42" ht="14.25" x14ac:dyDescent="0.45">
      <c r="O900" s="43" t="s">
        <v>35</v>
      </c>
      <c r="P900" s="43">
        <v>3</v>
      </c>
      <c r="Q900" s="43">
        <v>14</v>
      </c>
      <c r="R900" s="43">
        <v>2</v>
      </c>
      <c r="S900" s="45"/>
      <c r="T900" t="b">
        <f>(S899+S900+S901)=T4</f>
        <v>0</v>
      </c>
      <c r="X900" s="1">
        <f t="shared" si="77"/>
        <v>0</v>
      </c>
      <c r="Y900" s="48">
        <v>0</v>
      </c>
      <c r="AA900" s="1">
        <v>2</v>
      </c>
      <c r="AB900" s="1" t="s">
        <v>13</v>
      </c>
      <c r="AC900" s="1" t="s">
        <v>19</v>
      </c>
      <c r="AD900" s="1">
        <v>12</v>
      </c>
      <c r="AE900" s="1">
        <v>11</v>
      </c>
      <c r="AF900" s="1">
        <v>0.8</v>
      </c>
      <c r="AG900" s="1">
        <v>0.86</v>
      </c>
      <c r="AH900" s="1">
        <v>0</v>
      </c>
      <c r="AI900" s="1">
        <v>0</v>
      </c>
      <c r="AJ900" s="1">
        <f t="shared" si="73"/>
        <v>0</v>
      </c>
      <c r="AK900" s="1">
        <f>D82</f>
        <v>0</v>
      </c>
      <c r="AL900" s="1">
        <f>D88</f>
        <v>0</v>
      </c>
      <c r="AM900" s="1">
        <f t="shared" si="74"/>
        <v>0</v>
      </c>
      <c r="AN900" s="1">
        <f t="shared" si="75"/>
        <v>0</v>
      </c>
      <c r="AO900" s="1">
        <f t="shared" si="76"/>
        <v>0</v>
      </c>
      <c r="AP900" t="b" cm="1">
        <f t="array" ref="AP900">INDEX($AU$8:$BB$25,6*(R900-1)+MATCH(AB900,$AS$8:$AS$13,0),MATCH(O900,$AU$7:$BB$7,0))</f>
        <v>1</v>
      </c>
    </row>
    <row r="901" spans="15:42" ht="14.25" x14ac:dyDescent="0.45">
      <c r="O901" s="43" t="s">
        <v>35</v>
      </c>
      <c r="P901" s="43">
        <v>3</v>
      </c>
      <c r="Q901" s="43">
        <v>14</v>
      </c>
      <c r="R901" s="43">
        <v>3</v>
      </c>
      <c r="S901" s="45"/>
      <c r="T901" t="b">
        <f>(S899+S900+S901)=T4</f>
        <v>0</v>
      </c>
      <c r="X901" s="1">
        <f t="shared" si="77"/>
        <v>0</v>
      </c>
      <c r="Y901" s="48">
        <v>0</v>
      </c>
      <c r="AA901" s="1">
        <v>2</v>
      </c>
      <c r="AB901" s="1" t="s">
        <v>13</v>
      </c>
      <c r="AC901" s="1" t="s">
        <v>19</v>
      </c>
      <c r="AD901" s="1">
        <v>12</v>
      </c>
      <c r="AE901" s="1">
        <v>11</v>
      </c>
      <c r="AF901" s="1">
        <v>0.8</v>
      </c>
      <c r="AG901" s="1">
        <v>0.86</v>
      </c>
      <c r="AH901" s="1">
        <v>0</v>
      </c>
      <c r="AI901" s="1">
        <v>0</v>
      </c>
      <c r="AJ901" s="1">
        <f t="shared" si="73"/>
        <v>0</v>
      </c>
      <c r="AK901" s="1">
        <f>E82</f>
        <v>0</v>
      </c>
      <c r="AL901" s="1">
        <f>E88</f>
        <v>0</v>
      </c>
      <c r="AM901" s="1">
        <f t="shared" si="74"/>
        <v>0</v>
      </c>
      <c r="AN901" s="1">
        <f t="shared" si="75"/>
        <v>0</v>
      </c>
      <c r="AO901" s="1">
        <f t="shared" si="76"/>
        <v>0</v>
      </c>
      <c r="AP901" t="b" cm="1">
        <f t="array" ref="AP901">INDEX($AU$8:$BB$25,6*(R901-1)+MATCH(AB901,$AS$8:$AS$13,0),MATCH(O901,$AU$7:$BB$7,0))</f>
        <v>1</v>
      </c>
    </row>
    <row r="902" spans="15:42" ht="14.25" x14ac:dyDescent="0.45">
      <c r="O902" s="43" t="s">
        <v>35</v>
      </c>
      <c r="P902" s="43">
        <v>3</v>
      </c>
      <c r="Q902" s="43">
        <v>15</v>
      </c>
      <c r="R902" s="43">
        <v>1</v>
      </c>
      <c r="S902" s="45"/>
      <c r="T902" t="b">
        <f>(S902+S903+S904)=T4</f>
        <v>0</v>
      </c>
      <c r="X902" s="1">
        <f t="shared" si="77"/>
        <v>0</v>
      </c>
      <c r="Y902" s="48">
        <v>0</v>
      </c>
      <c r="AA902" s="1">
        <v>2</v>
      </c>
      <c r="AB902" s="1" t="s">
        <v>14</v>
      </c>
      <c r="AC902" s="1" t="s">
        <v>20</v>
      </c>
      <c r="AD902" s="1">
        <v>11</v>
      </c>
      <c r="AE902" s="1">
        <v>10</v>
      </c>
      <c r="AF902" s="1">
        <v>0.8</v>
      </c>
      <c r="AG902" s="1">
        <v>0.88</v>
      </c>
      <c r="AH902" s="1">
        <v>0</v>
      </c>
      <c r="AI902" s="1">
        <v>0</v>
      </c>
      <c r="AJ902" s="1">
        <f t="shared" si="73"/>
        <v>0</v>
      </c>
      <c r="AK902" s="1">
        <f>C83</f>
        <v>0</v>
      </c>
      <c r="AL902" s="1">
        <f>C89</f>
        <v>0</v>
      </c>
      <c r="AM902" s="1">
        <f t="shared" si="74"/>
        <v>0</v>
      </c>
      <c r="AN902" s="1">
        <f t="shared" si="75"/>
        <v>0</v>
      </c>
      <c r="AO902" s="1">
        <f t="shared" si="76"/>
        <v>0</v>
      </c>
      <c r="AP902" t="b" cm="1">
        <f t="array" ref="AP902">INDEX($AU$8:$BB$25,6*(R902-1)+MATCH(AB902,$AS$8:$AS$13,0),MATCH(O902,$AU$7:$BB$7,0))</f>
        <v>1</v>
      </c>
    </row>
    <row r="903" spans="15:42" ht="14.25" x14ac:dyDescent="0.45">
      <c r="O903" s="43" t="s">
        <v>35</v>
      </c>
      <c r="P903" s="43">
        <v>3</v>
      </c>
      <c r="Q903" s="43">
        <v>15</v>
      </c>
      <c r="R903" s="43">
        <v>2</v>
      </c>
      <c r="S903" s="45"/>
      <c r="T903" t="b">
        <f>(S902+S903+S904)=T4</f>
        <v>0</v>
      </c>
      <c r="X903" s="1">
        <f t="shared" si="77"/>
        <v>0</v>
      </c>
      <c r="Y903" s="48">
        <v>0</v>
      </c>
      <c r="AA903" s="1">
        <v>2</v>
      </c>
      <c r="AB903" s="1" t="s">
        <v>14</v>
      </c>
      <c r="AC903" s="1" t="s">
        <v>20</v>
      </c>
      <c r="AD903" s="1">
        <v>11</v>
      </c>
      <c r="AE903" s="1">
        <v>10</v>
      </c>
      <c r="AF903" s="1">
        <v>0.8</v>
      </c>
      <c r="AG903" s="1">
        <v>0.88</v>
      </c>
      <c r="AH903" s="1">
        <v>0</v>
      </c>
      <c r="AI903" s="1">
        <v>0</v>
      </c>
      <c r="AJ903" s="1">
        <f t="shared" si="73"/>
        <v>0</v>
      </c>
      <c r="AK903" s="1">
        <f>D83</f>
        <v>0</v>
      </c>
      <c r="AL903" s="1">
        <f>D89</f>
        <v>0</v>
      </c>
      <c r="AM903" s="1">
        <f t="shared" si="74"/>
        <v>0</v>
      </c>
      <c r="AN903" s="1">
        <f t="shared" si="75"/>
        <v>0</v>
      </c>
      <c r="AO903" s="1">
        <f t="shared" si="76"/>
        <v>0</v>
      </c>
      <c r="AP903" t="b" cm="1">
        <f t="array" ref="AP903">INDEX($AU$8:$BB$25,6*(R903-1)+MATCH(AB903,$AS$8:$AS$13,0),MATCH(O903,$AU$7:$BB$7,0))</f>
        <v>1</v>
      </c>
    </row>
    <row r="904" spans="15:42" ht="14.25" x14ac:dyDescent="0.45">
      <c r="O904" s="43" t="s">
        <v>35</v>
      </c>
      <c r="P904" s="43">
        <v>3</v>
      </c>
      <c r="Q904" s="43">
        <v>15</v>
      </c>
      <c r="R904" s="43">
        <v>3</v>
      </c>
      <c r="S904" s="45"/>
      <c r="T904" t="b">
        <f>(S902+S903+S904)=T4</f>
        <v>0</v>
      </c>
      <c r="X904" s="1">
        <f t="shared" si="77"/>
        <v>0</v>
      </c>
      <c r="Y904" s="48">
        <v>0</v>
      </c>
      <c r="AA904" s="1">
        <v>2</v>
      </c>
      <c r="AB904" s="1" t="s">
        <v>14</v>
      </c>
      <c r="AC904" s="1" t="s">
        <v>20</v>
      </c>
      <c r="AD904" s="1">
        <v>11</v>
      </c>
      <c r="AE904" s="1">
        <v>10</v>
      </c>
      <c r="AF904" s="1">
        <v>0.8</v>
      </c>
      <c r="AG904" s="1">
        <v>0.88</v>
      </c>
      <c r="AH904" s="1">
        <v>0</v>
      </c>
      <c r="AI904" s="1">
        <v>0</v>
      </c>
      <c r="AJ904" s="1">
        <f t="shared" si="73"/>
        <v>0</v>
      </c>
      <c r="AK904" s="1">
        <f>E83</f>
        <v>0</v>
      </c>
      <c r="AL904" s="1">
        <f>E89</f>
        <v>0</v>
      </c>
      <c r="AM904" s="1">
        <f t="shared" si="74"/>
        <v>0</v>
      </c>
      <c r="AN904" s="1">
        <f t="shared" si="75"/>
        <v>0</v>
      </c>
      <c r="AO904" s="1">
        <f t="shared" si="76"/>
        <v>0</v>
      </c>
      <c r="AP904" t="b" cm="1">
        <f t="array" ref="AP904">INDEX($AU$8:$BB$25,6*(R904-1)+MATCH(AB904,$AS$8:$AS$13,0),MATCH(O904,$AU$7:$BB$7,0))</f>
        <v>1</v>
      </c>
    </row>
    <row r="905" spans="15:42" ht="14.25" x14ac:dyDescent="0.45">
      <c r="O905" s="43" t="s">
        <v>35</v>
      </c>
      <c r="P905" s="43">
        <v>3</v>
      </c>
      <c r="Q905" s="43">
        <v>16</v>
      </c>
      <c r="R905" s="43">
        <v>1</v>
      </c>
      <c r="S905" s="45"/>
      <c r="T905" t="b">
        <f>(S905+S906+S907)=T4</f>
        <v>0</v>
      </c>
      <c r="X905" s="1">
        <f t="shared" si="77"/>
        <v>0</v>
      </c>
      <c r="Y905" s="48">
        <v>0</v>
      </c>
      <c r="AA905" s="1">
        <v>4</v>
      </c>
      <c r="AB905" s="1" t="s">
        <v>13</v>
      </c>
      <c r="AC905" s="1" t="s">
        <v>19</v>
      </c>
      <c r="AD905" s="1">
        <v>25</v>
      </c>
      <c r="AE905" s="1">
        <v>20</v>
      </c>
      <c r="AF905" s="1">
        <v>0.8</v>
      </c>
      <c r="AG905" s="1">
        <v>0.86</v>
      </c>
      <c r="AH905" s="1">
        <v>0</v>
      </c>
      <c r="AI905" s="1">
        <v>0</v>
      </c>
      <c r="AJ905" s="1">
        <f t="shared" ref="AJ905:AJ968" si="78">SUMIFS(AH$8:AH$1039,$O$8:$O$1039,O905,$AB$8:$AB$1039,AB905,$R$8:$R$1039,R905,$AA$8:$AA$1039,"&lt;="&amp;AA905)</f>
        <v>0</v>
      </c>
      <c r="AK905" s="1">
        <f>C82</f>
        <v>0</v>
      </c>
      <c r="AL905" s="1">
        <f>C88</f>
        <v>0</v>
      </c>
      <c r="AM905" s="1">
        <f t="shared" ref="AM905:AM968" si="79">MAX(0,AJ905-AK905)</f>
        <v>0</v>
      </c>
      <c r="AN905" s="1">
        <f t="shared" ref="AN905:AN968" si="80">IF(AM905=0,AH905,IF(AM905&gt;=AH905,0,AH905-AM905))</f>
        <v>0</v>
      </c>
      <c r="AO905" s="1">
        <f t="shared" ref="AO905:AO968" si="81">IF(AM905&gt;=AH905,AI905,AI905*AM905/AH905)</f>
        <v>0</v>
      </c>
      <c r="AP905" t="b" cm="1">
        <f t="array" ref="AP905">INDEX($AU$8:$BB$25,6*(R905-1)+MATCH(AB905,$AS$8:$AS$13,0),MATCH(O905,$AU$7:$BB$7,0))</f>
        <v>1</v>
      </c>
    </row>
    <row r="906" spans="15:42" ht="14.25" x14ac:dyDescent="0.45">
      <c r="O906" s="43" t="s">
        <v>35</v>
      </c>
      <c r="P906" s="43">
        <v>3</v>
      </c>
      <c r="Q906" s="43">
        <v>16</v>
      </c>
      <c r="R906" s="43">
        <v>2</v>
      </c>
      <c r="S906" s="45"/>
      <c r="T906" t="b">
        <f>(S905+S906+S907)=T4</f>
        <v>0</v>
      </c>
      <c r="X906" s="1">
        <f t="shared" si="77"/>
        <v>0</v>
      </c>
      <c r="Y906" s="48">
        <v>0</v>
      </c>
      <c r="AA906" s="1">
        <v>4</v>
      </c>
      <c r="AB906" s="1" t="s">
        <v>13</v>
      </c>
      <c r="AC906" s="1" t="s">
        <v>19</v>
      </c>
      <c r="AD906" s="1">
        <v>25</v>
      </c>
      <c r="AE906" s="1">
        <v>20</v>
      </c>
      <c r="AF906" s="1">
        <v>0.8</v>
      </c>
      <c r="AG906" s="1">
        <v>0.86</v>
      </c>
      <c r="AH906" s="1">
        <v>0</v>
      </c>
      <c r="AI906" s="1">
        <v>0</v>
      </c>
      <c r="AJ906" s="1">
        <f t="shared" si="78"/>
        <v>0</v>
      </c>
      <c r="AK906" s="1">
        <f>D82</f>
        <v>0</v>
      </c>
      <c r="AL906" s="1">
        <f>D88</f>
        <v>0</v>
      </c>
      <c r="AM906" s="1">
        <f t="shared" si="79"/>
        <v>0</v>
      </c>
      <c r="AN906" s="1">
        <f t="shared" si="80"/>
        <v>0</v>
      </c>
      <c r="AO906" s="1">
        <f t="shared" si="81"/>
        <v>0</v>
      </c>
      <c r="AP906" t="b" cm="1">
        <f t="array" ref="AP906">INDEX($AU$8:$BB$25,6*(R906-1)+MATCH(AB906,$AS$8:$AS$13,0),MATCH(O906,$AU$7:$BB$7,0))</f>
        <v>1</v>
      </c>
    </row>
    <row r="907" spans="15:42" ht="14.25" x14ac:dyDescent="0.45">
      <c r="O907" s="43" t="s">
        <v>35</v>
      </c>
      <c r="P907" s="43">
        <v>3</v>
      </c>
      <c r="Q907" s="43">
        <v>16</v>
      </c>
      <c r="R907" s="43">
        <v>3</v>
      </c>
      <c r="S907" s="45"/>
      <c r="T907" t="b">
        <f>(S905+S906+S907)=T4</f>
        <v>0</v>
      </c>
      <c r="X907" s="1">
        <f t="shared" si="77"/>
        <v>0</v>
      </c>
      <c r="Y907" s="48">
        <v>0</v>
      </c>
      <c r="AA907" s="1">
        <v>4</v>
      </c>
      <c r="AB907" s="1" t="s">
        <v>13</v>
      </c>
      <c r="AC907" s="1" t="s">
        <v>19</v>
      </c>
      <c r="AD907" s="1">
        <v>25</v>
      </c>
      <c r="AE907" s="1">
        <v>20</v>
      </c>
      <c r="AF907" s="1">
        <v>0.8</v>
      </c>
      <c r="AG907" s="1">
        <v>0.86</v>
      </c>
      <c r="AH907" s="1">
        <v>0</v>
      </c>
      <c r="AI907" s="1">
        <v>0</v>
      </c>
      <c r="AJ907" s="1">
        <f t="shared" si="78"/>
        <v>0</v>
      </c>
      <c r="AK907" s="1">
        <f>E82</f>
        <v>0</v>
      </c>
      <c r="AL907" s="1">
        <f>E88</f>
        <v>0</v>
      </c>
      <c r="AM907" s="1">
        <f t="shared" si="79"/>
        <v>0</v>
      </c>
      <c r="AN907" s="1">
        <f t="shared" si="80"/>
        <v>0</v>
      </c>
      <c r="AO907" s="1">
        <f t="shared" si="81"/>
        <v>0</v>
      </c>
      <c r="AP907" t="b" cm="1">
        <f t="array" ref="AP907">INDEX($AU$8:$BB$25,6*(R907-1)+MATCH(AB907,$AS$8:$AS$13,0),MATCH(O907,$AU$7:$BB$7,0))</f>
        <v>1</v>
      </c>
    </row>
    <row r="908" spans="15:42" ht="14.25" x14ac:dyDescent="0.45">
      <c r="O908" s="43" t="s">
        <v>35</v>
      </c>
      <c r="P908" s="43">
        <v>3</v>
      </c>
      <c r="Q908" s="43">
        <v>17</v>
      </c>
      <c r="R908" s="43">
        <v>1</v>
      </c>
      <c r="S908" s="45"/>
      <c r="T908" t="b">
        <f>(S908+S909+S910)=T4</f>
        <v>0</v>
      </c>
      <c r="X908" s="1">
        <f t="shared" si="77"/>
        <v>0</v>
      </c>
      <c r="Y908" s="48">
        <v>0</v>
      </c>
      <c r="AA908" s="1">
        <v>1</v>
      </c>
      <c r="AB908" s="1" t="s">
        <v>16</v>
      </c>
      <c r="AC908" s="1" t="s">
        <v>22</v>
      </c>
      <c r="AD908" s="1">
        <v>14</v>
      </c>
      <c r="AE908" s="1">
        <v>13</v>
      </c>
      <c r="AF908" s="1">
        <v>0.8</v>
      </c>
      <c r="AG908" s="1">
        <v>0.9</v>
      </c>
      <c r="AH908" s="1">
        <v>0</v>
      </c>
      <c r="AI908" s="1">
        <v>0</v>
      </c>
      <c r="AJ908" s="1">
        <f t="shared" si="78"/>
        <v>0</v>
      </c>
      <c r="AK908" s="1">
        <f>C85</f>
        <v>0</v>
      </c>
      <c r="AL908" s="1">
        <f>C91</f>
        <v>0</v>
      </c>
      <c r="AM908" s="1">
        <f t="shared" si="79"/>
        <v>0</v>
      </c>
      <c r="AN908" s="1">
        <f t="shared" si="80"/>
        <v>0</v>
      </c>
      <c r="AO908" s="1">
        <f t="shared" si="81"/>
        <v>0</v>
      </c>
      <c r="AP908" t="b" cm="1">
        <f t="array" ref="AP908">INDEX($AU$8:$BB$25,6*(R908-1)+MATCH(AB908,$AS$8:$AS$13,0),MATCH(O908,$AU$7:$BB$7,0))</f>
        <v>1</v>
      </c>
    </row>
    <row r="909" spans="15:42" ht="14.25" x14ac:dyDescent="0.45">
      <c r="O909" s="43" t="s">
        <v>35</v>
      </c>
      <c r="P909" s="43">
        <v>3</v>
      </c>
      <c r="Q909" s="43">
        <v>17</v>
      </c>
      <c r="R909" s="43">
        <v>2</v>
      </c>
      <c r="S909" s="45"/>
      <c r="T909" t="b">
        <f>(S908+S909+S910)=T4</f>
        <v>0</v>
      </c>
      <c r="X909" s="1">
        <f t="shared" si="77"/>
        <v>0</v>
      </c>
      <c r="Y909" s="48">
        <v>0</v>
      </c>
      <c r="AA909" s="1">
        <v>1</v>
      </c>
      <c r="AB909" s="1" t="s">
        <v>16</v>
      </c>
      <c r="AC909" s="1" t="s">
        <v>22</v>
      </c>
      <c r="AD909" s="1">
        <v>14</v>
      </c>
      <c r="AE909" s="1">
        <v>13</v>
      </c>
      <c r="AF909" s="1">
        <v>0.8</v>
      </c>
      <c r="AG909" s="1">
        <v>0.9</v>
      </c>
      <c r="AH909" s="1">
        <v>0</v>
      </c>
      <c r="AI909" s="1">
        <v>0</v>
      </c>
      <c r="AJ909" s="1">
        <f t="shared" si="78"/>
        <v>0</v>
      </c>
      <c r="AK909" s="1">
        <f>D85</f>
        <v>0</v>
      </c>
      <c r="AL909" s="1">
        <f>D91</f>
        <v>0</v>
      </c>
      <c r="AM909" s="1">
        <f t="shared" si="79"/>
        <v>0</v>
      </c>
      <c r="AN909" s="1">
        <f t="shared" si="80"/>
        <v>0</v>
      </c>
      <c r="AO909" s="1">
        <f t="shared" si="81"/>
        <v>0</v>
      </c>
      <c r="AP909" t="b" cm="1">
        <f t="array" ref="AP909">INDEX($AU$8:$BB$25,6*(R909-1)+MATCH(AB909,$AS$8:$AS$13,0),MATCH(O909,$AU$7:$BB$7,0))</f>
        <v>1</v>
      </c>
    </row>
    <row r="910" spans="15:42" ht="14.25" x14ac:dyDescent="0.45">
      <c r="O910" s="43" t="s">
        <v>35</v>
      </c>
      <c r="P910" s="43">
        <v>3</v>
      </c>
      <c r="Q910" s="43">
        <v>17</v>
      </c>
      <c r="R910" s="43">
        <v>3</v>
      </c>
      <c r="S910" s="45"/>
      <c r="T910" t="b">
        <f>(S908+S909+S910)=T4</f>
        <v>0</v>
      </c>
      <c r="X910" s="1">
        <f t="shared" si="77"/>
        <v>0</v>
      </c>
      <c r="Y910" s="48">
        <v>0</v>
      </c>
      <c r="AA910" s="1">
        <v>1</v>
      </c>
      <c r="AB910" s="1" t="s">
        <v>16</v>
      </c>
      <c r="AC910" s="1" t="s">
        <v>22</v>
      </c>
      <c r="AD910" s="1">
        <v>14</v>
      </c>
      <c r="AE910" s="1">
        <v>13</v>
      </c>
      <c r="AF910" s="1">
        <v>0.8</v>
      </c>
      <c r="AG910" s="1">
        <v>0.9</v>
      </c>
      <c r="AH910" s="1">
        <v>0</v>
      </c>
      <c r="AI910" s="1">
        <v>0</v>
      </c>
      <c r="AJ910" s="1">
        <f t="shared" si="78"/>
        <v>0</v>
      </c>
      <c r="AK910" s="1">
        <f>E85</f>
        <v>0</v>
      </c>
      <c r="AL910" s="1">
        <f>E91</f>
        <v>0</v>
      </c>
      <c r="AM910" s="1">
        <f t="shared" si="79"/>
        <v>0</v>
      </c>
      <c r="AN910" s="1">
        <f t="shared" si="80"/>
        <v>0</v>
      </c>
      <c r="AO910" s="1">
        <f t="shared" si="81"/>
        <v>0</v>
      </c>
      <c r="AP910" t="b" cm="1">
        <f t="array" ref="AP910">INDEX($AU$8:$BB$25,6*(R910-1)+MATCH(AB910,$AS$8:$AS$13,0),MATCH(O910,$AU$7:$BB$7,0))</f>
        <v>1</v>
      </c>
    </row>
    <row r="911" spans="15:42" ht="14.25" x14ac:dyDescent="0.45">
      <c r="O911" s="43" t="s">
        <v>36</v>
      </c>
      <c r="P911" s="43">
        <v>1</v>
      </c>
      <c r="Q911" s="43">
        <v>1</v>
      </c>
      <c r="R911" s="43">
        <v>1</v>
      </c>
      <c r="S911" s="45"/>
      <c r="T911" t="b">
        <f>(S911+S912+S913)=U2</f>
        <v>0</v>
      </c>
      <c r="X911" s="1">
        <v>0</v>
      </c>
      <c r="Y911" s="48">
        <v>0</v>
      </c>
      <c r="AA911" s="1">
        <v>4</v>
      </c>
      <c r="AB911" s="1" t="s">
        <v>14</v>
      </c>
      <c r="AC911" s="1" t="s">
        <v>20</v>
      </c>
      <c r="AD911" s="1">
        <v>14</v>
      </c>
      <c r="AE911" s="1">
        <v>12</v>
      </c>
      <c r="AF911" s="1">
        <v>0.8</v>
      </c>
      <c r="AG911" s="1">
        <v>0.88</v>
      </c>
      <c r="AH911" s="1">
        <v>0</v>
      </c>
      <c r="AI911" s="1">
        <v>0</v>
      </c>
      <c r="AJ911" s="1">
        <f t="shared" si="78"/>
        <v>0</v>
      </c>
      <c r="AK911" s="1">
        <f>C95</f>
        <v>0</v>
      </c>
      <c r="AL911" s="1">
        <f>C101</f>
        <v>0</v>
      </c>
      <c r="AM911" s="1">
        <f t="shared" si="79"/>
        <v>0</v>
      </c>
      <c r="AN911" s="1">
        <f t="shared" si="80"/>
        <v>0</v>
      </c>
      <c r="AO911" s="1">
        <f t="shared" si="81"/>
        <v>0</v>
      </c>
      <c r="AP911" t="b" cm="1">
        <f t="array" ref="AP911">INDEX($AU$8:$BB$25,6*(R911-1)+MATCH(AB911,$AS$8:$AS$13,0),MATCH(O911,$AU$7:$BB$7,0))</f>
        <v>1</v>
      </c>
    </row>
    <row r="912" spans="15:42" ht="14.25" x14ac:dyDescent="0.45">
      <c r="O912" s="43" t="s">
        <v>36</v>
      </c>
      <c r="P912" s="43">
        <v>1</v>
      </c>
      <c r="Q912" s="43">
        <v>1</v>
      </c>
      <c r="R912" s="43">
        <v>2</v>
      </c>
      <c r="S912" s="45"/>
      <c r="T912" t="b">
        <f>(S911+S912+S913)=U2</f>
        <v>0</v>
      </c>
      <c r="X912" s="1">
        <v>0</v>
      </c>
      <c r="Y912" s="48">
        <v>0</v>
      </c>
      <c r="AA912" s="1">
        <v>4</v>
      </c>
      <c r="AB912" s="1" t="s">
        <v>14</v>
      </c>
      <c r="AC912" s="1" t="s">
        <v>20</v>
      </c>
      <c r="AD912" s="1">
        <v>14</v>
      </c>
      <c r="AE912" s="1">
        <v>12</v>
      </c>
      <c r="AF912" s="1">
        <v>0.8</v>
      </c>
      <c r="AG912" s="1">
        <v>0.88</v>
      </c>
      <c r="AH912" s="1">
        <v>0</v>
      </c>
      <c r="AI912" s="1">
        <v>0</v>
      </c>
      <c r="AJ912" s="1">
        <f t="shared" si="78"/>
        <v>0</v>
      </c>
      <c r="AK912" s="1">
        <f>D95</f>
        <v>0</v>
      </c>
      <c r="AL912" s="1">
        <f>D101</f>
        <v>0</v>
      </c>
      <c r="AM912" s="1">
        <f t="shared" si="79"/>
        <v>0</v>
      </c>
      <c r="AN912" s="1">
        <f t="shared" si="80"/>
        <v>0</v>
      </c>
      <c r="AO912" s="1">
        <f t="shared" si="81"/>
        <v>0</v>
      </c>
      <c r="AP912" t="b" cm="1">
        <f t="array" ref="AP912">INDEX($AU$8:$BB$25,6*(R912-1)+MATCH(AB912,$AS$8:$AS$13,0),MATCH(O912,$AU$7:$BB$7,0))</f>
        <v>1</v>
      </c>
    </row>
    <row r="913" spans="15:42" ht="14.25" x14ac:dyDescent="0.45">
      <c r="O913" s="43" t="s">
        <v>36</v>
      </c>
      <c r="P913" s="43">
        <v>1</v>
      </c>
      <c r="Q913" s="43">
        <v>1</v>
      </c>
      <c r="R913" s="43">
        <v>3</v>
      </c>
      <c r="S913" s="45"/>
      <c r="T913" t="b">
        <f>(S911+S912+S913)=U2</f>
        <v>0</v>
      </c>
      <c r="X913" s="1">
        <v>0</v>
      </c>
      <c r="Y913" s="48">
        <v>0</v>
      </c>
      <c r="AA913" s="1">
        <v>4</v>
      </c>
      <c r="AB913" s="1" t="s">
        <v>14</v>
      </c>
      <c r="AC913" s="1" t="s">
        <v>20</v>
      </c>
      <c r="AD913" s="1">
        <v>14</v>
      </c>
      <c r="AE913" s="1">
        <v>12</v>
      </c>
      <c r="AF913" s="1">
        <v>0.8</v>
      </c>
      <c r="AG913" s="1">
        <v>0.88</v>
      </c>
      <c r="AH913" s="1">
        <v>0</v>
      </c>
      <c r="AI913" s="1">
        <v>0</v>
      </c>
      <c r="AJ913" s="1">
        <f t="shared" si="78"/>
        <v>0</v>
      </c>
      <c r="AK913" s="1">
        <f>E95</f>
        <v>0</v>
      </c>
      <c r="AL913" s="1">
        <f>E101</f>
        <v>0</v>
      </c>
      <c r="AM913" s="1">
        <f t="shared" si="79"/>
        <v>0</v>
      </c>
      <c r="AN913" s="1">
        <f t="shared" si="80"/>
        <v>0</v>
      </c>
      <c r="AO913" s="1">
        <f t="shared" si="81"/>
        <v>0</v>
      </c>
      <c r="AP913" t="b" cm="1">
        <f t="array" ref="AP913">INDEX($AU$8:$BB$25,6*(R913-1)+MATCH(AB913,$AS$8:$AS$13,0),MATCH(O913,$AU$7:$BB$7,0))</f>
        <v>1</v>
      </c>
    </row>
    <row r="914" spans="15:42" ht="14.25" x14ac:dyDescent="0.45">
      <c r="O914" s="43" t="s">
        <v>36</v>
      </c>
      <c r="P914" s="43">
        <v>1</v>
      </c>
      <c r="Q914" s="43">
        <v>2</v>
      </c>
      <c r="R914" s="43">
        <v>1</v>
      </c>
      <c r="S914" s="45"/>
      <c r="T914" t="b">
        <f>(S914+S915+S916)=U2</f>
        <v>0</v>
      </c>
      <c r="X914" s="1">
        <f>MAX(S911-S914,0)</f>
        <v>0</v>
      </c>
      <c r="Y914" s="48">
        <v>0</v>
      </c>
      <c r="AA914" s="1">
        <v>10</v>
      </c>
      <c r="AB914" s="1" t="s">
        <v>16</v>
      </c>
      <c r="AC914" s="1" t="s">
        <v>22</v>
      </c>
      <c r="AD914" s="1">
        <v>25</v>
      </c>
      <c r="AE914" s="1">
        <v>21</v>
      </c>
      <c r="AF914" s="1">
        <v>0.8</v>
      </c>
      <c r="AG914" s="1">
        <v>0.9</v>
      </c>
      <c r="AH914" s="1">
        <v>0</v>
      </c>
      <c r="AI914" s="1">
        <v>0</v>
      </c>
      <c r="AJ914" s="1">
        <f t="shared" si="78"/>
        <v>0</v>
      </c>
      <c r="AK914" s="1">
        <f>C97</f>
        <v>0</v>
      </c>
      <c r="AL914" s="1">
        <f>C103</f>
        <v>0</v>
      </c>
      <c r="AM914" s="1">
        <f t="shared" si="79"/>
        <v>0</v>
      </c>
      <c r="AN914" s="1">
        <f t="shared" si="80"/>
        <v>0</v>
      </c>
      <c r="AO914" s="1">
        <f t="shared" si="81"/>
        <v>0</v>
      </c>
      <c r="AP914" t="b" cm="1">
        <f t="array" ref="AP914">INDEX($AU$8:$BB$25,6*(R914-1)+MATCH(AB914,$AS$8:$AS$13,0),MATCH(O914,$AU$7:$BB$7,0))</f>
        <v>1</v>
      </c>
    </row>
    <row r="915" spans="15:42" ht="14.25" x14ac:dyDescent="0.45">
      <c r="O915" s="43" t="s">
        <v>36</v>
      </c>
      <c r="P915" s="43">
        <v>1</v>
      </c>
      <c r="Q915" s="43">
        <v>2</v>
      </c>
      <c r="R915" s="43">
        <v>2</v>
      </c>
      <c r="S915" s="45"/>
      <c r="T915" t="b">
        <f>(S914+S915+S916)=U2</f>
        <v>0</v>
      </c>
      <c r="X915" s="1">
        <f t="shared" ref="X915:X943" si="82">MAX(S912-S915,0)</f>
        <v>0</v>
      </c>
      <c r="Y915" s="48">
        <v>0</v>
      </c>
      <c r="AA915" s="1">
        <v>10</v>
      </c>
      <c r="AB915" s="1" t="s">
        <v>16</v>
      </c>
      <c r="AC915" s="1" t="s">
        <v>22</v>
      </c>
      <c r="AD915" s="1">
        <v>25</v>
      </c>
      <c r="AE915" s="1">
        <v>21</v>
      </c>
      <c r="AF915" s="1">
        <v>0.8</v>
      </c>
      <c r="AG915" s="1">
        <v>0.9</v>
      </c>
      <c r="AH915" s="1">
        <v>0</v>
      </c>
      <c r="AI915" s="1">
        <v>0</v>
      </c>
      <c r="AJ915" s="1">
        <f t="shared" si="78"/>
        <v>0</v>
      </c>
      <c r="AK915" s="1">
        <f>D97</f>
        <v>0</v>
      </c>
      <c r="AL915" s="1">
        <f>D103</f>
        <v>0</v>
      </c>
      <c r="AM915" s="1">
        <f t="shared" si="79"/>
        <v>0</v>
      </c>
      <c r="AN915" s="1">
        <f t="shared" si="80"/>
        <v>0</v>
      </c>
      <c r="AO915" s="1">
        <f t="shared" si="81"/>
        <v>0</v>
      </c>
      <c r="AP915" t="b" cm="1">
        <f t="array" ref="AP915">INDEX($AU$8:$BB$25,6*(R915-1)+MATCH(AB915,$AS$8:$AS$13,0),MATCH(O915,$AU$7:$BB$7,0))</f>
        <v>1</v>
      </c>
    </row>
    <row r="916" spans="15:42" ht="14.25" x14ac:dyDescent="0.45">
      <c r="O916" s="43" t="s">
        <v>36</v>
      </c>
      <c r="P916" s="43">
        <v>1</v>
      </c>
      <c r="Q916" s="43">
        <v>2</v>
      </c>
      <c r="R916" s="43">
        <v>3</v>
      </c>
      <c r="S916" s="45"/>
      <c r="T916" t="b">
        <f>(S914+S915+S916)=U2</f>
        <v>0</v>
      </c>
      <c r="X916" s="1">
        <f t="shared" si="82"/>
        <v>0</v>
      </c>
      <c r="Y916" s="48">
        <v>0</v>
      </c>
      <c r="AA916" s="1">
        <v>10</v>
      </c>
      <c r="AB916" s="1" t="s">
        <v>16</v>
      </c>
      <c r="AC916" s="1" t="s">
        <v>22</v>
      </c>
      <c r="AD916" s="1">
        <v>25</v>
      </c>
      <c r="AE916" s="1">
        <v>21</v>
      </c>
      <c r="AF916" s="1">
        <v>0.8</v>
      </c>
      <c r="AG916" s="1">
        <v>0.9</v>
      </c>
      <c r="AH916" s="1">
        <v>0</v>
      </c>
      <c r="AI916" s="1">
        <v>0</v>
      </c>
      <c r="AJ916" s="1">
        <f t="shared" si="78"/>
        <v>0</v>
      </c>
      <c r="AK916" s="1">
        <f>E97</f>
        <v>0</v>
      </c>
      <c r="AL916" s="1">
        <f>E103</f>
        <v>0</v>
      </c>
      <c r="AM916" s="1">
        <f t="shared" si="79"/>
        <v>0</v>
      </c>
      <c r="AN916" s="1">
        <f t="shared" si="80"/>
        <v>0</v>
      </c>
      <c r="AO916" s="1">
        <f t="shared" si="81"/>
        <v>0</v>
      </c>
      <c r="AP916" t="b" cm="1">
        <f t="array" ref="AP916">INDEX($AU$8:$BB$25,6*(R916-1)+MATCH(AB916,$AS$8:$AS$13,0),MATCH(O916,$AU$7:$BB$7,0))</f>
        <v>1</v>
      </c>
    </row>
    <row r="917" spans="15:42" ht="14.25" x14ac:dyDescent="0.45">
      <c r="O917" s="43" t="s">
        <v>36</v>
      </c>
      <c r="P917" s="43">
        <v>1</v>
      </c>
      <c r="Q917" s="43">
        <v>3</v>
      </c>
      <c r="R917" s="43">
        <v>1</v>
      </c>
      <c r="S917" s="45"/>
      <c r="T917" t="b">
        <f>(S917+S918+S919)=U2</f>
        <v>0</v>
      </c>
      <c r="X917" s="1">
        <f t="shared" si="82"/>
        <v>0</v>
      </c>
      <c r="Y917" s="48">
        <v>0</v>
      </c>
      <c r="AA917" s="1">
        <v>8</v>
      </c>
      <c r="AB917" s="1" t="s">
        <v>16</v>
      </c>
      <c r="AC917" s="1" t="s">
        <v>22</v>
      </c>
      <c r="AD917" s="1">
        <v>27</v>
      </c>
      <c r="AE917" s="1">
        <v>23</v>
      </c>
      <c r="AF917" s="1">
        <v>0.8</v>
      </c>
      <c r="AG917" s="1">
        <v>0.9</v>
      </c>
      <c r="AH917" s="1">
        <v>0</v>
      </c>
      <c r="AI917" s="1">
        <v>0</v>
      </c>
      <c r="AJ917" s="1">
        <f t="shared" si="78"/>
        <v>0</v>
      </c>
      <c r="AK917" s="1">
        <f>C97</f>
        <v>0</v>
      </c>
      <c r="AL917" s="1">
        <f>C103</f>
        <v>0</v>
      </c>
      <c r="AM917" s="1">
        <f t="shared" si="79"/>
        <v>0</v>
      </c>
      <c r="AN917" s="1">
        <f t="shared" si="80"/>
        <v>0</v>
      </c>
      <c r="AO917" s="1">
        <f t="shared" si="81"/>
        <v>0</v>
      </c>
      <c r="AP917" t="b" cm="1">
        <f t="array" ref="AP917">INDEX($AU$8:$BB$25,6*(R917-1)+MATCH(AB917,$AS$8:$AS$13,0),MATCH(O917,$AU$7:$BB$7,0))</f>
        <v>1</v>
      </c>
    </row>
    <row r="918" spans="15:42" ht="14.25" x14ac:dyDescent="0.45">
      <c r="O918" s="43" t="s">
        <v>36</v>
      </c>
      <c r="P918" s="43">
        <v>1</v>
      </c>
      <c r="Q918" s="43">
        <v>3</v>
      </c>
      <c r="R918" s="43">
        <v>2</v>
      </c>
      <c r="S918" s="45"/>
      <c r="T918" t="b">
        <f>(S917+S918+S919)=U2</f>
        <v>0</v>
      </c>
      <c r="X918" s="1">
        <f t="shared" si="82"/>
        <v>0</v>
      </c>
      <c r="Y918" s="48">
        <v>0</v>
      </c>
      <c r="AA918" s="1">
        <v>8</v>
      </c>
      <c r="AB918" s="1" t="s">
        <v>16</v>
      </c>
      <c r="AC918" s="1" t="s">
        <v>22</v>
      </c>
      <c r="AD918" s="1">
        <v>27</v>
      </c>
      <c r="AE918" s="1">
        <v>23</v>
      </c>
      <c r="AF918" s="1">
        <v>0.8</v>
      </c>
      <c r="AG918" s="1">
        <v>0.9</v>
      </c>
      <c r="AH918" s="1">
        <v>0</v>
      </c>
      <c r="AI918" s="1">
        <v>0</v>
      </c>
      <c r="AJ918" s="1">
        <f t="shared" si="78"/>
        <v>0</v>
      </c>
      <c r="AK918" s="1">
        <f>D97</f>
        <v>0</v>
      </c>
      <c r="AL918" s="1">
        <f>D103</f>
        <v>0</v>
      </c>
      <c r="AM918" s="1">
        <f t="shared" si="79"/>
        <v>0</v>
      </c>
      <c r="AN918" s="1">
        <f t="shared" si="80"/>
        <v>0</v>
      </c>
      <c r="AO918" s="1">
        <f t="shared" si="81"/>
        <v>0</v>
      </c>
      <c r="AP918" t="b" cm="1">
        <f t="array" ref="AP918">INDEX($AU$8:$BB$25,6*(R918-1)+MATCH(AB918,$AS$8:$AS$13,0),MATCH(O918,$AU$7:$BB$7,0))</f>
        <v>1</v>
      </c>
    </row>
    <row r="919" spans="15:42" ht="14.25" x14ac:dyDescent="0.45">
      <c r="O919" s="43" t="s">
        <v>36</v>
      </c>
      <c r="P919" s="43">
        <v>1</v>
      </c>
      <c r="Q919" s="43">
        <v>3</v>
      </c>
      <c r="R919" s="43">
        <v>3</v>
      </c>
      <c r="S919" s="45"/>
      <c r="T919" t="b">
        <f>(S917+S918+S919)=U2</f>
        <v>0</v>
      </c>
      <c r="X919" s="1">
        <f t="shared" si="82"/>
        <v>0</v>
      </c>
      <c r="Y919" s="48">
        <v>0</v>
      </c>
      <c r="AA919" s="1">
        <v>8</v>
      </c>
      <c r="AB919" s="1" t="s">
        <v>16</v>
      </c>
      <c r="AC919" s="1" t="s">
        <v>22</v>
      </c>
      <c r="AD919" s="1">
        <v>27</v>
      </c>
      <c r="AE919" s="1">
        <v>23</v>
      </c>
      <c r="AF919" s="1">
        <v>0.8</v>
      </c>
      <c r="AG919" s="1">
        <v>0.9</v>
      </c>
      <c r="AH919" s="1">
        <v>0</v>
      </c>
      <c r="AI919" s="1">
        <v>0</v>
      </c>
      <c r="AJ919" s="1">
        <f t="shared" si="78"/>
        <v>0</v>
      </c>
      <c r="AK919" s="1">
        <f>E97</f>
        <v>0</v>
      </c>
      <c r="AL919" s="1">
        <f>E103</f>
        <v>0</v>
      </c>
      <c r="AM919" s="1">
        <f t="shared" si="79"/>
        <v>0</v>
      </c>
      <c r="AN919" s="1">
        <f t="shared" si="80"/>
        <v>0</v>
      </c>
      <c r="AO919" s="1">
        <f t="shared" si="81"/>
        <v>0</v>
      </c>
      <c r="AP919" t="b" cm="1">
        <f t="array" ref="AP919">INDEX($AU$8:$BB$25,6*(R919-1)+MATCH(AB919,$AS$8:$AS$13,0),MATCH(O919,$AU$7:$BB$7,0))</f>
        <v>1</v>
      </c>
    </row>
    <row r="920" spans="15:42" ht="14.25" x14ac:dyDescent="0.45">
      <c r="O920" s="43" t="s">
        <v>36</v>
      </c>
      <c r="P920" s="43">
        <v>1</v>
      </c>
      <c r="Q920" s="43">
        <v>4</v>
      </c>
      <c r="R920" s="43">
        <v>1</v>
      </c>
      <c r="S920" s="45"/>
      <c r="T920" t="b">
        <f>(S920+S921+S922)=U2</f>
        <v>0</v>
      </c>
      <c r="X920" s="1">
        <f t="shared" si="82"/>
        <v>0</v>
      </c>
      <c r="Y920" s="48">
        <v>0</v>
      </c>
      <c r="AA920" s="1">
        <v>3</v>
      </c>
      <c r="AB920" s="1" t="s">
        <v>10</v>
      </c>
      <c r="AC920" s="1" t="s">
        <v>17</v>
      </c>
      <c r="AD920" s="1">
        <v>20</v>
      </c>
      <c r="AE920" s="1">
        <v>16</v>
      </c>
      <c r="AF920" s="1">
        <v>0.78</v>
      </c>
      <c r="AG920" s="1">
        <v>0.84</v>
      </c>
      <c r="AH920" s="1">
        <v>0</v>
      </c>
      <c r="AI920" s="1">
        <v>0</v>
      </c>
      <c r="AJ920" s="1">
        <f t="shared" si="78"/>
        <v>0</v>
      </c>
      <c r="AK920" s="1">
        <f>C92</f>
        <v>0</v>
      </c>
      <c r="AL920" s="1">
        <f>C98</f>
        <v>0</v>
      </c>
      <c r="AM920" s="1">
        <f t="shared" si="79"/>
        <v>0</v>
      </c>
      <c r="AN920" s="1">
        <f t="shared" si="80"/>
        <v>0</v>
      </c>
      <c r="AO920" s="1">
        <f t="shared" si="81"/>
        <v>0</v>
      </c>
      <c r="AP920" t="b" cm="1">
        <f t="array" ref="AP920">INDEX($AU$8:$BB$25,6*(R920-1)+MATCH(AB920,$AS$8:$AS$13,0),MATCH(O920,$AU$7:$BB$7,0))</f>
        <v>1</v>
      </c>
    </row>
    <row r="921" spans="15:42" ht="14.25" x14ac:dyDescent="0.45">
      <c r="O921" s="43" t="s">
        <v>36</v>
      </c>
      <c r="P921" s="43">
        <v>1</v>
      </c>
      <c r="Q921" s="43">
        <v>4</v>
      </c>
      <c r="R921" s="43">
        <v>2</v>
      </c>
      <c r="S921" s="45"/>
      <c r="T921" t="b">
        <f>(S920+S921+S922)=U2</f>
        <v>0</v>
      </c>
      <c r="X921" s="1">
        <f t="shared" si="82"/>
        <v>0</v>
      </c>
      <c r="Y921" s="48">
        <v>0</v>
      </c>
      <c r="AA921" s="1">
        <v>3</v>
      </c>
      <c r="AB921" s="1" t="s">
        <v>10</v>
      </c>
      <c r="AC921" s="1" t="s">
        <v>17</v>
      </c>
      <c r="AD921" s="1">
        <v>20</v>
      </c>
      <c r="AE921" s="1">
        <v>16</v>
      </c>
      <c r="AF921" s="1">
        <v>0.78</v>
      </c>
      <c r="AG921" s="1">
        <v>0.84</v>
      </c>
      <c r="AH921" s="1">
        <v>0</v>
      </c>
      <c r="AI921" s="1">
        <v>0</v>
      </c>
      <c r="AJ921" s="1">
        <f t="shared" si="78"/>
        <v>0</v>
      </c>
      <c r="AK921" s="1">
        <f>D92</f>
        <v>0</v>
      </c>
      <c r="AL921" s="1">
        <f>D98</f>
        <v>0</v>
      </c>
      <c r="AM921" s="1">
        <f t="shared" si="79"/>
        <v>0</v>
      </c>
      <c r="AN921" s="1">
        <f t="shared" si="80"/>
        <v>0</v>
      </c>
      <c r="AO921" s="1">
        <f t="shared" si="81"/>
        <v>0</v>
      </c>
      <c r="AP921" t="b" cm="1">
        <f t="array" ref="AP921">INDEX($AU$8:$BB$25,6*(R921-1)+MATCH(AB921,$AS$8:$AS$13,0),MATCH(O921,$AU$7:$BB$7,0))</f>
        <v>1</v>
      </c>
    </row>
    <row r="922" spans="15:42" ht="14.25" x14ac:dyDescent="0.45">
      <c r="O922" s="43" t="s">
        <v>36</v>
      </c>
      <c r="P922" s="43">
        <v>1</v>
      </c>
      <c r="Q922" s="43">
        <v>4</v>
      </c>
      <c r="R922" s="43">
        <v>3</v>
      </c>
      <c r="S922" s="45"/>
      <c r="T922" t="b">
        <f>(S920+S921+S922)=U2</f>
        <v>0</v>
      </c>
      <c r="X922" s="1">
        <f t="shared" si="82"/>
        <v>0</v>
      </c>
      <c r="Y922" s="48">
        <v>0</v>
      </c>
      <c r="AA922" s="1">
        <v>3</v>
      </c>
      <c r="AB922" s="1" t="s">
        <v>10</v>
      </c>
      <c r="AC922" s="1" t="s">
        <v>17</v>
      </c>
      <c r="AD922" s="1">
        <v>20</v>
      </c>
      <c r="AE922" s="1">
        <v>16</v>
      </c>
      <c r="AF922" s="1">
        <v>0.78</v>
      </c>
      <c r="AG922" s="1">
        <v>0.84</v>
      </c>
      <c r="AH922" s="1">
        <v>0</v>
      </c>
      <c r="AI922" s="1">
        <v>0</v>
      </c>
      <c r="AJ922" s="1">
        <f t="shared" si="78"/>
        <v>0</v>
      </c>
      <c r="AK922" s="1">
        <f>E92</f>
        <v>0</v>
      </c>
      <c r="AL922" s="1">
        <f>E98</f>
        <v>0</v>
      </c>
      <c r="AM922" s="1">
        <f t="shared" si="79"/>
        <v>0</v>
      </c>
      <c r="AN922" s="1">
        <f t="shared" si="80"/>
        <v>0</v>
      </c>
      <c r="AO922" s="1">
        <f t="shared" si="81"/>
        <v>0</v>
      </c>
      <c r="AP922" t="b" cm="1">
        <f t="array" ref="AP922">INDEX($AU$8:$BB$25,6*(R922-1)+MATCH(AB922,$AS$8:$AS$13,0),MATCH(O922,$AU$7:$BB$7,0))</f>
        <v>1</v>
      </c>
    </row>
    <row r="923" spans="15:42" ht="14.25" x14ac:dyDescent="0.45">
      <c r="O923" s="43" t="s">
        <v>36</v>
      </c>
      <c r="P923" s="43">
        <v>1</v>
      </c>
      <c r="Q923" s="43">
        <v>5</v>
      </c>
      <c r="R923" s="43">
        <v>1</v>
      </c>
      <c r="S923" s="45"/>
      <c r="T923" t="b">
        <f>(S923+S924+S925)=U2</f>
        <v>0</v>
      </c>
      <c r="X923" s="1">
        <f t="shared" si="82"/>
        <v>0</v>
      </c>
      <c r="Y923" s="48">
        <v>0</v>
      </c>
      <c r="AA923" s="1">
        <v>11</v>
      </c>
      <c r="AB923" s="1" t="s">
        <v>16</v>
      </c>
      <c r="AC923" s="1" t="s">
        <v>22</v>
      </c>
      <c r="AD923" s="1">
        <v>12</v>
      </c>
      <c r="AE923" s="1">
        <v>9</v>
      </c>
      <c r="AF923" s="1">
        <v>0.8</v>
      </c>
      <c r="AG923" s="1">
        <v>0.9</v>
      </c>
      <c r="AH923" s="1">
        <v>0</v>
      </c>
      <c r="AI923" s="1">
        <v>0</v>
      </c>
      <c r="AJ923" s="1">
        <f t="shared" si="78"/>
        <v>0</v>
      </c>
      <c r="AK923" s="1">
        <f>C97</f>
        <v>0</v>
      </c>
      <c r="AL923" s="1">
        <f>C103</f>
        <v>0</v>
      </c>
      <c r="AM923" s="1">
        <f t="shared" si="79"/>
        <v>0</v>
      </c>
      <c r="AN923" s="1">
        <f t="shared" si="80"/>
        <v>0</v>
      </c>
      <c r="AO923" s="1">
        <f t="shared" si="81"/>
        <v>0</v>
      </c>
      <c r="AP923" t="b" cm="1">
        <f t="array" ref="AP923">INDEX($AU$8:$BB$25,6*(R923-1)+MATCH(AB923,$AS$8:$AS$13,0),MATCH(O923,$AU$7:$BB$7,0))</f>
        <v>1</v>
      </c>
    </row>
    <row r="924" spans="15:42" ht="14.25" x14ac:dyDescent="0.45">
      <c r="O924" s="43" t="s">
        <v>36</v>
      </c>
      <c r="P924" s="43">
        <v>1</v>
      </c>
      <c r="Q924" s="43">
        <v>5</v>
      </c>
      <c r="R924" s="43">
        <v>2</v>
      </c>
      <c r="S924" s="45"/>
      <c r="T924" t="b">
        <f>(S923+S924+S925)=U2</f>
        <v>0</v>
      </c>
      <c r="X924" s="1">
        <f t="shared" si="82"/>
        <v>0</v>
      </c>
      <c r="Y924" s="48">
        <v>0</v>
      </c>
      <c r="AA924" s="1">
        <v>11</v>
      </c>
      <c r="AB924" s="1" t="s">
        <v>16</v>
      </c>
      <c r="AC924" s="1" t="s">
        <v>22</v>
      </c>
      <c r="AD924" s="1">
        <v>12</v>
      </c>
      <c r="AE924" s="1">
        <v>9</v>
      </c>
      <c r="AF924" s="1">
        <v>0.8</v>
      </c>
      <c r="AG924" s="1">
        <v>0.9</v>
      </c>
      <c r="AH924" s="1">
        <v>0</v>
      </c>
      <c r="AI924" s="1">
        <v>0</v>
      </c>
      <c r="AJ924" s="1">
        <f t="shared" si="78"/>
        <v>0</v>
      </c>
      <c r="AK924" s="1">
        <f>D97</f>
        <v>0</v>
      </c>
      <c r="AL924" s="1">
        <f>D103</f>
        <v>0</v>
      </c>
      <c r="AM924" s="1">
        <f t="shared" si="79"/>
        <v>0</v>
      </c>
      <c r="AN924" s="1">
        <f t="shared" si="80"/>
        <v>0</v>
      </c>
      <c r="AO924" s="1">
        <f t="shared" si="81"/>
        <v>0</v>
      </c>
      <c r="AP924" t="b" cm="1">
        <f t="array" ref="AP924">INDEX($AU$8:$BB$25,6*(R924-1)+MATCH(AB924,$AS$8:$AS$13,0),MATCH(O924,$AU$7:$BB$7,0))</f>
        <v>1</v>
      </c>
    </row>
    <row r="925" spans="15:42" ht="14.25" x14ac:dyDescent="0.45">
      <c r="O925" s="43" t="s">
        <v>36</v>
      </c>
      <c r="P925" s="43">
        <v>1</v>
      </c>
      <c r="Q925" s="43">
        <v>5</v>
      </c>
      <c r="R925" s="43">
        <v>3</v>
      </c>
      <c r="S925" s="45"/>
      <c r="T925" t="b">
        <f>(S923+S924+S925)=U2</f>
        <v>0</v>
      </c>
      <c r="X925" s="1">
        <f t="shared" si="82"/>
        <v>0</v>
      </c>
      <c r="Y925" s="48">
        <v>0</v>
      </c>
      <c r="AA925" s="1">
        <v>11</v>
      </c>
      <c r="AB925" s="1" t="s">
        <v>16</v>
      </c>
      <c r="AC925" s="1" t="s">
        <v>22</v>
      </c>
      <c r="AD925" s="1">
        <v>12</v>
      </c>
      <c r="AE925" s="1">
        <v>9</v>
      </c>
      <c r="AF925" s="1">
        <v>0.8</v>
      </c>
      <c r="AG925" s="1">
        <v>0.9</v>
      </c>
      <c r="AH925" s="1">
        <v>0</v>
      </c>
      <c r="AI925" s="1">
        <v>0</v>
      </c>
      <c r="AJ925" s="1">
        <f t="shared" si="78"/>
        <v>0</v>
      </c>
      <c r="AK925" s="1">
        <f>E97</f>
        <v>0</v>
      </c>
      <c r="AL925" s="1">
        <f>E103</f>
        <v>0</v>
      </c>
      <c r="AM925" s="1">
        <f t="shared" si="79"/>
        <v>0</v>
      </c>
      <c r="AN925" s="1">
        <f t="shared" si="80"/>
        <v>0</v>
      </c>
      <c r="AO925" s="1">
        <f t="shared" si="81"/>
        <v>0</v>
      </c>
      <c r="AP925" t="b" cm="1">
        <f t="array" ref="AP925">INDEX($AU$8:$BB$25,6*(R925-1)+MATCH(AB925,$AS$8:$AS$13,0),MATCH(O925,$AU$7:$BB$7,0))</f>
        <v>1</v>
      </c>
    </row>
    <row r="926" spans="15:42" ht="14.25" x14ac:dyDescent="0.45">
      <c r="O926" s="43" t="s">
        <v>36</v>
      </c>
      <c r="P926" s="43">
        <v>1</v>
      </c>
      <c r="Q926" s="43">
        <v>6</v>
      </c>
      <c r="R926" s="43">
        <v>1</v>
      </c>
      <c r="S926" s="45"/>
      <c r="T926" t="b">
        <f>(S926+S927+S928)=U2</f>
        <v>0</v>
      </c>
      <c r="X926" s="1">
        <f t="shared" si="82"/>
        <v>0</v>
      </c>
      <c r="Y926" s="48">
        <v>0</v>
      </c>
      <c r="AA926" s="1">
        <v>7</v>
      </c>
      <c r="AB926" s="1" t="s">
        <v>14</v>
      </c>
      <c r="AC926" s="1" t="s">
        <v>20</v>
      </c>
      <c r="AD926" s="1">
        <v>27</v>
      </c>
      <c r="AE926" s="1">
        <v>21</v>
      </c>
      <c r="AF926" s="1">
        <v>0.8</v>
      </c>
      <c r="AG926" s="1">
        <v>0.88</v>
      </c>
      <c r="AH926" s="1">
        <v>0</v>
      </c>
      <c r="AI926" s="1">
        <v>0</v>
      </c>
      <c r="AJ926" s="1">
        <f t="shared" si="78"/>
        <v>0</v>
      </c>
      <c r="AK926" s="1">
        <f>C95</f>
        <v>0</v>
      </c>
      <c r="AL926" s="1">
        <f>C101</f>
        <v>0</v>
      </c>
      <c r="AM926" s="1">
        <f t="shared" si="79"/>
        <v>0</v>
      </c>
      <c r="AN926" s="1">
        <f t="shared" si="80"/>
        <v>0</v>
      </c>
      <c r="AO926" s="1">
        <f t="shared" si="81"/>
        <v>0</v>
      </c>
      <c r="AP926" t="b" cm="1">
        <f t="array" ref="AP926">INDEX($AU$8:$BB$25,6*(R926-1)+MATCH(AB926,$AS$8:$AS$13,0),MATCH(O926,$AU$7:$BB$7,0))</f>
        <v>1</v>
      </c>
    </row>
    <row r="927" spans="15:42" ht="14.25" x14ac:dyDescent="0.45">
      <c r="O927" s="43" t="s">
        <v>36</v>
      </c>
      <c r="P927" s="43">
        <v>1</v>
      </c>
      <c r="Q927" s="43">
        <v>6</v>
      </c>
      <c r="R927" s="43">
        <v>2</v>
      </c>
      <c r="S927" s="45"/>
      <c r="T927" t="b">
        <f>(S926+S927+S928)=U2</f>
        <v>0</v>
      </c>
      <c r="X927" s="1">
        <f t="shared" si="82"/>
        <v>0</v>
      </c>
      <c r="Y927" s="48">
        <v>0</v>
      </c>
      <c r="AA927" s="1">
        <v>7</v>
      </c>
      <c r="AB927" s="1" t="s">
        <v>14</v>
      </c>
      <c r="AC927" s="1" t="s">
        <v>20</v>
      </c>
      <c r="AD927" s="1">
        <v>27</v>
      </c>
      <c r="AE927" s="1">
        <v>21</v>
      </c>
      <c r="AF927" s="1">
        <v>0.8</v>
      </c>
      <c r="AG927" s="1">
        <v>0.88</v>
      </c>
      <c r="AH927" s="1">
        <v>0</v>
      </c>
      <c r="AI927" s="1">
        <v>0</v>
      </c>
      <c r="AJ927" s="1">
        <f t="shared" si="78"/>
        <v>0</v>
      </c>
      <c r="AK927" s="1">
        <f>D95</f>
        <v>0</v>
      </c>
      <c r="AL927" s="1">
        <f>D101</f>
        <v>0</v>
      </c>
      <c r="AM927" s="1">
        <f t="shared" si="79"/>
        <v>0</v>
      </c>
      <c r="AN927" s="1">
        <f t="shared" si="80"/>
        <v>0</v>
      </c>
      <c r="AO927" s="1">
        <f t="shared" si="81"/>
        <v>0</v>
      </c>
      <c r="AP927" t="b" cm="1">
        <f t="array" ref="AP927">INDEX($AU$8:$BB$25,6*(R927-1)+MATCH(AB927,$AS$8:$AS$13,0),MATCH(O927,$AU$7:$BB$7,0))</f>
        <v>1</v>
      </c>
    </row>
    <row r="928" spans="15:42" ht="14.25" x14ac:dyDescent="0.45">
      <c r="O928" s="43" t="s">
        <v>36</v>
      </c>
      <c r="P928" s="43">
        <v>1</v>
      </c>
      <c r="Q928" s="43">
        <v>6</v>
      </c>
      <c r="R928" s="43">
        <v>3</v>
      </c>
      <c r="S928" s="45"/>
      <c r="T928" t="b">
        <f>(S926+S927+S928)=U2</f>
        <v>0</v>
      </c>
      <c r="X928" s="1">
        <f t="shared" si="82"/>
        <v>0</v>
      </c>
      <c r="Y928" s="48">
        <v>0</v>
      </c>
      <c r="AA928" s="1">
        <v>7</v>
      </c>
      <c r="AB928" s="1" t="s">
        <v>14</v>
      </c>
      <c r="AC928" s="1" t="s">
        <v>20</v>
      </c>
      <c r="AD928" s="1">
        <v>27</v>
      </c>
      <c r="AE928" s="1">
        <v>21</v>
      </c>
      <c r="AF928" s="1">
        <v>0.8</v>
      </c>
      <c r="AG928" s="1">
        <v>0.88</v>
      </c>
      <c r="AH928" s="1">
        <v>0</v>
      </c>
      <c r="AI928" s="1">
        <v>0</v>
      </c>
      <c r="AJ928" s="1">
        <f t="shared" si="78"/>
        <v>0</v>
      </c>
      <c r="AK928" s="1">
        <f>E95</f>
        <v>0</v>
      </c>
      <c r="AL928" s="1">
        <f>E101</f>
        <v>0</v>
      </c>
      <c r="AM928" s="1">
        <f t="shared" si="79"/>
        <v>0</v>
      </c>
      <c r="AN928" s="1">
        <f t="shared" si="80"/>
        <v>0</v>
      </c>
      <c r="AO928" s="1">
        <f t="shared" si="81"/>
        <v>0</v>
      </c>
      <c r="AP928" t="b" cm="1">
        <f t="array" ref="AP928">INDEX($AU$8:$BB$25,6*(R928-1)+MATCH(AB928,$AS$8:$AS$13,0),MATCH(O928,$AU$7:$BB$7,0))</f>
        <v>1</v>
      </c>
    </row>
    <row r="929" spans="15:42" ht="14.25" x14ac:dyDescent="0.45">
      <c r="O929" s="43" t="s">
        <v>36</v>
      </c>
      <c r="P929" s="43">
        <v>1</v>
      </c>
      <c r="Q929" s="43">
        <v>7</v>
      </c>
      <c r="R929" s="43">
        <v>1</v>
      </c>
      <c r="S929" s="45"/>
      <c r="T929" t="b">
        <f>(S929+S930+S931)=U2</f>
        <v>0</v>
      </c>
      <c r="X929" s="1">
        <f t="shared" si="82"/>
        <v>0</v>
      </c>
      <c r="Y929" s="48">
        <v>0</v>
      </c>
      <c r="AA929" s="1">
        <v>9</v>
      </c>
      <c r="AB929" s="1" t="s">
        <v>14</v>
      </c>
      <c r="AC929" s="1" t="s">
        <v>20</v>
      </c>
      <c r="AD929" s="1">
        <v>17</v>
      </c>
      <c r="AE929" s="1">
        <v>13</v>
      </c>
      <c r="AF929" s="1">
        <v>0.8</v>
      </c>
      <c r="AG929" s="1">
        <v>0.88</v>
      </c>
      <c r="AH929" s="1">
        <v>0</v>
      </c>
      <c r="AI929" s="1">
        <v>0</v>
      </c>
      <c r="AJ929" s="1">
        <f t="shared" si="78"/>
        <v>0</v>
      </c>
      <c r="AK929" s="1">
        <f>C95</f>
        <v>0</v>
      </c>
      <c r="AL929" s="1">
        <f>C101</f>
        <v>0</v>
      </c>
      <c r="AM929" s="1">
        <f t="shared" si="79"/>
        <v>0</v>
      </c>
      <c r="AN929" s="1">
        <f t="shared" si="80"/>
        <v>0</v>
      </c>
      <c r="AO929" s="1">
        <f t="shared" si="81"/>
        <v>0</v>
      </c>
      <c r="AP929" t="b" cm="1">
        <f t="array" ref="AP929">INDEX($AU$8:$BB$25,6*(R929-1)+MATCH(AB929,$AS$8:$AS$13,0),MATCH(O929,$AU$7:$BB$7,0))</f>
        <v>1</v>
      </c>
    </row>
    <row r="930" spans="15:42" ht="14.25" x14ac:dyDescent="0.45">
      <c r="O930" s="43" t="s">
        <v>36</v>
      </c>
      <c r="P930" s="43">
        <v>1</v>
      </c>
      <c r="Q930" s="43">
        <v>7</v>
      </c>
      <c r="R930" s="43">
        <v>2</v>
      </c>
      <c r="S930" s="45"/>
      <c r="T930" t="b">
        <f>(S929+S930+S931)=U2</f>
        <v>0</v>
      </c>
      <c r="X930" s="1">
        <f t="shared" si="82"/>
        <v>0</v>
      </c>
      <c r="Y930" s="48">
        <v>0</v>
      </c>
      <c r="AA930" s="1">
        <v>9</v>
      </c>
      <c r="AB930" s="1" t="s">
        <v>14</v>
      </c>
      <c r="AC930" s="1" t="s">
        <v>20</v>
      </c>
      <c r="AD930" s="1">
        <v>17</v>
      </c>
      <c r="AE930" s="1">
        <v>13</v>
      </c>
      <c r="AF930" s="1">
        <v>0.8</v>
      </c>
      <c r="AG930" s="1">
        <v>0.88</v>
      </c>
      <c r="AH930" s="1">
        <v>0</v>
      </c>
      <c r="AI930" s="1">
        <v>0</v>
      </c>
      <c r="AJ930" s="1">
        <f t="shared" si="78"/>
        <v>0</v>
      </c>
      <c r="AK930" s="1">
        <f>D95</f>
        <v>0</v>
      </c>
      <c r="AL930" s="1">
        <f>D101</f>
        <v>0</v>
      </c>
      <c r="AM930" s="1">
        <f t="shared" si="79"/>
        <v>0</v>
      </c>
      <c r="AN930" s="1">
        <f t="shared" si="80"/>
        <v>0</v>
      </c>
      <c r="AO930" s="1">
        <f t="shared" si="81"/>
        <v>0</v>
      </c>
      <c r="AP930" t="b" cm="1">
        <f t="array" ref="AP930">INDEX($AU$8:$BB$25,6*(R930-1)+MATCH(AB930,$AS$8:$AS$13,0),MATCH(O930,$AU$7:$BB$7,0))</f>
        <v>1</v>
      </c>
    </row>
    <row r="931" spans="15:42" ht="14.25" x14ac:dyDescent="0.45">
      <c r="O931" s="43" t="s">
        <v>36</v>
      </c>
      <c r="P931" s="43">
        <v>1</v>
      </c>
      <c r="Q931" s="43">
        <v>7</v>
      </c>
      <c r="R931" s="43">
        <v>3</v>
      </c>
      <c r="S931" s="45"/>
      <c r="T931" t="b">
        <f>(S929+S930+S931)=U2</f>
        <v>0</v>
      </c>
      <c r="X931" s="1">
        <f t="shared" si="82"/>
        <v>0</v>
      </c>
      <c r="Y931" s="48">
        <v>0</v>
      </c>
      <c r="AA931" s="1">
        <v>9</v>
      </c>
      <c r="AB931" s="1" t="s">
        <v>14</v>
      </c>
      <c r="AC931" s="1" t="s">
        <v>20</v>
      </c>
      <c r="AD931" s="1">
        <v>17</v>
      </c>
      <c r="AE931" s="1">
        <v>13</v>
      </c>
      <c r="AF931" s="1">
        <v>0.8</v>
      </c>
      <c r="AG931" s="1">
        <v>0.88</v>
      </c>
      <c r="AH931" s="1">
        <v>0</v>
      </c>
      <c r="AI931" s="1">
        <v>0</v>
      </c>
      <c r="AJ931" s="1">
        <f t="shared" si="78"/>
        <v>0</v>
      </c>
      <c r="AK931" s="1">
        <f>E95</f>
        <v>0</v>
      </c>
      <c r="AL931" s="1">
        <f>E101</f>
        <v>0</v>
      </c>
      <c r="AM931" s="1">
        <f t="shared" si="79"/>
        <v>0</v>
      </c>
      <c r="AN931" s="1">
        <f t="shared" si="80"/>
        <v>0</v>
      </c>
      <c r="AO931" s="1">
        <f t="shared" si="81"/>
        <v>0</v>
      </c>
      <c r="AP931" t="b" cm="1">
        <f t="array" ref="AP931">INDEX($AU$8:$BB$25,6*(R931-1)+MATCH(AB931,$AS$8:$AS$13,0),MATCH(O931,$AU$7:$BB$7,0))</f>
        <v>1</v>
      </c>
    </row>
    <row r="932" spans="15:42" ht="14.25" x14ac:dyDescent="0.45">
      <c r="O932" s="43" t="s">
        <v>36</v>
      </c>
      <c r="P932" s="43">
        <v>1</v>
      </c>
      <c r="Q932" s="43">
        <v>8</v>
      </c>
      <c r="R932" s="43">
        <v>1</v>
      </c>
      <c r="S932" s="45"/>
      <c r="T932" t="b">
        <f>(S932+S933+S934)=U2</f>
        <v>0</v>
      </c>
      <c r="X932" s="1">
        <f t="shared" si="82"/>
        <v>0</v>
      </c>
      <c r="Y932" s="48">
        <v>0</v>
      </c>
      <c r="AA932" s="1">
        <v>1</v>
      </c>
      <c r="AB932" s="1" t="s">
        <v>10</v>
      </c>
      <c r="AC932" s="1" t="s">
        <v>17</v>
      </c>
      <c r="AD932" s="1">
        <v>18</v>
      </c>
      <c r="AE932" s="1">
        <v>16</v>
      </c>
      <c r="AF932" s="1">
        <v>0.78</v>
      </c>
      <c r="AG932" s="1">
        <v>0.84</v>
      </c>
      <c r="AH932" s="1">
        <v>0</v>
      </c>
      <c r="AI932" s="1">
        <v>0</v>
      </c>
      <c r="AJ932" s="1">
        <f t="shared" si="78"/>
        <v>0</v>
      </c>
      <c r="AK932" s="1">
        <f>C92</f>
        <v>0</v>
      </c>
      <c r="AL932" s="1">
        <f>C98</f>
        <v>0</v>
      </c>
      <c r="AM932" s="1">
        <f t="shared" si="79"/>
        <v>0</v>
      </c>
      <c r="AN932" s="1">
        <f t="shared" si="80"/>
        <v>0</v>
      </c>
      <c r="AO932" s="1">
        <f t="shared" si="81"/>
        <v>0</v>
      </c>
      <c r="AP932" t="b" cm="1">
        <f t="array" ref="AP932">INDEX($AU$8:$BB$25,6*(R932-1)+MATCH(AB932,$AS$8:$AS$13,0),MATCH(O932,$AU$7:$BB$7,0))</f>
        <v>1</v>
      </c>
    </row>
    <row r="933" spans="15:42" ht="14.25" x14ac:dyDescent="0.45">
      <c r="O933" s="43" t="s">
        <v>36</v>
      </c>
      <c r="P933" s="43">
        <v>1</v>
      </c>
      <c r="Q933" s="43">
        <v>8</v>
      </c>
      <c r="R933" s="43">
        <v>2</v>
      </c>
      <c r="S933" s="45"/>
      <c r="T933" t="b">
        <f>(S932+S933+S934)=U2</f>
        <v>0</v>
      </c>
      <c r="X933" s="1">
        <f t="shared" si="82"/>
        <v>0</v>
      </c>
      <c r="Y933" s="48">
        <v>0</v>
      </c>
      <c r="AA933" s="1">
        <v>1</v>
      </c>
      <c r="AB933" s="1" t="s">
        <v>10</v>
      </c>
      <c r="AC933" s="1" t="s">
        <v>17</v>
      </c>
      <c r="AD933" s="1">
        <v>18</v>
      </c>
      <c r="AE933" s="1">
        <v>16</v>
      </c>
      <c r="AF933" s="1">
        <v>0.78</v>
      </c>
      <c r="AG933" s="1">
        <v>0.84</v>
      </c>
      <c r="AH933" s="1">
        <v>0</v>
      </c>
      <c r="AI933" s="1">
        <v>0</v>
      </c>
      <c r="AJ933" s="1">
        <f t="shared" si="78"/>
        <v>0</v>
      </c>
      <c r="AK933" s="1">
        <f>D92</f>
        <v>0</v>
      </c>
      <c r="AL933" s="1">
        <f>D98</f>
        <v>0</v>
      </c>
      <c r="AM933" s="1">
        <f t="shared" si="79"/>
        <v>0</v>
      </c>
      <c r="AN933" s="1">
        <f t="shared" si="80"/>
        <v>0</v>
      </c>
      <c r="AO933" s="1">
        <f t="shared" si="81"/>
        <v>0</v>
      </c>
      <c r="AP933" t="b" cm="1">
        <f t="array" ref="AP933">INDEX($AU$8:$BB$25,6*(R933-1)+MATCH(AB933,$AS$8:$AS$13,0),MATCH(O933,$AU$7:$BB$7,0))</f>
        <v>1</v>
      </c>
    </row>
    <row r="934" spans="15:42" ht="14.25" x14ac:dyDescent="0.45">
      <c r="O934" s="43" t="s">
        <v>36</v>
      </c>
      <c r="P934" s="43">
        <v>1</v>
      </c>
      <c r="Q934" s="43">
        <v>8</v>
      </c>
      <c r="R934" s="43">
        <v>3</v>
      </c>
      <c r="S934" s="45"/>
      <c r="T934" t="b">
        <f>(S932+S933+S934)=U2</f>
        <v>0</v>
      </c>
      <c r="X934" s="1">
        <f t="shared" si="82"/>
        <v>0</v>
      </c>
      <c r="Y934" s="48">
        <v>0</v>
      </c>
      <c r="AA934" s="1">
        <v>1</v>
      </c>
      <c r="AB934" s="1" t="s">
        <v>10</v>
      </c>
      <c r="AC934" s="1" t="s">
        <v>17</v>
      </c>
      <c r="AD934" s="1">
        <v>18</v>
      </c>
      <c r="AE934" s="1">
        <v>16</v>
      </c>
      <c r="AF934" s="1">
        <v>0.78</v>
      </c>
      <c r="AG934" s="1">
        <v>0.84</v>
      </c>
      <c r="AH934" s="1">
        <v>0</v>
      </c>
      <c r="AI934" s="1">
        <v>0</v>
      </c>
      <c r="AJ934" s="1">
        <f t="shared" si="78"/>
        <v>0</v>
      </c>
      <c r="AK934" s="1">
        <f>E92</f>
        <v>0</v>
      </c>
      <c r="AL934" s="1">
        <f>E98</f>
        <v>0</v>
      </c>
      <c r="AM934" s="1">
        <f t="shared" si="79"/>
        <v>0</v>
      </c>
      <c r="AN934" s="1">
        <f t="shared" si="80"/>
        <v>0</v>
      </c>
      <c r="AO934" s="1">
        <f t="shared" si="81"/>
        <v>0</v>
      </c>
      <c r="AP934" t="b" cm="1">
        <f t="array" ref="AP934">INDEX($AU$8:$BB$25,6*(R934-1)+MATCH(AB934,$AS$8:$AS$13,0),MATCH(O934,$AU$7:$BB$7,0))</f>
        <v>1</v>
      </c>
    </row>
    <row r="935" spans="15:42" ht="14.25" x14ac:dyDescent="0.45">
      <c r="O935" s="43" t="s">
        <v>36</v>
      </c>
      <c r="P935" s="43">
        <v>1</v>
      </c>
      <c r="Q935" s="43">
        <v>9</v>
      </c>
      <c r="R935" s="43">
        <v>1</v>
      </c>
      <c r="S935" s="45"/>
      <c r="T935" t="b">
        <f>(S935+S936+S937)=U2</f>
        <v>0</v>
      </c>
      <c r="X935" s="1">
        <f t="shared" si="82"/>
        <v>0</v>
      </c>
      <c r="Y935" s="48">
        <v>0</v>
      </c>
      <c r="AA935" s="1">
        <v>2</v>
      </c>
      <c r="AB935" s="1" t="s">
        <v>10</v>
      </c>
      <c r="AC935" s="1" t="s">
        <v>17</v>
      </c>
      <c r="AD935" s="1">
        <v>16</v>
      </c>
      <c r="AE935" s="1">
        <v>13</v>
      </c>
      <c r="AF935" s="1">
        <v>0.78</v>
      </c>
      <c r="AG935" s="1">
        <v>0.84</v>
      </c>
      <c r="AH935" s="1">
        <v>0</v>
      </c>
      <c r="AI935" s="1">
        <v>0</v>
      </c>
      <c r="AJ935" s="1">
        <f t="shared" si="78"/>
        <v>0</v>
      </c>
      <c r="AK935" s="1">
        <f>C92</f>
        <v>0</v>
      </c>
      <c r="AL935" s="1">
        <f>C98</f>
        <v>0</v>
      </c>
      <c r="AM935" s="1">
        <f t="shared" si="79"/>
        <v>0</v>
      </c>
      <c r="AN935" s="1">
        <f t="shared" si="80"/>
        <v>0</v>
      </c>
      <c r="AO935" s="1">
        <f t="shared" si="81"/>
        <v>0</v>
      </c>
      <c r="AP935" t="b" cm="1">
        <f t="array" ref="AP935">INDEX($AU$8:$BB$25,6*(R935-1)+MATCH(AB935,$AS$8:$AS$13,0),MATCH(O935,$AU$7:$BB$7,0))</f>
        <v>1</v>
      </c>
    </row>
    <row r="936" spans="15:42" ht="14.25" x14ac:dyDescent="0.45">
      <c r="O936" s="43" t="s">
        <v>36</v>
      </c>
      <c r="P936" s="43">
        <v>1</v>
      </c>
      <c r="Q936" s="43">
        <v>9</v>
      </c>
      <c r="R936" s="43">
        <v>2</v>
      </c>
      <c r="S936" s="45"/>
      <c r="T936" t="b">
        <f>(S935+S936+S937)=U2</f>
        <v>0</v>
      </c>
      <c r="X936" s="1">
        <f t="shared" si="82"/>
        <v>0</v>
      </c>
      <c r="Y936" s="48">
        <v>0</v>
      </c>
      <c r="AA936" s="1">
        <v>2</v>
      </c>
      <c r="AB936" s="1" t="s">
        <v>10</v>
      </c>
      <c r="AC936" s="1" t="s">
        <v>17</v>
      </c>
      <c r="AD936" s="1">
        <v>16</v>
      </c>
      <c r="AE936" s="1">
        <v>13</v>
      </c>
      <c r="AF936" s="1">
        <v>0.78</v>
      </c>
      <c r="AG936" s="1">
        <v>0.84</v>
      </c>
      <c r="AH936" s="1">
        <v>0</v>
      </c>
      <c r="AI936" s="1">
        <v>0</v>
      </c>
      <c r="AJ936" s="1">
        <f t="shared" si="78"/>
        <v>0</v>
      </c>
      <c r="AK936" s="1">
        <f>D92</f>
        <v>0</v>
      </c>
      <c r="AL936" s="1">
        <f>D98</f>
        <v>0</v>
      </c>
      <c r="AM936" s="1">
        <f t="shared" si="79"/>
        <v>0</v>
      </c>
      <c r="AN936" s="1">
        <f t="shared" si="80"/>
        <v>0</v>
      </c>
      <c r="AO936" s="1">
        <f t="shared" si="81"/>
        <v>0</v>
      </c>
      <c r="AP936" t="b" cm="1">
        <f t="array" ref="AP936">INDEX($AU$8:$BB$25,6*(R936-1)+MATCH(AB936,$AS$8:$AS$13,0),MATCH(O936,$AU$7:$BB$7,0))</f>
        <v>1</v>
      </c>
    </row>
    <row r="937" spans="15:42" ht="14.25" x14ac:dyDescent="0.45">
      <c r="O937" s="43" t="s">
        <v>36</v>
      </c>
      <c r="P937" s="43">
        <v>1</v>
      </c>
      <c r="Q937" s="43">
        <v>9</v>
      </c>
      <c r="R937" s="43">
        <v>3</v>
      </c>
      <c r="S937" s="45"/>
      <c r="T937" t="b">
        <f>(S935+S936+S937)=U2</f>
        <v>0</v>
      </c>
      <c r="X937" s="1">
        <f t="shared" si="82"/>
        <v>0</v>
      </c>
      <c r="Y937" s="48">
        <v>0</v>
      </c>
      <c r="AA937" s="1">
        <v>2</v>
      </c>
      <c r="AB937" s="1" t="s">
        <v>10</v>
      </c>
      <c r="AC937" s="1" t="s">
        <v>17</v>
      </c>
      <c r="AD937" s="1">
        <v>16</v>
      </c>
      <c r="AE937" s="1">
        <v>13</v>
      </c>
      <c r="AF937" s="1">
        <v>0.78</v>
      </c>
      <c r="AG937" s="1">
        <v>0.84</v>
      </c>
      <c r="AH937" s="1">
        <v>0</v>
      </c>
      <c r="AI937" s="1">
        <v>0</v>
      </c>
      <c r="AJ937" s="1">
        <f t="shared" si="78"/>
        <v>0</v>
      </c>
      <c r="AK937" s="1">
        <f>E92</f>
        <v>0</v>
      </c>
      <c r="AL937" s="1">
        <f>E98</f>
        <v>0</v>
      </c>
      <c r="AM937" s="1">
        <f t="shared" si="79"/>
        <v>0</v>
      </c>
      <c r="AN937" s="1">
        <f t="shared" si="80"/>
        <v>0</v>
      </c>
      <c r="AO937" s="1">
        <f t="shared" si="81"/>
        <v>0</v>
      </c>
      <c r="AP937" t="b" cm="1">
        <f t="array" ref="AP937">INDEX($AU$8:$BB$25,6*(R937-1)+MATCH(AB937,$AS$8:$AS$13,0),MATCH(O937,$AU$7:$BB$7,0))</f>
        <v>1</v>
      </c>
    </row>
    <row r="938" spans="15:42" ht="14.25" x14ac:dyDescent="0.45">
      <c r="O938" s="43" t="s">
        <v>36</v>
      </c>
      <c r="P938" s="43">
        <v>1</v>
      </c>
      <c r="Q938" s="43">
        <v>10</v>
      </c>
      <c r="R938" s="43">
        <v>1</v>
      </c>
      <c r="S938" s="45"/>
      <c r="T938" t="b">
        <f>(S938+S939+S940)=U2</f>
        <v>0</v>
      </c>
      <c r="X938" s="1">
        <f t="shared" si="82"/>
        <v>0</v>
      </c>
      <c r="Y938" s="48">
        <v>0</v>
      </c>
      <c r="AA938" s="1">
        <v>6</v>
      </c>
      <c r="AB938" s="1" t="s">
        <v>14</v>
      </c>
      <c r="AC938" s="1" t="s">
        <v>20</v>
      </c>
      <c r="AD938" s="1">
        <v>14</v>
      </c>
      <c r="AE938" s="1">
        <v>11</v>
      </c>
      <c r="AF938" s="1">
        <v>0.8</v>
      </c>
      <c r="AG938" s="1">
        <v>0.88</v>
      </c>
      <c r="AH938" s="1">
        <v>0</v>
      </c>
      <c r="AI938" s="1">
        <v>0</v>
      </c>
      <c r="AJ938" s="1">
        <f t="shared" si="78"/>
        <v>0</v>
      </c>
      <c r="AK938" s="1">
        <f>C95</f>
        <v>0</v>
      </c>
      <c r="AL938" s="1">
        <f>C101</f>
        <v>0</v>
      </c>
      <c r="AM938" s="1">
        <f t="shared" si="79"/>
        <v>0</v>
      </c>
      <c r="AN938" s="1">
        <f t="shared" si="80"/>
        <v>0</v>
      </c>
      <c r="AO938" s="1">
        <f t="shared" si="81"/>
        <v>0</v>
      </c>
      <c r="AP938" t="b" cm="1">
        <f t="array" ref="AP938">INDEX($AU$8:$BB$25,6*(R938-1)+MATCH(AB938,$AS$8:$AS$13,0),MATCH(O938,$AU$7:$BB$7,0))</f>
        <v>1</v>
      </c>
    </row>
    <row r="939" spans="15:42" ht="14.25" x14ac:dyDescent="0.45">
      <c r="O939" s="43" t="s">
        <v>36</v>
      </c>
      <c r="P939" s="43">
        <v>1</v>
      </c>
      <c r="Q939" s="43">
        <v>10</v>
      </c>
      <c r="R939" s="43">
        <v>2</v>
      </c>
      <c r="S939" s="45"/>
      <c r="T939" t="b">
        <f>(S938+S939+S940)=U2</f>
        <v>0</v>
      </c>
      <c r="X939" s="1">
        <f t="shared" si="82"/>
        <v>0</v>
      </c>
      <c r="Y939" s="48">
        <v>0</v>
      </c>
      <c r="AA939" s="1">
        <v>6</v>
      </c>
      <c r="AB939" s="1" t="s">
        <v>14</v>
      </c>
      <c r="AC939" s="1" t="s">
        <v>20</v>
      </c>
      <c r="AD939" s="1">
        <v>14</v>
      </c>
      <c r="AE939" s="1">
        <v>11</v>
      </c>
      <c r="AF939" s="1">
        <v>0.8</v>
      </c>
      <c r="AG939" s="1">
        <v>0.88</v>
      </c>
      <c r="AH939" s="1">
        <v>0</v>
      </c>
      <c r="AI939" s="1">
        <v>0</v>
      </c>
      <c r="AJ939" s="1">
        <f t="shared" si="78"/>
        <v>0</v>
      </c>
      <c r="AK939" s="1">
        <f>D95</f>
        <v>0</v>
      </c>
      <c r="AL939" s="1">
        <f>D101</f>
        <v>0</v>
      </c>
      <c r="AM939" s="1">
        <f t="shared" si="79"/>
        <v>0</v>
      </c>
      <c r="AN939" s="1">
        <f t="shared" si="80"/>
        <v>0</v>
      </c>
      <c r="AO939" s="1">
        <f t="shared" si="81"/>
        <v>0</v>
      </c>
      <c r="AP939" t="b" cm="1">
        <f t="array" ref="AP939">INDEX($AU$8:$BB$25,6*(R939-1)+MATCH(AB939,$AS$8:$AS$13,0),MATCH(O939,$AU$7:$BB$7,0))</f>
        <v>1</v>
      </c>
    </row>
    <row r="940" spans="15:42" ht="14.25" x14ac:dyDescent="0.45">
      <c r="O940" s="43" t="s">
        <v>36</v>
      </c>
      <c r="P940" s="43">
        <v>1</v>
      </c>
      <c r="Q940" s="43">
        <v>10</v>
      </c>
      <c r="R940" s="43">
        <v>3</v>
      </c>
      <c r="S940" s="45"/>
      <c r="T940" t="b">
        <f>(S938+S939+S940)=U2</f>
        <v>0</v>
      </c>
      <c r="X940" s="1">
        <f t="shared" si="82"/>
        <v>0</v>
      </c>
      <c r="Y940" s="48">
        <v>0</v>
      </c>
      <c r="AA940" s="1">
        <v>6</v>
      </c>
      <c r="AB940" s="1" t="s">
        <v>14</v>
      </c>
      <c r="AC940" s="1" t="s">
        <v>20</v>
      </c>
      <c r="AD940" s="1">
        <v>14</v>
      </c>
      <c r="AE940" s="1">
        <v>11</v>
      </c>
      <c r="AF940" s="1">
        <v>0.8</v>
      </c>
      <c r="AG940" s="1">
        <v>0.88</v>
      </c>
      <c r="AH940" s="1">
        <v>0</v>
      </c>
      <c r="AI940" s="1">
        <v>0</v>
      </c>
      <c r="AJ940" s="1">
        <f t="shared" si="78"/>
        <v>0</v>
      </c>
      <c r="AK940" s="1">
        <f>E95</f>
        <v>0</v>
      </c>
      <c r="AL940" s="1">
        <f>E101</f>
        <v>0</v>
      </c>
      <c r="AM940" s="1">
        <f t="shared" si="79"/>
        <v>0</v>
      </c>
      <c r="AN940" s="1">
        <f t="shared" si="80"/>
        <v>0</v>
      </c>
      <c r="AO940" s="1">
        <f t="shared" si="81"/>
        <v>0</v>
      </c>
      <c r="AP940" t="b" cm="1">
        <f t="array" ref="AP940">INDEX($AU$8:$BB$25,6*(R940-1)+MATCH(AB940,$AS$8:$AS$13,0),MATCH(O940,$AU$7:$BB$7,0))</f>
        <v>1</v>
      </c>
    </row>
    <row r="941" spans="15:42" ht="14.25" x14ac:dyDescent="0.45">
      <c r="O941" s="43" t="s">
        <v>36</v>
      </c>
      <c r="P941" s="43">
        <v>1</v>
      </c>
      <c r="Q941" s="43">
        <v>11</v>
      </c>
      <c r="R941" s="43">
        <v>1</v>
      </c>
      <c r="S941" s="45"/>
      <c r="T941" t="b">
        <f>(S941+S942+S943)=U2</f>
        <v>0</v>
      </c>
      <c r="X941" s="1">
        <f t="shared" si="82"/>
        <v>0</v>
      </c>
      <c r="Y941" s="48">
        <v>0</v>
      </c>
      <c r="AA941" s="1">
        <v>3</v>
      </c>
      <c r="AB941" s="1" t="s">
        <v>16</v>
      </c>
      <c r="AC941" s="1" t="s">
        <v>22</v>
      </c>
      <c r="AD941" s="1">
        <v>18</v>
      </c>
      <c r="AE941" s="1">
        <v>16</v>
      </c>
      <c r="AF941" s="1">
        <v>0.8</v>
      </c>
      <c r="AG941" s="1">
        <v>0.9</v>
      </c>
      <c r="AH941" s="1">
        <v>0</v>
      </c>
      <c r="AI941" s="1">
        <v>0</v>
      </c>
      <c r="AJ941" s="1">
        <f t="shared" si="78"/>
        <v>0</v>
      </c>
      <c r="AK941" s="1">
        <f>C97</f>
        <v>0</v>
      </c>
      <c r="AL941" s="1">
        <f>C103</f>
        <v>0</v>
      </c>
      <c r="AM941" s="1">
        <f t="shared" si="79"/>
        <v>0</v>
      </c>
      <c r="AN941" s="1">
        <f t="shared" si="80"/>
        <v>0</v>
      </c>
      <c r="AO941" s="1">
        <f t="shared" si="81"/>
        <v>0</v>
      </c>
      <c r="AP941" t="b" cm="1">
        <f t="array" ref="AP941">INDEX($AU$8:$BB$25,6*(R941-1)+MATCH(AB941,$AS$8:$AS$13,0),MATCH(O941,$AU$7:$BB$7,0))</f>
        <v>1</v>
      </c>
    </row>
    <row r="942" spans="15:42" ht="14.25" x14ac:dyDescent="0.45">
      <c r="O942" s="43" t="s">
        <v>36</v>
      </c>
      <c r="P942" s="43">
        <v>1</v>
      </c>
      <c r="Q942" s="43">
        <v>11</v>
      </c>
      <c r="R942" s="43">
        <v>2</v>
      </c>
      <c r="S942" s="45"/>
      <c r="T942" t="b">
        <f>(S941+S942+S943)=U2</f>
        <v>0</v>
      </c>
      <c r="X942" s="1">
        <f t="shared" si="82"/>
        <v>0</v>
      </c>
      <c r="Y942" s="48">
        <v>0</v>
      </c>
      <c r="AA942" s="1">
        <v>3</v>
      </c>
      <c r="AB942" s="1" t="s">
        <v>16</v>
      </c>
      <c r="AC942" s="1" t="s">
        <v>22</v>
      </c>
      <c r="AD942" s="1">
        <v>18</v>
      </c>
      <c r="AE942" s="1">
        <v>16</v>
      </c>
      <c r="AF942" s="1">
        <v>0.8</v>
      </c>
      <c r="AG942" s="1">
        <v>0.9</v>
      </c>
      <c r="AH942" s="1">
        <v>0</v>
      </c>
      <c r="AI942" s="1">
        <v>0</v>
      </c>
      <c r="AJ942" s="1">
        <f t="shared" si="78"/>
        <v>0</v>
      </c>
      <c r="AK942" s="1">
        <f>D97</f>
        <v>0</v>
      </c>
      <c r="AL942" s="1">
        <f>D103</f>
        <v>0</v>
      </c>
      <c r="AM942" s="1">
        <f t="shared" si="79"/>
        <v>0</v>
      </c>
      <c r="AN942" s="1">
        <f t="shared" si="80"/>
        <v>0</v>
      </c>
      <c r="AO942" s="1">
        <f t="shared" si="81"/>
        <v>0</v>
      </c>
      <c r="AP942" t="b" cm="1">
        <f t="array" ref="AP942">INDEX($AU$8:$BB$25,6*(R942-1)+MATCH(AB942,$AS$8:$AS$13,0),MATCH(O942,$AU$7:$BB$7,0))</f>
        <v>1</v>
      </c>
    </row>
    <row r="943" spans="15:42" ht="14.25" x14ac:dyDescent="0.45">
      <c r="O943" s="43" t="s">
        <v>36</v>
      </c>
      <c r="P943" s="43">
        <v>1</v>
      </c>
      <c r="Q943" s="43">
        <v>11</v>
      </c>
      <c r="R943" s="43">
        <v>3</v>
      </c>
      <c r="S943" s="45"/>
      <c r="T943" t="b">
        <f>(S941+S942+S943)=U2</f>
        <v>0</v>
      </c>
      <c r="X943" s="1">
        <f t="shared" si="82"/>
        <v>0</v>
      </c>
      <c r="Y943" s="48">
        <v>0</v>
      </c>
      <c r="AA943" s="1">
        <v>3</v>
      </c>
      <c r="AB943" s="1" t="s">
        <v>16</v>
      </c>
      <c r="AC943" s="1" t="s">
        <v>22</v>
      </c>
      <c r="AD943" s="1">
        <v>18</v>
      </c>
      <c r="AE943" s="1">
        <v>16</v>
      </c>
      <c r="AF943" s="1">
        <v>0.8</v>
      </c>
      <c r="AG943" s="1">
        <v>0.9</v>
      </c>
      <c r="AH943" s="1">
        <v>0</v>
      </c>
      <c r="AI943" s="1">
        <v>0</v>
      </c>
      <c r="AJ943" s="1">
        <f t="shared" si="78"/>
        <v>0</v>
      </c>
      <c r="AK943" s="1">
        <f>E97</f>
        <v>0</v>
      </c>
      <c r="AL943" s="1">
        <f>E103</f>
        <v>0</v>
      </c>
      <c r="AM943" s="1">
        <f t="shared" si="79"/>
        <v>0</v>
      </c>
      <c r="AN943" s="1">
        <f t="shared" si="80"/>
        <v>0</v>
      </c>
      <c r="AO943" s="1">
        <f t="shared" si="81"/>
        <v>0</v>
      </c>
      <c r="AP943" t="b" cm="1">
        <f t="array" ref="AP943">INDEX($AU$8:$BB$25,6*(R943-1)+MATCH(AB943,$AS$8:$AS$13,0),MATCH(O943,$AU$7:$BB$7,0))</f>
        <v>1</v>
      </c>
    </row>
    <row r="944" spans="15:42" ht="14.25" x14ac:dyDescent="0.45">
      <c r="O944" s="43" t="s">
        <v>36</v>
      </c>
      <c r="P944" s="43">
        <v>2</v>
      </c>
      <c r="Q944" s="43">
        <v>1</v>
      </c>
      <c r="R944" s="43">
        <v>1</v>
      </c>
      <c r="S944" s="45"/>
      <c r="T944" t="b">
        <f>(S944+S945+S946)=U3</f>
        <v>0</v>
      </c>
      <c r="X944" s="1">
        <v>0</v>
      </c>
      <c r="Y944" s="48">
        <v>0</v>
      </c>
      <c r="AA944" s="1">
        <v>9</v>
      </c>
      <c r="AB944" s="1" t="s">
        <v>16</v>
      </c>
      <c r="AC944" s="1" t="s">
        <v>22</v>
      </c>
      <c r="AD944" s="1">
        <v>19</v>
      </c>
      <c r="AE944" s="1">
        <v>16</v>
      </c>
      <c r="AF944" s="1">
        <v>0.8</v>
      </c>
      <c r="AG944" s="1">
        <v>0.9</v>
      </c>
      <c r="AH944" s="1">
        <v>0</v>
      </c>
      <c r="AI944" s="1">
        <v>0</v>
      </c>
      <c r="AJ944" s="1">
        <f t="shared" si="78"/>
        <v>0</v>
      </c>
      <c r="AK944" s="1">
        <f>C97</f>
        <v>0</v>
      </c>
      <c r="AL944" s="1">
        <f>C103</f>
        <v>0</v>
      </c>
      <c r="AM944" s="1">
        <f t="shared" si="79"/>
        <v>0</v>
      </c>
      <c r="AN944" s="1">
        <f t="shared" si="80"/>
        <v>0</v>
      </c>
      <c r="AO944" s="1">
        <f t="shared" si="81"/>
        <v>0</v>
      </c>
      <c r="AP944" t="b" cm="1">
        <f t="array" ref="AP944">INDEX($AU$8:$BB$25,6*(R944-1)+MATCH(AB944,$AS$8:$AS$13,0),MATCH(O944,$AU$7:$BB$7,0))</f>
        <v>1</v>
      </c>
    </row>
    <row r="945" spans="15:42" ht="14.25" x14ac:dyDescent="0.45">
      <c r="O945" s="43" t="s">
        <v>36</v>
      </c>
      <c r="P945" s="43">
        <v>2</v>
      </c>
      <c r="Q945" s="43">
        <v>1</v>
      </c>
      <c r="R945" s="43">
        <v>2</v>
      </c>
      <c r="S945" s="45"/>
      <c r="T945" t="b">
        <f>(S944+S945+S946)=U3</f>
        <v>0</v>
      </c>
      <c r="X945" s="1">
        <v>0</v>
      </c>
      <c r="Y945" s="48">
        <v>0</v>
      </c>
      <c r="AA945" s="1">
        <v>9</v>
      </c>
      <c r="AB945" s="1" t="s">
        <v>16</v>
      </c>
      <c r="AC945" s="1" t="s">
        <v>22</v>
      </c>
      <c r="AD945" s="1">
        <v>19</v>
      </c>
      <c r="AE945" s="1">
        <v>16</v>
      </c>
      <c r="AF945" s="1">
        <v>0.8</v>
      </c>
      <c r="AG945" s="1">
        <v>0.9</v>
      </c>
      <c r="AH945" s="1">
        <v>0</v>
      </c>
      <c r="AI945" s="1">
        <v>0</v>
      </c>
      <c r="AJ945" s="1">
        <f t="shared" si="78"/>
        <v>0</v>
      </c>
      <c r="AK945" s="1">
        <f>D97</f>
        <v>0</v>
      </c>
      <c r="AL945" s="1">
        <f>D103</f>
        <v>0</v>
      </c>
      <c r="AM945" s="1">
        <f t="shared" si="79"/>
        <v>0</v>
      </c>
      <c r="AN945" s="1">
        <f t="shared" si="80"/>
        <v>0</v>
      </c>
      <c r="AO945" s="1">
        <f t="shared" si="81"/>
        <v>0</v>
      </c>
      <c r="AP945" t="b" cm="1">
        <f t="array" ref="AP945">INDEX($AU$8:$BB$25,6*(R945-1)+MATCH(AB945,$AS$8:$AS$13,0),MATCH(O945,$AU$7:$BB$7,0))</f>
        <v>1</v>
      </c>
    </row>
    <row r="946" spans="15:42" ht="14.25" x14ac:dyDescent="0.45">
      <c r="O946" s="43" t="s">
        <v>36</v>
      </c>
      <c r="P946" s="43">
        <v>2</v>
      </c>
      <c r="Q946" s="43">
        <v>1</v>
      </c>
      <c r="R946" s="43">
        <v>3</v>
      </c>
      <c r="S946" s="45"/>
      <c r="T946" t="b">
        <f>(S944+S945+S946)=U3</f>
        <v>0</v>
      </c>
      <c r="X946" s="1">
        <v>0</v>
      </c>
      <c r="Y946" s="48">
        <v>0</v>
      </c>
      <c r="AA946" s="1">
        <v>9</v>
      </c>
      <c r="AB946" s="1" t="s">
        <v>16</v>
      </c>
      <c r="AC946" s="1" t="s">
        <v>22</v>
      </c>
      <c r="AD946" s="1">
        <v>19</v>
      </c>
      <c r="AE946" s="1">
        <v>16</v>
      </c>
      <c r="AF946" s="1">
        <v>0.8</v>
      </c>
      <c r="AG946" s="1">
        <v>0.9</v>
      </c>
      <c r="AH946" s="1">
        <v>0</v>
      </c>
      <c r="AI946" s="1">
        <v>0</v>
      </c>
      <c r="AJ946" s="1">
        <f t="shared" si="78"/>
        <v>0</v>
      </c>
      <c r="AK946" s="1">
        <f>E97</f>
        <v>0</v>
      </c>
      <c r="AL946" s="1">
        <f>E103</f>
        <v>0</v>
      </c>
      <c r="AM946" s="1">
        <f t="shared" si="79"/>
        <v>0</v>
      </c>
      <c r="AN946" s="1">
        <f t="shared" si="80"/>
        <v>0</v>
      </c>
      <c r="AO946" s="1">
        <f t="shared" si="81"/>
        <v>0</v>
      </c>
      <c r="AP946" t="b" cm="1">
        <f t="array" ref="AP946">INDEX($AU$8:$BB$25,6*(R946-1)+MATCH(AB946,$AS$8:$AS$13,0),MATCH(O946,$AU$7:$BB$7,0))</f>
        <v>1</v>
      </c>
    </row>
    <row r="947" spans="15:42" ht="14.25" x14ac:dyDescent="0.45">
      <c r="O947" s="43" t="s">
        <v>36</v>
      </c>
      <c r="P947" s="43">
        <v>2</v>
      </c>
      <c r="Q947" s="43">
        <v>2</v>
      </c>
      <c r="R947" s="43">
        <v>1</v>
      </c>
      <c r="S947" s="45"/>
      <c r="T947" t="b">
        <f>(S947+S948+S949)=U3</f>
        <v>0</v>
      </c>
      <c r="X947" s="1">
        <f t="shared" ref="X947:X988" si="83">MAX(S944-S947,0)</f>
        <v>0</v>
      </c>
      <c r="Y947" s="48">
        <v>0</v>
      </c>
      <c r="AA947" s="1">
        <v>1</v>
      </c>
      <c r="AB947" s="1" t="s">
        <v>12</v>
      </c>
      <c r="AC947" s="1" t="s">
        <v>18</v>
      </c>
      <c r="AD947" s="1">
        <v>20</v>
      </c>
      <c r="AE947" s="1">
        <v>18</v>
      </c>
      <c r="AF947" s="1">
        <v>0.76</v>
      </c>
      <c r="AG947" s="1">
        <v>0.81</v>
      </c>
      <c r="AH947" s="1">
        <v>0</v>
      </c>
      <c r="AI947" s="1">
        <v>0</v>
      </c>
      <c r="AJ947" s="1">
        <f t="shared" si="78"/>
        <v>0</v>
      </c>
      <c r="AK947" s="1">
        <f>C93</f>
        <v>0</v>
      </c>
      <c r="AL947" s="1">
        <f>C99</f>
        <v>0</v>
      </c>
      <c r="AM947" s="1">
        <f t="shared" si="79"/>
        <v>0</v>
      </c>
      <c r="AN947" s="1">
        <f t="shared" si="80"/>
        <v>0</v>
      </c>
      <c r="AO947" s="1">
        <f t="shared" si="81"/>
        <v>0</v>
      </c>
      <c r="AP947" t="b" cm="1">
        <f t="array" ref="AP947">INDEX($AU$8:$BB$25,6*(R947-1)+MATCH(AB947,$AS$8:$AS$13,0),MATCH(O947,$AU$7:$BB$7,0))</f>
        <v>1</v>
      </c>
    </row>
    <row r="948" spans="15:42" ht="14.25" x14ac:dyDescent="0.45">
      <c r="O948" s="43" t="s">
        <v>36</v>
      </c>
      <c r="P948" s="43">
        <v>2</v>
      </c>
      <c r="Q948" s="43">
        <v>2</v>
      </c>
      <c r="R948" s="43">
        <v>2</v>
      </c>
      <c r="S948" s="45"/>
      <c r="T948" t="b">
        <f>(S947+S948+S949)=U3</f>
        <v>0</v>
      </c>
      <c r="X948" s="1">
        <f t="shared" si="83"/>
        <v>0</v>
      </c>
      <c r="Y948" s="48">
        <v>0</v>
      </c>
      <c r="AA948" s="1">
        <v>1</v>
      </c>
      <c r="AB948" s="1" t="s">
        <v>12</v>
      </c>
      <c r="AC948" s="1" t="s">
        <v>18</v>
      </c>
      <c r="AD948" s="1">
        <v>20</v>
      </c>
      <c r="AE948" s="1">
        <v>18</v>
      </c>
      <c r="AF948" s="1">
        <v>0.76</v>
      </c>
      <c r="AG948" s="1">
        <v>0.81</v>
      </c>
      <c r="AH948" s="1">
        <v>0</v>
      </c>
      <c r="AI948" s="1">
        <v>0</v>
      </c>
      <c r="AJ948" s="1">
        <f t="shared" si="78"/>
        <v>0</v>
      </c>
      <c r="AK948" s="1">
        <f>D93</f>
        <v>0</v>
      </c>
      <c r="AL948" s="1">
        <f>D99</f>
        <v>0</v>
      </c>
      <c r="AM948" s="1">
        <f t="shared" si="79"/>
        <v>0</v>
      </c>
      <c r="AN948" s="1">
        <f t="shared" si="80"/>
        <v>0</v>
      </c>
      <c r="AO948" s="1">
        <f t="shared" si="81"/>
        <v>0</v>
      </c>
      <c r="AP948" t="b" cm="1">
        <f t="array" ref="AP948">INDEX($AU$8:$BB$25,6*(R948-1)+MATCH(AB948,$AS$8:$AS$13,0),MATCH(O948,$AU$7:$BB$7,0))</f>
        <v>1</v>
      </c>
    </row>
    <row r="949" spans="15:42" ht="14.25" x14ac:dyDescent="0.45">
      <c r="O949" s="43" t="s">
        <v>36</v>
      </c>
      <c r="P949" s="43">
        <v>2</v>
      </c>
      <c r="Q949" s="43">
        <v>2</v>
      </c>
      <c r="R949" s="43">
        <v>3</v>
      </c>
      <c r="S949" s="45"/>
      <c r="T949" t="b">
        <f>(S947+S948+S949)=U3</f>
        <v>0</v>
      </c>
      <c r="X949" s="1">
        <f t="shared" si="83"/>
        <v>0</v>
      </c>
      <c r="Y949" s="48">
        <v>0</v>
      </c>
      <c r="AA949" s="1">
        <v>1</v>
      </c>
      <c r="AB949" s="1" t="s">
        <v>12</v>
      </c>
      <c r="AC949" s="1" t="s">
        <v>18</v>
      </c>
      <c r="AD949" s="1">
        <v>20</v>
      </c>
      <c r="AE949" s="1">
        <v>18</v>
      </c>
      <c r="AF949" s="1">
        <v>0.76</v>
      </c>
      <c r="AG949" s="1">
        <v>0.81</v>
      </c>
      <c r="AH949" s="1">
        <v>0</v>
      </c>
      <c r="AI949" s="1">
        <v>0</v>
      </c>
      <c r="AJ949" s="1">
        <f t="shared" si="78"/>
        <v>0</v>
      </c>
      <c r="AK949" s="1">
        <f>E93</f>
        <v>0</v>
      </c>
      <c r="AL949" s="1">
        <f>E99</f>
        <v>0</v>
      </c>
      <c r="AM949" s="1">
        <f t="shared" si="79"/>
        <v>0</v>
      </c>
      <c r="AN949" s="1">
        <f t="shared" si="80"/>
        <v>0</v>
      </c>
      <c r="AO949" s="1">
        <f t="shared" si="81"/>
        <v>0</v>
      </c>
      <c r="AP949" t="b" cm="1">
        <f t="array" ref="AP949">INDEX($AU$8:$BB$25,6*(R949-1)+MATCH(AB949,$AS$8:$AS$13,0),MATCH(O949,$AU$7:$BB$7,0))</f>
        <v>1</v>
      </c>
    </row>
    <row r="950" spans="15:42" ht="14.25" x14ac:dyDescent="0.45">
      <c r="O950" s="43" t="s">
        <v>36</v>
      </c>
      <c r="P950" s="43">
        <v>2</v>
      </c>
      <c r="Q950" s="43">
        <v>3</v>
      </c>
      <c r="R950" s="43">
        <v>1</v>
      </c>
      <c r="S950" s="45"/>
      <c r="T950" t="b">
        <f>(S950+S951+S952)=U3</f>
        <v>0</v>
      </c>
      <c r="X950" s="1">
        <f t="shared" si="83"/>
        <v>0</v>
      </c>
      <c r="Y950" s="48">
        <v>0</v>
      </c>
      <c r="AA950" s="1">
        <v>11</v>
      </c>
      <c r="AB950" s="1" t="s">
        <v>15</v>
      </c>
      <c r="AC950" s="1" t="s">
        <v>21</v>
      </c>
      <c r="AD950" s="1">
        <v>10</v>
      </c>
      <c r="AE950" s="1">
        <v>7</v>
      </c>
      <c r="AF950" s="1">
        <v>0.76</v>
      </c>
      <c r="AG950" s="1">
        <v>0.84</v>
      </c>
      <c r="AH950" s="1">
        <v>0</v>
      </c>
      <c r="AI950" s="1">
        <v>0</v>
      </c>
      <c r="AJ950" s="1">
        <f t="shared" si="78"/>
        <v>0</v>
      </c>
      <c r="AK950" s="1">
        <f>C96</f>
        <v>0</v>
      </c>
      <c r="AL950" s="1">
        <f>C102</f>
        <v>0</v>
      </c>
      <c r="AM950" s="1">
        <f t="shared" si="79"/>
        <v>0</v>
      </c>
      <c r="AN950" s="1">
        <f t="shared" si="80"/>
        <v>0</v>
      </c>
      <c r="AO950" s="1">
        <f t="shared" si="81"/>
        <v>0</v>
      </c>
      <c r="AP950" t="b" cm="1">
        <f t="array" ref="AP950">INDEX($AU$8:$BB$25,6*(R950-1)+MATCH(AB950,$AS$8:$AS$13,0),MATCH(O950,$AU$7:$BB$7,0))</f>
        <v>1</v>
      </c>
    </row>
    <row r="951" spans="15:42" ht="14.25" x14ac:dyDescent="0.45">
      <c r="O951" s="43" t="s">
        <v>36</v>
      </c>
      <c r="P951" s="43">
        <v>2</v>
      </c>
      <c r="Q951" s="43">
        <v>3</v>
      </c>
      <c r="R951" s="43">
        <v>2</v>
      </c>
      <c r="S951" s="45"/>
      <c r="T951" t="b">
        <f>(S950+S951+S952)=U3</f>
        <v>0</v>
      </c>
      <c r="X951" s="1">
        <f t="shared" si="83"/>
        <v>0</v>
      </c>
      <c r="Y951" s="48">
        <v>0</v>
      </c>
      <c r="AA951" s="1">
        <v>11</v>
      </c>
      <c r="AB951" s="1" t="s">
        <v>15</v>
      </c>
      <c r="AC951" s="1" t="s">
        <v>21</v>
      </c>
      <c r="AD951" s="1">
        <v>10</v>
      </c>
      <c r="AE951" s="1">
        <v>7</v>
      </c>
      <c r="AF951" s="1">
        <v>0.76</v>
      </c>
      <c r="AG951" s="1">
        <v>0.84</v>
      </c>
      <c r="AH951" s="1">
        <v>0</v>
      </c>
      <c r="AI951" s="1">
        <v>0</v>
      </c>
      <c r="AJ951" s="1">
        <f t="shared" si="78"/>
        <v>0</v>
      </c>
      <c r="AK951" s="1">
        <f>D96</f>
        <v>0</v>
      </c>
      <c r="AL951" s="1">
        <f>D102</f>
        <v>0</v>
      </c>
      <c r="AM951" s="1">
        <f t="shared" si="79"/>
        <v>0</v>
      </c>
      <c r="AN951" s="1">
        <f t="shared" si="80"/>
        <v>0</v>
      </c>
      <c r="AO951" s="1">
        <f t="shared" si="81"/>
        <v>0</v>
      </c>
      <c r="AP951" t="b" cm="1">
        <f t="array" ref="AP951">INDEX($AU$8:$BB$25,6*(R951-1)+MATCH(AB951,$AS$8:$AS$13,0),MATCH(O951,$AU$7:$BB$7,0))</f>
        <v>1</v>
      </c>
    </row>
    <row r="952" spans="15:42" ht="14.25" x14ac:dyDescent="0.45">
      <c r="O952" s="43" t="s">
        <v>36</v>
      </c>
      <c r="P952" s="43">
        <v>2</v>
      </c>
      <c r="Q952" s="43">
        <v>3</v>
      </c>
      <c r="R952" s="43">
        <v>3</v>
      </c>
      <c r="S952" s="45"/>
      <c r="T952" t="b">
        <f>(S950+S951+S952)=U3</f>
        <v>0</v>
      </c>
      <c r="X952" s="1">
        <f t="shared" si="83"/>
        <v>0</v>
      </c>
      <c r="Y952" s="48">
        <v>0</v>
      </c>
      <c r="AA952" s="1">
        <v>11</v>
      </c>
      <c r="AB952" s="1" t="s">
        <v>15</v>
      </c>
      <c r="AC952" s="1" t="s">
        <v>21</v>
      </c>
      <c r="AD952" s="1">
        <v>10</v>
      </c>
      <c r="AE952" s="1">
        <v>7</v>
      </c>
      <c r="AF952" s="1">
        <v>0.76</v>
      </c>
      <c r="AG952" s="1">
        <v>0.84</v>
      </c>
      <c r="AH952" s="1">
        <v>0</v>
      </c>
      <c r="AI952" s="1">
        <v>0</v>
      </c>
      <c r="AJ952" s="1">
        <f t="shared" si="78"/>
        <v>0</v>
      </c>
      <c r="AK952" s="1">
        <f>E96</f>
        <v>0</v>
      </c>
      <c r="AL952" s="1">
        <f>E102</f>
        <v>0</v>
      </c>
      <c r="AM952" s="1">
        <f t="shared" si="79"/>
        <v>0</v>
      </c>
      <c r="AN952" s="1">
        <f t="shared" si="80"/>
        <v>0</v>
      </c>
      <c r="AO952" s="1">
        <f t="shared" si="81"/>
        <v>0</v>
      </c>
      <c r="AP952" t="b" cm="1">
        <f t="array" ref="AP952">INDEX($AU$8:$BB$25,6*(R952-1)+MATCH(AB952,$AS$8:$AS$13,0),MATCH(O952,$AU$7:$BB$7,0))</f>
        <v>1</v>
      </c>
    </row>
    <row r="953" spans="15:42" ht="14.25" x14ac:dyDescent="0.45">
      <c r="O953" s="43" t="s">
        <v>36</v>
      </c>
      <c r="P953" s="43">
        <v>2</v>
      </c>
      <c r="Q953" s="43">
        <v>4</v>
      </c>
      <c r="R953" s="43">
        <v>1</v>
      </c>
      <c r="S953" s="45"/>
      <c r="T953" t="b">
        <f>(S953+S954+S955)=U3</f>
        <v>0</v>
      </c>
      <c r="X953" s="1">
        <f t="shared" si="83"/>
        <v>0</v>
      </c>
      <c r="Y953" s="48">
        <v>0</v>
      </c>
      <c r="AA953" s="1">
        <v>2</v>
      </c>
      <c r="AB953" s="1" t="s">
        <v>12</v>
      </c>
      <c r="AC953" s="1" t="s">
        <v>18</v>
      </c>
      <c r="AD953" s="1">
        <v>25</v>
      </c>
      <c r="AE953" s="1">
        <v>19</v>
      </c>
      <c r="AF953" s="1">
        <v>0.76</v>
      </c>
      <c r="AG953" s="1">
        <v>0.81</v>
      </c>
      <c r="AH953" s="1">
        <v>0</v>
      </c>
      <c r="AI953" s="1">
        <v>0</v>
      </c>
      <c r="AJ953" s="1">
        <f t="shared" si="78"/>
        <v>0</v>
      </c>
      <c r="AK953" s="1">
        <f>C93</f>
        <v>0</v>
      </c>
      <c r="AL953" s="1">
        <f>C99</f>
        <v>0</v>
      </c>
      <c r="AM953" s="1">
        <f t="shared" si="79"/>
        <v>0</v>
      </c>
      <c r="AN953" s="1">
        <f t="shared" si="80"/>
        <v>0</v>
      </c>
      <c r="AO953" s="1">
        <f t="shared" si="81"/>
        <v>0</v>
      </c>
      <c r="AP953" t="b" cm="1">
        <f t="array" ref="AP953">INDEX($AU$8:$BB$25,6*(R953-1)+MATCH(AB953,$AS$8:$AS$13,0),MATCH(O953,$AU$7:$BB$7,0))</f>
        <v>1</v>
      </c>
    </row>
    <row r="954" spans="15:42" ht="14.25" x14ac:dyDescent="0.45">
      <c r="O954" s="43" t="s">
        <v>36</v>
      </c>
      <c r="P954" s="43">
        <v>2</v>
      </c>
      <c r="Q954" s="43">
        <v>4</v>
      </c>
      <c r="R954" s="43">
        <v>2</v>
      </c>
      <c r="S954" s="45"/>
      <c r="T954" t="b">
        <f>(S953+S954+S955)=U3</f>
        <v>0</v>
      </c>
      <c r="X954" s="1">
        <f t="shared" si="83"/>
        <v>0</v>
      </c>
      <c r="Y954" s="48">
        <v>0</v>
      </c>
      <c r="AA954" s="1">
        <v>2</v>
      </c>
      <c r="AB954" s="1" t="s">
        <v>12</v>
      </c>
      <c r="AC954" s="1" t="s">
        <v>18</v>
      </c>
      <c r="AD954" s="1">
        <v>25</v>
      </c>
      <c r="AE954" s="1">
        <v>19</v>
      </c>
      <c r="AF954" s="1">
        <v>0.76</v>
      </c>
      <c r="AG954" s="1">
        <v>0.81</v>
      </c>
      <c r="AH954" s="1">
        <v>0</v>
      </c>
      <c r="AI954" s="1">
        <v>0</v>
      </c>
      <c r="AJ954" s="1">
        <f t="shared" si="78"/>
        <v>0</v>
      </c>
      <c r="AK954" s="1">
        <f>D93</f>
        <v>0</v>
      </c>
      <c r="AL954" s="1">
        <f>D99</f>
        <v>0</v>
      </c>
      <c r="AM954" s="1">
        <f t="shared" si="79"/>
        <v>0</v>
      </c>
      <c r="AN954" s="1">
        <f t="shared" si="80"/>
        <v>0</v>
      </c>
      <c r="AO954" s="1">
        <f t="shared" si="81"/>
        <v>0</v>
      </c>
      <c r="AP954" t="b" cm="1">
        <f t="array" ref="AP954">INDEX($AU$8:$BB$25,6*(R954-1)+MATCH(AB954,$AS$8:$AS$13,0),MATCH(O954,$AU$7:$BB$7,0))</f>
        <v>1</v>
      </c>
    </row>
    <row r="955" spans="15:42" ht="14.25" x14ac:dyDescent="0.45">
      <c r="O955" s="43" t="s">
        <v>36</v>
      </c>
      <c r="P955" s="43">
        <v>2</v>
      </c>
      <c r="Q955" s="43">
        <v>4</v>
      </c>
      <c r="R955" s="43">
        <v>3</v>
      </c>
      <c r="S955" s="45"/>
      <c r="T955" t="b">
        <f>(S953+S954+S955)=U3</f>
        <v>0</v>
      </c>
      <c r="X955" s="1">
        <f t="shared" si="83"/>
        <v>0</v>
      </c>
      <c r="Y955" s="48">
        <v>0</v>
      </c>
      <c r="AA955" s="1">
        <v>2</v>
      </c>
      <c r="AB955" s="1" t="s">
        <v>12</v>
      </c>
      <c r="AC955" s="1" t="s">
        <v>18</v>
      </c>
      <c r="AD955" s="1">
        <v>25</v>
      </c>
      <c r="AE955" s="1">
        <v>19</v>
      </c>
      <c r="AF955" s="1">
        <v>0.76</v>
      </c>
      <c r="AG955" s="1">
        <v>0.81</v>
      </c>
      <c r="AH955" s="1">
        <v>0</v>
      </c>
      <c r="AI955" s="1">
        <v>0</v>
      </c>
      <c r="AJ955" s="1">
        <f t="shared" si="78"/>
        <v>0</v>
      </c>
      <c r="AK955" s="1">
        <f>E93</f>
        <v>0</v>
      </c>
      <c r="AL955" s="1">
        <f>E99</f>
        <v>0</v>
      </c>
      <c r="AM955" s="1">
        <f t="shared" si="79"/>
        <v>0</v>
      </c>
      <c r="AN955" s="1">
        <f t="shared" si="80"/>
        <v>0</v>
      </c>
      <c r="AO955" s="1">
        <f t="shared" si="81"/>
        <v>0</v>
      </c>
      <c r="AP955" t="b" cm="1">
        <f t="array" ref="AP955">INDEX($AU$8:$BB$25,6*(R955-1)+MATCH(AB955,$AS$8:$AS$13,0),MATCH(O955,$AU$7:$BB$7,0))</f>
        <v>1</v>
      </c>
    </row>
    <row r="956" spans="15:42" ht="14.25" x14ac:dyDescent="0.45">
      <c r="O956" s="43" t="s">
        <v>36</v>
      </c>
      <c r="P956" s="43">
        <v>2</v>
      </c>
      <c r="Q956" s="43">
        <v>5</v>
      </c>
      <c r="R956" s="43">
        <v>1</v>
      </c>
      <c r="S956" s="45"/>
      <c r="T956" t="b">
        <f>(S956+S957+S958)=U3</f>
        <v>0</v>
      </c>
      <c r="X956" s="1">
        <f t="shared" si="83"/>
        <v>0</v>
      </c>
      <c r="Y956" s="48">
        <v>0</v>
      </c>
      <c r="AA956" s="1">
        <v>3</v>
      </c>
      <c r="AB956" s="1" t="s">
        <v>12</v>
      </c>
      <c r="AC956" s="1" t="s">
        <v>18</v>
      </c>
      <c r="AD956" s="1">
        <v>15</v>
      </c>
      <c r="AE956" s="1">
        <v>11</v>
      </c>
      <c r="AF956" s="1">
        <v>0.76</v>
      </c>
      <c r="AG956" s="1">
        <v>0.81</v>
      </c>
      <c r="AH956" s="1">
        <v>0</v>
      </c>
      <c r="AI956" s="1">
        <v>0</v>
      </c>
      <c r="AJ956" s="1">
        <f t="shared" si="78"/>
        <v>0</v>
      </c>
      <c r="AK956" s="1">
        <f>C93</f>
        <v>0</v>
      </c>
      <c r="AL956" s="1">
        <f>C99</f>
        <v>0</v>
      </c>
      <c r="AM956" s="1">
        <f t="shared" si="79"/>
        <v>0</v>
      </c>
      <c r="AN956" s="1">
        <f t="shared" si="80"/>
        <v>0</v>
      </c>
      <c r="AO956" s="1">
        <f t="shared" si="81"/>
        <v>0</v>
      </c>
      <c r="AP956" t="b" cm="1">
        <f t="array" ref="AP956">INDEX($AU$8:$BB$25,6*(R956-1)+MATCH(AB956,$AS$8:$AS$13,0),MATCH(O956,$AU$7:$BB$7,0))</f>
        <v>1</v>
      </c>
    </row>
    <row r="957" spans="15:42" ht="14.25" x14ac:dyDescent="0.45">
      <c r="O957" s="43" t="s">
        <v>36</v>
      </c>
      <c r="P957" s="43">
        <v>2</v>
      </c>
      <c r="Q957" s="43">
        <v>5</v>
      </c>
      <c r="R957" s="43">
        <v>2</v>
      </c>
      <c r="S957" s="45"/>
      <c r="T957" t="b">
        <f>(S956+S957+S958)=U3</f>
        <v>0</v>
      </c>
      <c r="X957" s="1">
        <f t="shared" si="83"/>
        <v>0</v>
      </c>
      <c r="Y957" s="48">
        <v>0</v>
      </c>
      <c r="AA957" s="1">
        <v>3</v>
      </c>
      <c r="AB957" s="1" t="s">
        <v>12</v>
      </c>
      <c r="AC957" s="1" t="s">
        <v>18</v>
      </c>
      <c r="AD957" s="1">
        <v>15</v>
      </c>
      <c r="AE957" s="1">
        <v>11</v>
      </c>
      <c r="AF957" s="1">
        <v>0.76</v>
      </c>
      <c r="AG957" s="1">
        <v>0.81</v>
      </c>
      <c r="AH957" s="1">
        <v>0</v>
      </c>
      <c r="AI957" s="1">
        <v>0</v>
      </c>
      <c r="AJ957" s="1">
        <f t="shared" si="78"/>
        <v>0</v>
      </c>
      <c r="AK957" s="1">
        <f>D93</f>
        <v>0</v>
      </c>
      <c r="AL957" s="1">
        <f>D99</f>
        <v>0</v>
      </c>
      <c r="AM957" s="1">
        <f t="shared" si="79"/>
        <v>0</v>
      </c>
      <c r="AN957" s="1">
        <f t="shared" si="80"/>
        <v>0</v>
      </c>
      <c r="AO957" s="1">
        <f t="shared" si="81"/>
        <v>0</v>
      </c>
      <c r="AP957" t="b" cm="1">
        <f t="array" ref="AP957">INDEX($AU$8:$BB$25,6*(R957-1)+MATCH(AB957,$AS$8:$AS$13,0),MATCH(O957,$AU$7:$BB$7,0))</f>
        <v>1</v>
      </c>
    </row>
    <row r="958" spans="15:42" ht="14.25" x14ac:dyDescent="0.45">
      <c r="O958" s="43" t="s">
        <v>36</v>
      </c>
      <c r="P958" s="43">
        <v>2</v>
      </c>
      <c r="Q958" s="43">
        <v>5</v>
      </c>
      <c r="R958" s="43">
        <v>3</v>
      </c>
      <c r="S958" s="45"/>
      <c r="T958" t="b">
        <f>(S956+S957+S958)=U3</f>
        <v>0</v>
      </c>
      <c r="X958" s="1">
        <f t="shared" si="83"/>
        <v>0</v>
      </c>
      <c r="Y958" s="48">
        <v>0</v>
      </c>
      <c r="AA958" s="1">
        <v>3</v>
      </c>
      <c r="AB958" s="1" t="s">
        <v>12</v>
      </c>
      <c r="AC958" s="1" t="s">
        <v>18</v>
      </c>
      <c r="AD958" s="1">
        <v>15</v>
      </c>
      <c r="AE958" s="1">
        <v>11</v>
      </c>
      <c r="AF958" s="1">
        <v>0.76</v>
      </c>
      <c r="AG958" s="1">
        <v>0.81</v>
      </c>
      <c r="AH958" s="1">
        <v>0</v>
      </c>
      <c r="AI958" s="1">
        <v>0</v>
      </c>
      <c r="AJ958" s="1">
        <f t="shared" si="78"/>
        <v>0</v>
      </c>
      <c r="AK958" s="1">
        <f>E93</f>
        <v>0</v>
      </c>
      <c r="AL958" s="1">
        <f>E99</f>
        <v>0</v>
      </c>
      <c r="AM958" s="1">
        <f t="shared" si="79"/>
        <v>0</v>
      </c>
      <c r="AN958" s="1">
        <f t="shared" si="80"/>
        <v>0</v>
      </c>
      <c r="AO958" s="1">
        <f t="shared" si="81"/>
        <v>0</v>
      </c>
      <c r="AP958" t="b" cm="1">
        <f t="array" ref="AP958">INDEX($AU$8:$BB$25,6*(R958-1)+MATCH(AB958,$AS$8:$AS$13,0),MATCH(O958,$AU$7:$BB$7,0))</f>
        <v>1</v>
      </c>
    </row>
    <row r="959" spans="15:42" ht="14.25" x14ac:dyDescent="0.45">
      <c r="O959" s="43" t="s">
        <v>36</v>
      </c>
      <c r="P959" s="43">
        <v>2</v>
      </c>
      <c r="Q959" s="43">
        <v>6</v>
      </c>
      <c r="R959" s="43">
        <v>1</v>
      </c>
      <c r="S959" s="45"/>
      <c r="T959" t="b">
        <f>(S959+S960+S961)=U3</f>
        <v>0</v>
      </c>
      <c r="X959" s="1">
        <f t="shared" si="83"/>
        <v>0</v>
      </c>
      <c r="Y959" s="48">
        <v>0</v>
      </c>
      <c r="AA959" s="1">
        <v>5</v>
      </c>
      <c r="AB959" s="1" t="s">
        <v>16</v>
      </c>
      <c r="AC959" s="1" t="s">
        <v>22</v>
      </c>
      <c r="AD959" s="1">
        <v>16</v>
      </c>
      <c r="AE959" s="1">
        <v>14</v>
      </c>
      <c r="AF959" s="1">
        <v>0.8</v>
      </c>
      <c r="AG959" s="1">
        <v>0.9</v>
      </c>
      <c r="AH959" s="1">
        <v>0</v>
      </c>
      <c r="AI959" s="1">
        <v>0</v>
      </c>
      <c r="AJ959" s="1">
        <f t="shared" si="78"/>
        <v>0</v>
      </c>
      <c r="AK959" s="1">
        <f>C97</f>
        <v>0</v>
      </c>
      <c r="AL959" s="1">
        <f>C103</f>
        <v>0</v>
      </c>
      <c r="AM959" s="1">
        <f t="shared" si="79"/>
        <v>0</v>
      </c>
      <c r="AN959" s="1">
        <f t="shared" si="80"/>
        <v>0</v>
      </c>
      <c r="AO959" s="1">
        <f t="shared" si="81"/>
        <v>0</v>
      </c>
      <c r="AP959" t="b" cm="1">
        <f t="array" ref="AP959">INDEX($AU$8:$BB$25,6*(R959-1)+MATCH(AB959,$AS$8:$AS$13,0),MATCH(O959,$AU$7:$BB$7,0))</f>
        <v>1</v>
      </c>
    </row>
    <row r="960" spans="15:42" ht="14.25" x14ac:dyDescent="0.45">
      <c r="O960" s="43" t="s">
        <v>36</v>
      </c>
      <c r="P960" s="43">
        <v>2</v>
      </c>
      <c r="Q960" s="43">
        <v>6</v>
      </c>
      <c r="R960" s="43">
        <v>2</v>
      </c>
      <c r="S960" s="45"/>
      <c r="T960" t="b">
        <f>(S959+S960+S961)=U3</f>
        <v>0</v>
      </c>
      <c r="X960" s="1">
        <f t="shared" si="83"/>
        <v>0</v>
      </c>
      <c r="Y960" s="48">
        <v>0</v>
      </c>
      <c r="AA960" s="1">
        <v>5</v>
      </c>
      <c r="AB960" s="1" t="s">
        <v>16</v>
      </c>
      <c r="AC960" s="1" t="s">
        <v>22</v>
      </c>
      <c r="AD960" s="1">
        <v>16</v>
      </c>
      <c r="AE960" s="1">
        <v>14</v>
      </c>
      <c r="AF960" s="1">
        <v>0.8</v>
      </c>
      <c r="AG960" s="1">
        <v>0.9</v>
      </c>
      <c r="AH960" s="1">
        <v>0</v>
      </c>
      <c r="AI960" s="1">
        <v>0</v>
      </c>
      <c r="AJ960" s="1">
        <f t="shared" si="78"/>
        <v>0</v>
      </c>
      <c r="AK960" s="1">
        <f>D97</f>
        <v>0</v>
      </c>
      <c r="AL960" s="1">
        <f>D103</f>
        <v>0</v>
      </c>
      <c r="AM960" s="1">
        <f t="shared" si="79"/>
        <v>0</v>
      </c>
      <c r="AN960" s="1">
        <f t="shared" si="80"/>
        <v>0</v>
      </c>
      <c r="AO960" s="1">
        <f t="shared" si="81"/>
        <v>0</v>
      </c>
      <c r="AP960" t="b" cm="1">
        <f t="array" ref="AP960">INDEX($AU$8:$BB$25,6*(R960-1)+MATCH(AB960,$AS$8:$AS$13,0),MATCH(O960,$AU$7:$BB$7,0))</f>
        <v>1</v>
      </c>
    </row>
    <row r="961" spans="15:42" ht="14.25" x14ac:dyDescent="0.45">
      <c r="O961" s="43" t="s">
        <v>36</v>
      </c>
      <c r="P961" s="43">
        <v>2</v>
      </c>
      <c r="Q961" s="43">
        <v>6</v>
      </c>
      <c r="R961" s="43">
        <v>3</v>
      </c>
      <c r="S961" s="45"/>
      <c r="T961" t="b">
        <f>(S959+S960+S961)=U3</f>
        <v>0</v>
      </c>
      <c r="X961" s="1">
        <f t="shared" si="83"/>
        <v>0</v>
      </c>
      <c r="Y961" s="48">
        <v>0</v>
      </c>
      <c r="AA961" s="1">
        <v>5</v>
      </c>
      <c r="AB961" s="1" t="s">
        <v>16</v>
      </c>
      <c r="AC961" s="1" t="s">
        <v>22</v>
      </c>
      <c r="AD961" s="1">
        <v>16</v>
      </c>
      <c r="AE961" s="1">
        <v>14</v>
      </c>
      <c r="AF961" s="1">
        <v>0.8</v>
      </c>
      <c r="AG961" s="1">
        <v>0.9</v>
      </c>
      <c r="AH961" s="1">
        <v>0</v>
      </c>
      <c r="AI961" s="1">
        <v>0</v>
      </c>
      <c r="AJ961" s="1">
        <f t="shared" si="78"/>
        <v>0</v>
      </c>
      <c r="AK961" s="1">
        <f>E97</f>
        <v>0</v>
      </c>
      <c r="AL961" s="1">
        <f>E103</f>
        <v>0</v>
      </c>
      <c r="AM961" s="1">
        <f t="shared" si="79"/>
        <v>0</v>
      </c>
      <c r="AN961" s="1">
        <f t="shared" si="80"/>
        <v>0</v>
      </c>
      <c r="AO961" s="1">
        <f t="shared" si="81"/>
        <v>0</v>
      </c>
      <c r="AP961" t="b" cm="1">
        <f t="array" ref="AP961">INDEX($AU$8:$BB$25,6*(R961-1)+MATCH(AB961,$AS$8:$AS$13,0),MATCH(O961,$AU$7:$BB$7,0))</f>
        <v>1</v>
      </c>
    </row>
    <row r="962" spans="15:42" ht="14.25" x14ac:dyDescent="0.45">
      <c r="O962" s="43" t="s">
        <v>36</v>
      </c>
      <c r="P962" s="43">
        <v>2</v>
      </c>
      <c r="Q962" s="43">
        <v>7</v>
      </c>
      <c r="R962" s="43">
        <v>1</v>
      </c>
      <c r="S962" s="45"/>
      <c r="T962" t="b">
        <f>(S962+S963+S964)=U3</f>
        <v>0</v>
      </c>
      <c r="X962" s="1">
        <f t="shared" si="83"/>
        <v>0</v>
      </c>
      <c r="Y962" s="48">
        <v>0</v>
      </c>
      <c r="AA962" s="1">
        <v>4</v>
      </c>
      <c r="AB962" s="1" t="s">
        <v>16</v>
      </c>
      <c r="AC962" s="1" t="s">
        <v>22</v>
      </c>
      <c r="AD962" s="1">
        <v>17</v>
      </c>
      <c r="AE962" s="1">
        <v>15</v>
      </c>
      <c r="AF962" s="1">
        <v>0.8</v>
      </c>
      <c r="AG962" s="1">
        <v>0.9</v>
      </c>
      <c r="AH962" s="1">
        <v>0</v>
      </c>
      <c r="AI962" s="1">
        <v>0</v>
      </c>
      <c r="AJ962" s="1">
        <f t="shared" si="78"/>
        <v>0</v>
      </c>
      <c r="AK962" s="1">
        <f>C97</f>
        <v>0</v>
      </c>
      <c r="AL962" s="1">
        <f>C103</f>
        <v>0</v>
      </c>
      <c r="AM962" s="1">
        <f t="shared" si="79"/>
        <v>0</v>
      </c>
      <c r="AN962" s="1">
        <f t="shared" si="80"/>
        <v>0</v>
      </c>
      <c r="AO962" s="1">
        <f t="shared" si="81"/>
        <v>0</v>
      </c>
      <c r="AP962" t="b" cm="1">
        <f t="array" ref="AP962">INDEX($AU$8:$BB$25,6*(R962-1)+MATCH(AB962,$AS$8:$AS$13,0),MATCH(O962,$AU$7:$BB$7,0))</f>
        <v>1</v>
      </c>
    </row>
    <row r="963" spans="15:42" ht="14.25" x14ac:dyDescent="0.45">
      <c r="O963" s="43" t="s">
        <v>36</v>
      </c>
      <c r="P963" s="43">
        <v>2</v>
      </c>
      <c r="Q963" s="43">
        <v>7</v>
      </c>
      <c r="R963" s="43">
        <v>2</v>
      </c>
      <c r="S963" s="45"/>
      <c r="T963" t="b">
        <f>(S962+S963+S964)=U3</f>
        <v>0</v>
      </c>
      <c r="X963" s="1">
        <f t="shared" si="83"/>
        <v>0</v>
      </c>
      <c r="Y963" s="48">
        <v>0</v>
      </c>
      <c r="AA963" s="1">
        <v>4</v>
      </c>
      <c r="AB963" s="1" t="s">
        <v>16</v>
      </c>
      <c r="AC963" s="1" t="s">
        <v>22</v>
      </c>
      <c r="AD963" s="1">
        <v>17</v>
      </c>
      <c r="AE963" s="1">
        <v>15</v>
      </c>
      <c r="AF963" s="1">
        <v>0.8</v>
      </c>
      <c r="AG963" s="1">
        <v>0.9</v>
      </c>
      <c r="AH963" s="1">
        <v>0</v>
      </c>
      <c r="AI963" s="1">
        <v>0</v>
      </c>
      <c r="AJ963" s="1">
        <f t="shared" si="78"/>
        <v>0</v>
      </c>
      <c r="AK963" s="1">
        <f>D97</f>
        <v>0</v>
      </c>
      <c r="AL963" s="1">
        <f>D103</f>
        <v>0</v>
      </c>
      <c r="AM963" s="1">
        <f t="shared" si="79"/>
        <v>0</v>
      </c>
      <c r="AN963" s="1">
        <f t="shared" si="80"/>
        <v>0</v>
      </c>
      <c r="AO963" s="1">
        <f t="shared" si="81"/>
        <v>0</v>
      </c>
      <c r="AP963" t="b" cm="1">
        <f t="array" ref="AP963">INDEX($AU$8:$BB$25,6*(R963-1)+MATCH(AB963,$AS$8:$AS$13,0),MATCH(O963,$AU$7:$BB$7,0))</f>
        <v>1</v>
      </c>
    </row>
    <row r="964" spans="15:42" ht="14.25" x14ac:dyDescent="0.45">
      <c r="O964" s="43" t="s">
        <v>36</v>
      </c>
      <c r="P964" s="43">
        <v>2</v>
      </c>
      <c r="Q964" s="43">
        <v>7</v>
      </c>
      <c r="R964" s="43">
        <v>3</v>
      </c>
      <c r="S964" s="45"/>
      <c r="T964" t="b">
        <f>(S962+S963+S964)=U3</f>
        <v>0</v>
      </c>
      <c r="X964" s="1">
        <f t="shared" si="83"/>
        <v>0</v>
      </c>
      <c r="Y964" s="48">
        <v>0</v>
      </c>
      <c r="AA964" s="1">
        <v>4</v>
      </c>
      <c r="AB964" s="1" t="s">
        <v>16</v>
      </c>
      <c r="AC964" s="1" t="s">
        <v>22</v>
      </c>
      <c r="AD964" s="1">
        <v>17</v>
      </c>
      <c r="AE964" s="1">
        <v>15</v>
      </c>
      <c r="AF964" s="1">
        <v>0.8</v>
      </c>
      <c r="AG964" s="1">
        <v>0.9</v>
      </c>
      <c r="AH964" s="1">
        <v>0</v>
      </c>
      <c r="AI964" s="1">
        <v>0</v>
      </c>
      <c r="AJ964" s="1">
        <f t="shared" si="78"/>
        <v>0</v>
      </c>
      <c r="AK964" s="1">
        <f>E97</f>
        <v>0</v>
      </c>
      <c r="AL964" s="1">
        <f>E103</f>
        <v>0</v>
      </c>
      <c r="AM964" s="1">
        <f t="shared" si="79"/>
        <v>0</v>
      </c>
      <c r="AN964" s="1">
        <f t="shared" si="80"/>
        <v>0</v>
      </c>
      <c r="AO964" s="1">
        <f t="shared" si="81"/>
        <v>0</v>
      </c>
      <c r="AP964" t="b" cm="1">
        <f t="array" ref="AP964">INDEX($AU$8:$BB$25,6*(R964-1)+MATCH(AB964,$AS$8:$AS$13,0),MATCH(O964,$AU$7:$BB$7,0))</f>
        <v>1</v>
      </c>
    </row>
    <row r="965" spans="15:42" ht="14.25" x14ac:dyDescent="0.45">
      <c r="O965" s="43" t="s">
        <v>36</v>
      </c>
      <c r="P965" s="43">
        <v>2</v>
      </c>
      <c r="Q965" s="43">
        <v>8</v>
      </c>
      <c r="R965" s="43">
        <v>1</v>
      </c>
      <c r="S965" s="45"/>
      <c r="T965" t="b">
        <f>(S965+S966+S967)=U3</f>
        <v>0</v>
      </c>
      <c r="X965" s="1">
        <f t="shared" si="83"/>
        <v>0</v>
      </c>
      <c r="Y965" s="48">
        <v>0</v>
      </c>
      <c r="AA965" s="1">
        <v>4</v>
      </c>
      <c r="AB965" s="1" t="s">
        <v>12</v>
      </c>
      <c r="AC965" s="1" t="s">
        <v>18</v>
      </c>
      <c r="AD965" s="1">
        <v>22</v>
      </c>
      <c r="AE965" s="1">
        <v>16</v>
      </c>
      <c r="AF965" s="1">
        <v>0.76</v>
      </c>
      <c r="AG965" s="1">
        <v>0.81</v>
      </c>
      <c r="AH965" s="1">
        <v>0</v>
      </c>
      <c r="AI965" s="1">
        <v>0</v>
      </c>
      <c r="AJ965" s="1">
        <f t="shared" si="78"/>
        <v>0</v>
      </c>
      <c r="AK965" s="1">
        <f>C93</f>
        <v>0</v>
      </c>
      <c r="AL965" s="1">
        <f>C99</f>
        <v>0</v>
      </c>
      <c r="AM965" s="1">
        <f t="shared" si="79"/>
        <v>0</v>
      </c>
      <c r="AN965" s="1">
        <f t="shared" si="80"/>
        <v>0</v>
      </c>
      <c r="AO965" s="1">
        <f t="shared" si="81"/>
        <v>0</v>
      </c>
      <c r="AP965" t="b" cm="1">
        <f t="array" ref="AP965">INDEX($AU$8:$BB$25,6*(R965-1)+MATCH(AB965,$AS$8:$AS$13,0),MATCH(O965,$AU$7:$BB$7,0))</f>
        <v>1</v>
      </c>
    </row>
    <row r="966" spans="15:42" ht="14.25" x14ac:dyDescent="0.45">
      <c r="O966" s="43" t="s">
        <v>36</v>
      </c>
      <c r="P966" s="43">
        <v>2</v>
      </c>
      <c r="Q966" s="43">
        <v>8</v>
      </c>
      <c r="R966" s="43">
        <v>2</v>
      </c>
      <c r="S966" s="45"/>
      <c r="T966" t="b">
        <f>(S965+S966+S967)=U3</f>
        <v>0</v>
      </c>
      <c r="X966" s="1">
        <f t="shared" si="83"/>
        <v>0</v>
      </c>
      <c r="Y966" s="48">
        <v>0</v>
      </c>
      <c r="AA966" s="1">
        <v>4</v>
      </c>
      <c r="AB966" s="1" t="s">
        <v>12</v>
      </c>
      <c r="AC966" s="1" t="s">
        <v>18</v>
      </c>
      <c r="AD966" s="1">
        <v>22</v>
      </c>
      <c r="AE966" s="1">
        <v>16</v>
      </c>
      <c r="AF966" s="1">
        <v>0.76</v>
      </c>
      <c r="AG966" s="1">
        <v>0.81</v>
      </c>
      <c r="AH966" s="1">
        <v>0</v>
      </c>
      <c r="AI966" s="1">
        <v>0</v>
      </c>
      <c r="AJ966" s="1">
        <f t="shared" si="78"/>
        <v>0</v>
      </c>
      <c r="AK966" s="1">
        <f>D93</f>
        <v>0</v>
      </c>
      <c r="AL966" s="1">
        <f>D99</f>
        <v>0</v>
      </c>
      <c r="AM966" s="1">
        <f t="shared" si="79"/>
        <v>0</v>
      </c>
      <c r="AN966" s="1">
        <f t="shared" si="80"/>
        <v>0</v>
      </c>
      <c r="AO966" s="1">
        <f t="shared" si="81"/>
        <v>0</v>
      </c>
      <c r="AP966" t="b" cm="1">
        <f t="array" ref="AP966">INDEX($AU$8:$BB$25,6*(R966-1)+MATCH(AB966,$AS$8:$AS$13,0),MATCH(O966,$AU$7:$BB$7,0))</f>
        <v>1</v>
      </c>
    </row>
    <row r="967" spans="15:42" ht="14.25" x14ac:dyDescent="0.45">
      <c r="O967" s="43" t="s">
        <v>36</v>
      </c>
      <c r="P967" s="43">
        <v>2</v>
      </c>
      <c r="Q967" s="43">
        <v>8</v>
      </c>
      <c r="R967" s="43">
        <v>3</v>
      </c>
      <c r="S967" s="45"/>
      <c r="T967" t="b">
        <f>(S965+S966+S967)=U3</f>
        <v>0</v>
      </c>
      <c r="X967" s="1">
        <f t="shared" si="83"/>
        <v>0</v>
      </c>
      <c r="Y967" s="48">
        <v>0</v>
      </c>
      <c r="AA967" s="1">
        <v>4</v>
      </c>
      <c r="AB967" s="1" t="s">
        <v>12</v>
      </c>
      <c r="AC967" s="1" t="s">
        <v>18</v>
      </c>
      <c r="AD967" s="1">
        <v>22</v>
      </c>
      <c r="AE967" s="1">
        <v>16</v>
      </c>
      <c r="AF967" s="1">
        <v>0.76</v>
      </c>
      <c r="AG967" s="1">
        <v>0.81</v>
      </c>
      <c r="AH967" s="1">
        <v>0</v>
      </c>
      <c r="AI967" s="1">
        <v>0</v>
      </c>
      <c r="AJ967" s="1">
        <f t="shared" si="78"/>
        <v>0</v>
      </c>
      <c r="AK967" s="1">
        <f>E93</f>
        <v>0</v>
      </c>
      <c r="AL967" s="1">
        <f>E99</f>
        <v>0</v>
      </c>
      <c r="AM967" s="1">
        <f t="shared" si="79"/>
        <v>0</v>
      </c>
      <c r="AN967" s="1">
        <f t="shared" si="80"/>
        <v>0</v>
      </c>
      <c r="AO967" s="1">
        <f t="shared" si="81"/>
        <v>0</v>
      </c>
      <c r="AP967" t="b" cm="1">
        <f t="array" ref="AP967">INDEX($AU$8:$BB$25,6*(R967-1)+MATCH(AB967,$AS$8:$AS$13,0),MATCH(O967,$AU$7:$BB$7,0))</f>
        <v>1</v>
      </c>
    </row>
    <row r="968" spans="15:42" ht="14.25" x14ac:dyDescent="0.45">
      <c r="O968" s="43" t="s">
        <v>36</v>
      </c>
      <c r="P968" s="43">
        <v>2</v>
      </c>
      <c r="Q968" s="43">
        <v>9</v>
      </c>
      <c r="R968" s="43">
        <v>1</v>
      </c>
      <c r="S968" s="45"/>
      <c r="T968" t="b">
        <f>(S968+S969+S970)=U3</f>
        <v>0</v>
      </c>
      <c r="X968" s="1">
        <f t="shared" si="83"/>
        <v>0</v>
      </c>
      <c r="Y968" s="48">
        <v>0</v>
      </c>
      <c r="AA968" s="1">
        <v>4</v>
      </c>
      <c r="AB968" s="1" t="s">
        <v>15</v>
      </c>
      <c r="AC968" s="1" t="s">
        <v>21</v>
      </c>
      <c r="AD968" s="1">
        <v>7</v>
      </c>
      <c r="AE968" s="1">
        <v>6</v>
      </c>
      <c r="AF968" s="1">
        <v>0.76</v>
      </c>
      <c r="AG968" s="1">
        <v>0.84</v>
      </c>
      <c r="AH968" s="1">
        <v>0</v>
      </c>
      <c r="AI968" s="1">
        <v>0</v>
      </c>
      <c r="AJ968" s="1">
        <f t="shared" si="78"/>
        <v>0</v>
      </c>
      <c r="AK968" s="1">
        <f>C96</f>
        <v>0</v>
      </c>
      <c r="AL968" s="1">
        <f>C102</f>
        <v>0</v>
      </c>
      <c r="AM968" s="1">
        <f t="shared" si="79"/>
        <v>0</v>
      </c>
      <c r="AN968" s="1">
        <f t="shared" si="80"/>
        <v>0</v>
      </c>
      <c r="AO968" s="1">
        <f t="shared" si="81"/>
        <v>0</v>
      </c>
      <c r="AP968" t="b" cm="1">
        <f t="array" ref="AP968">INDEX($AU$8:$BB$25,6*(R968-1)+MATCH(AB968,$AS$8:$AS$13,0),MATCH(O968,$AU$7:$BB$7,0))</f>
        <v>1</v>
      </c>
    </row>
    <row r="969" spans="15:42" ht="14.25" x14ac:dyDescent="0.45">
      <c r="O969" s="43" t="s">
        <v>36</v>
      </c>
      <c r="P969" s="43">
        <v>2</v>
      </c>
      <c r="Q969" s="43">
        <v>9</v>
      </c>
      <c r="R969" s="43">
        <v>2</v>
      </c>
      <c r="S969" s="45"/>
      <c r="T969" t="b">
        <f>(S968+S969+S970)=U3</f>
        <v>0</v>
      </c>
      <c r="X969" s="1">
        <f t="shared" si="83"/>
        <v>0</v>
      </c>
      <c r="Y969" s="48">
        <v>0</v>
      </c>
      <c r="AA969" s="1">
        <v>4</v>
      </c>
      <c r="AB969" s="1" t="s">
        <v>15</v>
      </c>
      <c r="AC969" s="1" t="s">
        <v>21</v>
      </c>
      <c r="AD969" s="1">
        <v>7</v>
      </c>
      <c r="AE969" s="1">
        <v>6</v>
      </c>
      <c r="AF969" s="1">
        <v>0.76</v>
      </c>
      <c r="AG969" s="1">
        <v>0.84</v>
      </c>
      <c r="AH969" s="1">
        <v>0</v>
      </c>
      <c r="AI969" s="1">
        <v>0</v>
      </c>
      <c r="AJ969" s="1">
        <f t="shared" ref="AJ969:AJ1032" si="84">SUMIFS(AH$8:AH$1039,$O$8:$O$1039,O969,$AB$8:$AB$1039,AB969,$R$8:$R$1039,R969,$AA$8:$AA$1039,"&lt;="&amp;AA969)</f>
        <v>0</v>
      </c>
      <c r="AK969" s="1">
        <f>D96</f>
        <v>0</v>
      </c>
      <c r="AL969" s="1">
        <f>D102</f>
        <v>0</v>
      </c>
      <c r="AM969" s="1">
        <f t="shared" ref="AM969:AM1032" si="85">MAX(0,AJ969-AK969)</f>
        <v>0</v>
      </c>
      <c r="AN969" s="1">
        <f t="shared" ref="AN969:AN1032" si="86">IF(AM969=0,AH969,IF(AM969&gt;=AH969,0,AH969-AM969))</f>
        <v>0</v>
      </c>
      <c r="AO969" s="1">
        <f t="shared" ref="AO969:AO1032" si="87">IF(AM969&gt;=AH969,AI969,AI969*AM969/AH969)</f>
        <v>0</v>
      </c>
      <c r="AP969" t="b" cm="1">
        <f t="array" ref="AP969">INDEX($AU$8:$BB$25,6*(R969-1)+MATCH(AB969,$AS$8:$AS$13,0),MATCH(O969,$AU$7:$BB$7,0))</f>
        <v>1</v>
      </c>
    </row>
    <row r="970" spans="15:42" ht="14.25" x14ac:dyDescent="0.45">
      <c r="O970" s="43" t="s">
        <v>36</v>
      </c>
      <c r="P970" s="43">
        <v>2</v>
      </c>
      <c r="Q970" s="43">
        <v>9</v>
      </c>
      <c r="R970" s="43">
        <v>3</v>
      </c>
      <c r="S970" s="45"/>
      <c r="T970" t="b">
        <f>(S968+S969+S970)=U3</f>
        <v>0</v>
      </c>
      <c r="X970" s="1">
        <f t="shared" si="83"/>
        <v>0</v>
      </c>
      <c r="Y970" s="48">
        <v>0</v>
      </c>
      <c r="AA970" s="1">
        <v>4</v>
      </c>
      <c r="AB970" s="1" t="s">
        <v>15</v>
      </c>
      <c r="AC970" s="1" t="s">
        <v>21</v>
      </c>
      <c r="AD970" s="1">
        <v>7</v>
      </c>
      <c r="AE970" s="1">
        <v>6</v>
      </c>
      <c r="AF970" s="1">
        <v>0.76</v>
      </c>
      <c r="AG970" s="1">
        <v>0.84</v>
      </c>
      <c r="AH970" s="1">
        <v>0</v>
      </c>
      <c r="AI970" s="1">
        <v>0</v>
      </c>
      <c r="AJ970" s="1">
        <f t="shared" si="84"/>
        <v>0</v>
      </c>
      <c r="AK970" s="1">
        <f>E96</f>
        <v>0</v>
      </c>
      <c r="AL970" s="1">
        <f>E102</f>
        <v>0</v>
      </c>
      <c r="AM970" s="1">
        <f t="shared" si="85"/>
        <v>0</v>
      </c>
      <c r="AN970" s="1">
        <f t="shared" si="86"/>
        <v>0</v>
      </c>
      <c r="AO970" s="1">
        <f t="shared" si="87"/>
        <v>0</v>
      </c>
      <c r="AP970" t="b" cm="1">
        <f t="array" ref="AP970">INDEX($AU$8:$BB$25,6*(R970-1)+MATCH(AB970,$AS$8:$AS$13,0),MATCH(O970,$AU$7:$BB$7,0))</f>
        <v>1</v>
      </c>
    </row>
    <row r="971" spans="15:42" ht="14.25" x14ac:dyDescent="0.45">
      <c r="O971" s="43" t="s">
        <v>36</v>
      </c>
      <c r="P971" s="43">
        <v>2</v>
      </c>
      <c r="Q971" s="43">
        <v>10</v>
      </c>
      <c r="R971" s="43">
        <v>1</v>
      </c>
      <c r="S971" s="45"/>
      <c r="T971" t="b">
        <f>(S971+S972+S973)=U3</f>
        <v>0</v>
      </c>
      <c r="X971" s="1">
        <f t="shared" si="83"/>
        <v>0</v>
      </c>
      <c r="Y971" s="48">
        <v>0</v>
      </c>
      <c r="AA971" s="1">
        <v>6</v>
      </c>
      <c r="AB971" s="1" t="s">
        <v>15</v>
      </c>
      <c r="AC971" s="1" t="s">
        <v>21</v>
      </c>
      <c r="AD971" s="1">
        <v>9</v>
      </c>
      <c r="AE971" s="1">
        <v>7</v>
      </c>
      <c r="AF971" s="1">
        <v>0.76</v>
      </c>
      <c r="AG971" s="1">
        <v>0.84</v>
      </c>
      <c r="AH971" s="1">
        <v>0</v>
      </c>
      <c r="AI971" s="1">
        <v>0</v>
      </c>
      <c r="AJ971" s="1">
        <f t="shared" si="84"/>
        <v>0</v>
      </c>
      <c r="AK971" s="1">
        <f>C96</f>
        <v>0</v>
      </c>
      <c r="AL971" s="1">
        <f>C102</f>
        <v>0</v>
      </c>
      <c r="AM971" s="1">
        <f t="shared" si="85"/>
        <v>0</v>
      </c>
      <c r="AN971" s="1">
        <f t="shared" si="86"/>
        <v>0</v>
      </c>
      <c r="AO971" s="1">
        <f t="shared" si="87"/>
        <v>0</v>
      </c>
      <c r="AP971" t="b" cm="1">
        <f t="array" ref="AP971">INDEX($AU$8:$BB$25,6*(R971-1)+MATCH(AB971,$AS$8:$AS$13,0),MATCH(O971,$AU$7:$BB$7,0))</f>
        <v>1</v>
      </c>
    </row>
    <row r="972" spans="15:42" ht="14.25" x14ac:dyDescent="0.45">
      <c r="O972" s="43" t="s">
        <v>36</v>
      </c>
      <c r="P972" s="43">
        <v>2</v>
      </c>
      <c r="Q972" s="43">
        <v>10</v>
      </c>
      <c r="R972" s="43">
        <v>2</v>
      </c>
      <c r="S972" s="45"/>
      <c r="T972" t="b">
        <f>(S971+S972+S973)=U3</f>
        <v>0</v>
      </c>
      <c r="X972" s="1">
        <f t="shared" si="83"/>
        <v>0</v>
      </c>
      <c r="Y972" s="48">
        <v>0</v>
      </c>
      <c r="AA972" s="1">
        <v>6</v>
      </c>
      <c r="AB972" s="1" t="s">
        <v>15</v>
      </c>
      <c r="AC972" s="1" t="s">
        <v>21</v>
      </c>
      <c r="AD972" s="1">
        <v>9</v>
      </c>
      <c r="AE972" s="1">
        <v>7</v>
      </c>
      <c r="AF972" s="1">
        <v>0.76</v>
      </c>
      <c r="AG972" s="1">
        <v>0.84</v>
      </c>
      <c r="AH972" s="1">
        <v>0</v>
      </c>
      <c r="AI972" s="1">
        <v>0</v>
      </c>
      <c r="AJ972" s="1">
        <f t="shared" si="84"/>
        <v>0</v>
      </c>
      <c r="AK972" s="1">
        <f>D96</f>
        <v>0</v>
      </c>
      <c r="AL972" s="1">
        <f>D102</f>
        <v>0</v>
      </c>
      <c r="AM972" s="1">
        <f t="shared" si="85"/>
        <v>0</v>
      </c>
      <c r="AN972" s="1">
        <f t="shared" si="86"/>
        <v>0</v>
      </c>
      <c r="AO972" s="1">
        <f t="shared" si="87"/>
        <v>0</v>
      </c>
      <c r="AP972" t="b" cm="1">
        <f t="array" ref="AP972">INDEX($AU$8:$BB$25,6*(R972-1)+MATCH(AB972,$AS$8:$AS$13,0),MATCH(O972,$AU$7:$BB$7,0))</f>
        <v>1</v>
      </c>
    </row>
    <row r="973" spans="15:42" ht="14.25" x14ac:dyDescent="0.45">
      <c r="O973" s="43" t="s">
        <v>36</v>
      </c>
      <c r="P973" s="43">
        <v>2</v>
      </c>
      <c r="Q973" s="43">
        <v>10</v>
      </c>
      <c r="R973" s="43">
        <v>3</v>
      </c>
      <c r="S973" s="45"/>
      <c r="T973" t="b">
        <f>(S971+S972+S973)=U3</f>
        <v>0</v>
      </c>
      <c r="X973" s="1">
        <f t="shared" si="83"/>
        <v>0</v>
      </c>
      <c r="Y973" s="48">
        <v>0</v>
      </c>
      <c r="AA973" s="1">
        <v>6</v>
      </c>
      <c r="AB973" s="1" t="s">
        <v>15</v>
      </c>
      <c r="AC973" s="1" t="s">
        <v>21</v>
      </c>
      <c r="AD973" s="1">
        <v>9</v>
      </c>
      <c r="AE973" s="1">
        <v>7</v>
      </c>
      <c r="AF973" s="1">
        <v>0.76</v>
      </c>
      <c r="AG973" s="1">
        <v>0.84</v>
      </c>
      <c r="AH973" s="1">
        <v>0</v>
      </c>
      <c r="AI973" s="1">
        <v>0</v>
      </c>
      <c r="AJ973" s="1">
        <f t="shared" si="84"/>
        <v>0</v>
      </c>
      <c r="AK973" s="1">
        <f>E96</f>
        <v>0</v>
      </c>
      <c r="AL973" s="1">
        <f>E102</f>
        <v>0</v>
      </c>
      <c r="AM973" s="1">
        <f t="shared" si="85"/>
        <v>0</v>
      </c>
      <c r="AN973" s="1">
        <f t="shared" si="86"/>
        <v>0</v>
      </c>
      <c r="AO973" s="1">
        <f t="shared" si="87"/>
        <v>0</v>
      </c>
      <c r="AP973" t="b" cm="1">
        <f t="array" ref="AP973">INDEX($AU$8:$BB$25,6*(R973-1)+MATCH(AB973,$AS$8:$AS$13,0),MATCH(O973,$AU$7:$BB$7,0))</f>
        <v>1</v>
      </c>
    </row>
    <row r="974" spans="15:42" ht="14.25" x14ac:dyDescent="0.45">
      <c r="O974" s="43" t="s">
        <v>36</v>
      </c>
      <c r="P974" s="43">
        <v>2</v>
      </c>
      <c r="Q974" s="43">
        <v>11</v>
      </c>
      <c r="R974" s="43">
        <v>1</v>
      </c>
      <c r="S974" s="45"/>
      <c r="T974" t="b">
        <f>(S974+S975+S976)=U3</f>
        <v>0</v>
      </c>
      <c r="X974" s="1">
        <f t="shared" si="83"/>
        <v>0</v>
      </c>
      <c r="Y974" s="48">
        <v>0</v>
      </c>
      <c r="AA974" s="1">
        <v>2</v>
      </c>
      <c r="AB974" s="1" t="s">
        <v>15</v>
      </c>
      <c r="AC974" s="1" t="s">
        <v>21</v>
      </c>
      <c r="AD974" s="1">
        <v>20</v>
      </c>
      <c r="AE974" s="1">
        <v>19</v>
      </c>
      <c r="AF974" s="1">
        <v>0.76</v>
      </c>
      <c r="AG974" s="1">
        <v>0.84</v>
      </c>
      <c r="AH974" s="1">
        <v>0</v>
      </c>
      <c r="AI974" s="1">
        <v>0</v>
      </c>
      <c r="AJ974" s="1">
        <f t="shared" si="84"/>
        <v>0</v>
      </c>
      <c r="AK974" s="1">
        <f>C96</f>
        <v>0</v>
      </c>
      <c r="AL974" s="1">
        <f>C102</f>
        <v>0</v>
      </c>
      <c r="AM974" s="1">
        <f t="shared" si="85"/>
        <v>0</v>
      </c>
      <c r="AN974" s="1">
        <f t="shared" si="86"/>
        <v>0</v>
      </c>
      <c r="AO974" s="1">
        <f t="shared" si="87"/>
        <v>0</v>
      </c>
      <c r="AP974" t="b" cm="1">
        <f t="array" ref="AP974">INDEX($AU$8:$BB$25,6*(R974-1)+MATCH(AB974,$AS$8:$AS$13,0),MATCH(O974,$AU$7:$BB$7,0))</f>
        <v>1</v>
      </c>
    </row>
    <row r="975" spans="15:42" ht="14.25" x14ac:dyDescent="0.45">
      <c r="O975" s="43" t="s">
        <v>36</v>
      </c>
      <c r="P975" s="43">
        <v>2</v>
      </c>
      <c r="Q975" s="43">
        <v>11</v>
      </c>
      <c r="R975" s="43">
        <v>2</v>
      </c>
      <c r="S975" s="45"/>
      <c r="T975" t="b">
        <f>(S974+S975+S976)=U3</f>
        <v>0</v>
      </c>
      <c r="X975" s="1">
        <f t="shared" si="83"/>
        <v>0</v>
      </c>
      <c r="Y975" s="48">
        <v>0</v>
      </c>
      <c r="AA975" s="1">
        <v>2</v>
      </c>
      <c r="AB975" s="1" t="s">
        <v>15</v>
      </c>
      <c r="AC975" s="1" t="s">
        <v>21</v>
      </c>
      <c r="AD975" s="1">
        <v>20</v>
      </c>
      <c r="AE975" s="1">
        <v>19</v>
      </c>
      <c r="AF975" s="1">
        <v>0.76</v>
      </c>
      <c r="AG975" s="1">
        <v>0.84</v>
      </c>
      <c r="AH975" s="1">
        <v>0</v>
      </c>
      <c r="AI975" s="1">
        <v>0</v>
      </c>
      <c r="AJ975" s="1">
        <f t="shared" si="84"/>
        <v>0</v>
      </c>
      <c r="AK975" s="1">
        <f>D96</f>
        <v>0</v>
      </c>
      <c r="AL975" s="1">
        <f>D102</f>
        <v>0</v>
      </c>
      <c r="AM975" s="1">
        <f t="shared" si="85"/>
        <v>0</v>
      </c>
      <c r="AN975" s="1">
        <f t="shared" si="86"/>
        <v>0</v>
      </c>
      <c r="AO975" s="1">
        <f t="shared" si="87"/>
        <v>0</v>
      </c>
      <c r="AP975" t="b" cm="1">
        <f t="array" ref="AP975">INDEX($AU$8:$BB$25,6*(R975-1)+MATCH(AB975,$AS$8:$AS$13,0),MATCH(O975,$AU$7:$BB$7,0))</f>
        <v>1</v>
      </c>
    </row>
    <row r="976" spans="15:42" ht="14.25" x14ac:dyDescent="0.45">
      <c r="O976" s="43" t="s">
        <v>36</v>
      </c>
      <c r="P976" s="43">
        <v>2</v>
      </c>
      <c r="Q976" s="43">
        <v>11</v>
      </c>
      <c r="R976" s="43">
        <v>3</v>
      </c>
      <c r="S976" s="45"/>
      <c r="T976" t="b">
        <f>(S974+S975+S976)=U3</f>
        <v>0</v>
      </c>
      <c r="X976" s="1">
        <f t="shared" si="83"/>
        <v>0</v>
      </c>
      <c r="Y976" s="48">
        <v>0</v>
      </c>
      <c r="AA976" s="1">
        <v>2</v>
      </c>
      <c r="AB976" s="1" t="s">
        <v>15</v>
      </c>
      <c r="AC976" s="1" t="s">
        <v>21</v>
      </c>
      <c r="AD976" s="1">
        <v>20</v>
      </c>
      <c r="AE976" s="1">
        <v>19</v>
      </c>
      <c r="AF976" s="1">
        <v>0.76</v>
      </c>
      <c r="AG976" s="1">
        <v>0.84</v>
      </c>
      <c r="AH976" s="1">
        <v>0</v>
      </c>
      <c r="AI976" s="1">
        <v>0</v>
      </c>
      <c r="AJ976" s="1">
        <f t="shared" si="84"/>
        <v>0</v>
      </c>
      <c r="AK976" s="1">
        <f>E96</f>
        <v>0</v>
      </c>
      <c r="AL976" s="1">
        <f>E102</f>
        <v>0</v>
      </c>
      <c r="AM976" s="1">
        <f t="shared" si="85"/>
        <v>0</v>
      </c>
      <c r="AN976" s="1">
        <f t="shared" si="86"/>
        <v>0</v>
      </c>
      <c r="AO976" s="1">
        <f t="shared" si="87"/>
        <v>0</v>
      </c>
      <c r="AP976" t="b" cm="1">
        <f t="array" ref="AP976">INDEX($AU$8:$BB$25,6*(R976-1)+MATCH(AB976,$AS$8:$AS$13,0),MATCH(O976,$AU$7:$BB$7,0))</f>
        <v>1</v>
      </c>
    </row>
    <row r="977" spans="15:42" ht="14.25" x14ac:dyDescent="0.45">
      <c r="O977" s="43" t="s">
        <v>36</v>
      </c>
      <c r="P977" s="43">
        <v>2</v>
      </c>
      <c r="Q977" s="43">
        <v>12</v>
      </c>
      <c r="R977" s="43">
        <v>1</v>
      </c>
      <c r="S977" s="45"/>
      <c r="T977" t="b">
        <f>(S977+S978+S979)=U3</f>
        <v>0</v>
      </c>
      <c r="X977" s="1">
        <f t="shared" si="83"/>
        <v>0</v>
      </c>
      <c r="Y977" s="48">
        <v>0</v>
      </c>
      <c r="AA977" s="1">
        <v>7</v>
      </c>
      <c r="AB977" s="1" t="s">
        <v>16</v>
      </c>
      <c r="AC977" s="1" t="s">
        <v>22</v>
      </c>
      <c r="AD977" s="1">
        <v>21</v>
      </c>
      <c r="AE977" s="1">
        <v>18</v>
      </c>
      <c r="AF977" s="1">
        <v>0.8</v>
      </c>
      <c r="AG977" s="1">
        <v>0.9</v>
      </c>
      <c r="AH977" s="1">
        <v>0</v>
      </c>
      <c r="AI977" s="1">
        <v>0</v>
      </c>
      <c r="AJ977" s="1">
        <f t="shared" si="84"/>
        <v>0</v>
      </c>
      <c r="AK977" s="1">
        <f>C97</f>
        <v>0</v>
      </c>
      <c r="AL977" s="1">
        <f>C103</f>
        <v>0</v>
      </c>
      <c r="AM977" s="1">
        <f t="shared" si="85"/>
        <v>0</v>
      </c>
      <c r="AN977" s="1">
        <f t="shared" si="86"/>
        <v>0</v>
      </c>
      <c r="AO977" s="1">
        <f t="shared" si="87"/>
        <v>0</v>
      </c>
      <c r="AP977" t="b" cm="1">
        <f t="array" ref="AP977">INDEX($AU$8:$BB$25,6*(R977-1)+MATCH(AB977,$AS$8:$AS$13,0),MATCH(O977,$AU$7:$BB$7,0))</f>
        <v>1</v>
      </c>
    </row>
    <row r="978" spans="15:42" ht="14.25" x14ac:dyDescent="0.45">
      <c r="O978" s="43" t="s">
        <v>36</v>
      </c>
      <c r="P978" s="43">
        <v>2</v>
      </c>
      <c r="Q978" s="43">
        <v>12</v>
      </c>
      <c r="R978" s="43">
        <v>2</v>
      </c>
      <c r="S978" s="45"/>
      <c r="T978" t="b">
        <f>(S977+S978+S979)=U3</f>
        <v>0</v>
      </c>
      <c r="X978" s="1">
        <f t="shared" si="83"/>
        <v>0</v>
      </c>
      <c r="Y978" s="48">
        <v>0</v>
      </c>
      <c r="AA978" s="1">
        <v>7</v>
      </c>
      <c r="AB978" s="1" t="s">
        <v>16</v>
      </c>
      <c r="AC978" s="1" t="s">
        <v>22</v>
      </c>
      <c r="AD978" s="1">
        <v>21</v>
      </c>
      <c r="AE978" s="1">
        <v>18</v>
      </c>
      <c r="AF978" s="1">
        <v>0.8</v>
      </c>
      <c r="AG978" s="1">
        <v>0.9</v>
      </c>
      <c r="AH978" s="1">
        <v>0</v>
      </c>
      <c r="AI978" s="1">
        <v>0</v>
      </c>
      <c r="AJ978" s="1">
        <f t="shared" si="84"/>
        <v>0</v>
      </c>
      <c r="AK978" s="1">
        <f>D97</f>
        <v>0</v>
      </c>
      <c r="AL978" s="1">
        <f>D103</f>
        <v>0</v>
      </c>
      <c r="AM978" s="1">
        <f t="shared" si="85"/>
        <v>0</v>
      </c>
      <c r="AN978" s="1">
        <f t="shared" si="86"/>
        <v>0</v>
      </c>
      <c r="AO978" s="1">
        <f t="shared" si="87"/>
        <v>0</v>
      </c>
      <c r="AP978" t="b" cm="1">
        <f t="array" ref="AP978">INDEX($AU$8:$BB$25,6*(R978-1)+MATCH(AB978,$AS$8:$AS$13,0),MATCH(O978,$AU$7:$BB$7,0))</f>
        <v>1</v>
      </c>
    </row>
    <row r="979" spans="15:42" ht="14.25" x14ac:dyDescent="0.45">
      <c r="O979" s="43" t="s">
        <v>36</v>
      </c>
      <c r="P979" s="43">
        <v>2</v>
      </c>
      <c r="Q979" s="43">
        <v>12</v>
      </c>
      <c r="R979" s="43">
        <v>3</v>
      </c>
      <c r="S979" s="45"/>
      <c r="T979" t="b">
        <f>(S977+S978+S979)=U3</f>
        <v>0</v>
      </c>
      <c r="X979" s="1">
        <f t="shared" si="83"/>
        <v>0</v>
      </c>
      <c r="Y979" s="48">
        <v>0</v>
      </c>
      <c r="AA979" s="1">
        <v>7</v>
      </c>
      <c r="AB979" s="1" t="s">
        <v>16</v>
      </c>
      <c r="AC979" s="1" t="s">
        <v>22</v>
      </c>
      <c r="AD979" s="1">
        <v>21</v>
      </c>
      <c r="AE979" s="1">
        <v>18</v>
      </c>
      <c r="AF979" s="1">
        <v>0.8</v>
      </c>
      <c r="AG979" s="1">
        <v>0.9</v>
      </c>
      <c r="AH979" s="1">
        <v>0</v>
      </c>
      <c r="AI979" s="1">
        <v>0</v>
      </c>
      <c r="AJ979" s="1">
        <f t="shared" si="84"/>
        <v>0</v>
      </c>
      <c r="AK979" s="1">
        <f>E97</f>
        <v>0</v>
      </c>
      <c r="AL979" s="1">
        <f>E103</f>
        <v>0</v>
      </c>
      <c r="AM979" s="1">
        <f t="shared" si="85"/>
        <v>0</v>
      </c>
      <c r="AN979" s="1">
        <f t="shared" si="86"/>
        <v>0</v>
      </c>
      <c r="AO979" s="1">
        <f t="shared" si="87"/>
        <v>0</v>
      </c>
      <c r="AP979" t="b" cm="1">
        <f t="array" ref="AP979">INDEX($AU$8:$BB$25,6*(R979-1)+MATCH(AB979,$AS$8:$AS$13,0),MATCH(O979,$AU$7:$BB$7,0))</f>
        <v>1</v>
      </c>
    </row>
    <row r="980" spans="15:42" ht="14.25" x14ac:dyDescent="0.45">
      <c r="O980" s="43" t="s">
        <v>36</v>
      </c>
      <c r="P980" s="43">
        <v>2</v>
      </c>
      <c r="Q980" s="43">
        <v>13</v>
      </c>
      <c r="R980" s="43">
        <v>1</v>
      </c>
      <c r="S980" s="45"/>
      <c r="T980" t="b">
        <f>(S980+S981+S982)=U3</f>
        <v>0</v>
      </c>
      <c r="X980" s="1">
        <f t="shared" si="83"/>
        <v>0</v>
      </c>
      <c r="Y980" s="48">
        <v>0</v>
      </c>
      <c r="AA980" s="1">
        <v>8</v>
      </c>
      <c r="AB980" s="1" t="s">
        <v>15</v>
      </c>
      <c r="AC980" s="1" t="s">
        <v>21</v>
      </c>
      <c r="AD980" s="1">
        <v>12</v>
      </c>
      <c r="AE980" s="1">
        <v>9</v>
      </c>
      <c r="AF980" s="1">
        <v>0.76</v>
      </c>
      <c r="AG980" s="1">
        <v>0.84</v>
      </c>
      <c r="AH980" s="1">
        <v>0</v>
      </c>
      <c r="AI980" s="1">
        <v>0</v>
      </c>
      <c r="AJ980" s="1">
        <f t="shared" si="84"/>
        <v>0</v>
      </c>
      <c r="AK980" s="1">
        <f>C96</f>
        <v>0</v>
      </c>
      <c r="AL980" s="1">
        <f>C102</f>
        <v>0</v>
      </c>
      <c r="AM980" s="1">
        <f t="shared" si="85"/>
        <v>0</v>
      </c>
      <c r="AN980" s="1">
        <f t="shared" si="86"/>
        <v>0</v>
      </c>
      <c r="AO980" s="1">
        <f t="shared" si="87"/>
        <v>0</v>
      </c>
      <c r="AP980" t="b" cm="1">
        <f t="array" ref="AP980">INDEX($AU$8:$BB$25,6*(R980-1)+MATCH(AB980,$AS$8:$AS$13,0),MATCH(O980,$AU$7:$BB$7,0))</f>
        <v>1</v>
      </c>
    </row>
    <row r="981" spans="15:42" ht="14.25" x14ac:dyDescent="0.45">
      <c r="O981" s="43" t="s">
        <v>36</v>
      </c>
      <c r="P981" s="43">
        <v>2</v>
      </c>
      <c r="Q981" s="43">
        <v>13</v>
      </c>
      <c r="R981" s="43">
        <v>2</v>
      </c>
      <c r="S981" s="45"/>
      <c r="T981" t="b">
        <f>(S980+S981+S982)=U3</f>
        <v>0</v>
      </c>
      <c r="X981" s="1">
        <f t="shared" si="83"/>
        <v>0</v>
      </c>
      <c r="Y981" s="48">
        <v>0</v>
      </c>
      <c r="AA981" s="1">
        <v>8</v>
      </c>
      <c r="AB981" s="1" t="s">
        <v>15</v>
      </c>
      <c r="AC981" s="1" t="s">
        <v>21</v>
      </c>
      <c r="AD981" s="1">
        <v>12</v>
      </c>
      <c r="AE981" s="1">
        <v>9</v>
      </c>
      <c r="AF981" s="1">
        <v>0.76</v>
      </c>
      <c r="AG981" s="1">
        <v>0.84</v>
      </c>
      <c r="AH981" s="1">
        <v>0</v>
      </c>
      <c r="AI981" s="1">
        <v>0</v>
      </c>
      <c r="AJ981" s="1">
        <f t="shared" si="84"/>
        <v>0</v>
      </c>
      <c r="AK981" s="1">
        <f>D96</f>
        <v>0</v>
      </c>
      <c r="AL981" s="1">
        <f>D102</f>
        <v>0</v>
      </c>
      <c r="AM981" s="1">
        <f t="shared" si="85"/>
        <v>0</v>
      </c>
      <c r="AN981" s="1">
        <f t="shared" si="86"/>
        <v>0</v>
      </c>
      <c r="AO981" s="1">
        <f t="shared" si="87"/>
        <v>0</v>
      </c>
      <c r="AP981" t="b" cm="1">
        <f t="array" ref="AP981">INDEX($AU$8:$BB$25,6*(R981-1)+MATCH(AB981,$AS$8:$AS$13,0),MATCH(O981,$AU$7:$BB$7,0))</f>
        <v>1</v>
      </c>
    </row>
    <row r="982" spans="15:42" ht="14.25" x14ac:dyDescent="0.45">
      <c r="O982" s="43" t="s">
        <v>36</v>
      </c>
      <c r="P982" s="43">
        <v>2</v>
      </c>
      <c r="Q982" s="43">
        <v>13</v>
      </c>
      <c r="R982" s="43">
        <v>3</v>
      </c>
      <c r="S982" s="45"/>
      <c r="T982" t="b">
        <f>(S980+S981+S982)=U3</f>
        <v>0</v>
      </c>
      <c r="X982" s="1">
        <f t="shared" si="83"/>
        <v>0</v>
      </c>
      <c r="Y982" s="48">
        <v>0</v>
      </c>
      <c r="AA982" s="1">
        <v>8</v>
      </c>
      <c r="AB982" s="1" t="s">
        <v>15</v>
      </c>
      <c r="AC982" s="1" t="s">
        <v>21</v>
      </c>
      <c r="AD982" s="1">
        <v>12</v>
      </c>
      <c r="AE982" s="1">
        <v>9</v>
      </c>
      <c r="AF982" s="1">
        <v>0.76</v>
      </c>
      <c r="AG982" s="1">
        <v>0.84</v>
      </c>
      <c r="AH982" s="1">
        <v>0</v>
      </c>
      <c r="AI982" s="1">
        <v>0</v>
      </c>
      <c r="AJ982" s="1">
        <f t="shared" si="84"/>
        <v>0</v>
      </c>
      <c r="AK982" s="1">
        <f>E96</f>
        <v>0</v>
      </c>
      <c r="AL982" s="1">
        <f>E102</f>
        <v>0</v>
      </c>
      <c r="AM982" s="1">
        <f t="shared" si="85"/>
        <v>0</v>
      </c>
      <c r="AN982" s="1">
        <f t="shared" si="86"/>
        <v>0</v>
      </c>
      <c r="AO982" s="1">
        <f t="shared" si="87"/>
        <v>0</v>
      </c>
      <c r="AP982" t="b" cm="1">
        <f t="array" ref="AP982">INDEX($AU$8:$BB$25,6*(R982-1)+MATCH(AB982,$AS$8:$AS$13,0),MATCH(O982,$AU$7:$BB$7,0))</f>
        <v>1</v>
      </c>
    </row>
    <row r="983" spans="15:42" ht="14.25" x14ac:dyDescent="0.45">
      <c r="O983" s="43" t="s">
        <v>36</v>
      </c>
      <c r="P983" s="43">
        <v>2</v>
      </c>
      <c r="Q983" s="43">
        <v>14</v>
      </c>
      <c r="R983" s="43">
        <v>1</v>
      </c>
      <c r="S983" s="45"/>
      <c r="T983" t="b">
        <f>(S983+S984+S985)=U3</f>
        <v>0</v>
      </c>
      <c r="X983" s="1">
        <f t="shared" si="83"/>
        <v>0</v>
      </c>
      <c r="Y983" s="48">
        <v>0</v>
      </c>
      <c r="AA983" s="1">
        <v>5</v>
      </c>
      <c r="AB983" s="1" t="s">
        <v>15</v>
      </c>
      <c r="AC983" s="1" t="s">
        <v>21</v>
      </c>
      <c r="AD983" s="1">
        <v>15</v>
      </c>
      <c r="AE983" s="1">
        <v>12</v>
      </c>
      <c r="AF983" s="1">
        <v>0.76</v>
      </c>
      <c r="AG983" s="1">
        <v>0.84</v>
      </c>
      <c r="AH983" s="1">
        <v>0</v>
      </c>
      <c r="AI983" s="1">
        <v>0</v>
      </c>
      <c r="AJ983" s="1">
        <f t="shared" si="84"/>
        <v>0</v>
      </c>
      <c r="AK983" s="1">
        <f>C96</f>
        <v>0</v>
      </c>
      <c r="AL983" s="1">
        <f>C102</f>
        <v>0</v>
      </c>
      <c r="AM983" s="1">
        <f t="shared" si="85"/>
        <v>0</v>
      </c>
      <c r="AN983" s="1">
        <f t="shared" si="86"/>
        <v>0</v>
      </c>
      <c r="AO983" s="1">
        <f t="shared" si="87"/>
        <v>0</v>
      </c>
      <c r="AP983" t="b" cm="1">
        <f t="array" ref="AP983">INDEX($AU$8:$BB$25,6*(R983-1)+MATCH(AB983,$AS$8:$AS$13,0),MATCH(O983,$AU$7:$BB$7,0))</f>
        <v>1</v>
      </c>
    </row>
    <row r="984" spans="15:42" ht="14.25" x14ac:dyDescent="0.45">
      <c r="O984" s="43" t="s">
        <v>36</v>
      </c>
      <c r="P984" s="43">
        <v>2</v>
      </c>
      <c r="Q984" s="43">
        <v>14</v>
      </c>
      <c r="R984" s="43">
        <v>2</v>
      </c>
      <c r="S984" s="45"/>
      <c r="T984" t="b">
        <f>(S983+S984+S985)=U3</f>
        <v>0</v>
      </c>
      <c r="X984" s="1">
        <f t="shared" si="83"/>
        <v>0</v>
      </c>
      <c r="Y984" s="48">
        <v>0</v>
      </c>
      <c r="AA984" s="1">
        <v>5</v>
      </c>
      <c r="AB984" s="1" t="s">
        <v>15</v>
      </c>
      <c r="AC984" s="1" t="s">
        <v>21</v>
      </c>
      <c r="AD984" s="1">
        <v>15</v>
      </c>
      <c r="AE984" s="1">
        <v>12</v>
      </c>
      <c r="AF984" s="1">
        <v>0.76</v>
      </c>
      <c r="AG984" s="1">
        <v>0.84</v>
      </c>
      <c r="AH984" s="1">
        <v>0</v>
      </c>
      <c r="AI984" s="1">
        <v>0</v>
      </c>
      <c r="AJ984" s="1">
        <f t="shared" si="84"/>
        <v>0</v>
      </c>
      <c r="AK984" s="1">
        <f>D96</f>
        <v>0</v>
      </c>
      <c r="AL984" s="1">
        <f>D102</f>
        <v>0</v>
      </c>
      <c r="AM984" s="1">
        <f t="shared" si="85"/>
        <v>0</v>
      </c>
      <c r="AN984" s="1">
        <f t="shared" si="86"/>
        <v>0</v>
      </c>
      <c r="AO984" s="1">
        <f t="shared" si="87"/>
        <v>0</v>
      </c>
      <c r="AP984" t="b" cm="1">
        <f t="array" ref="AP984">INDEX($AU$8:$BB$25,6*(R984-1)+MATCH(AB984,$AS$8:$AS$13,0),MATCH(O984,$AU$7:$BB$7,0))</f>
        <v>1</v>
      </c>
    </row>
    <row r="985" spans="15:42" ht="14.25" x14ac:dyDescent="0.45">
      <c r="O985" s="43" t="s">
        <v>36</v>
      </c>
      <c r="P985" s="43">
        <v>2</v>
      </c>
      <c r="Q985" s="43">
        <v>14</v>
      </c>
      <c r="R985" s="43">
        <v>3</v>
      </c>
      <c r="S985" s="45"/>
      <c r="T985" t="b">
        <f>(S983+S984+S985)=U3</f>
        <v>0</v>
      </c>
      <c r="X985" s="1">
        <f t="shared" si="83"/>
        <v>0</v>
      </c>
      <c r="Y985" s="48">
        <v>0</v>
      </c>
      <c r="AA985" s="1">
        <v>5</v>
      </c>
      <c r="AB985" s="1" t="s">
        <v>15</v>
      </c>
      <c r="AC985" s="1" t="s">
        <v>21</v>
      </c>
      <c r="AD985" s="1">
        <v>15</v>
      </c>
      <c r="AE985" s="1">
        <v>12</v>
      </c>
      <c r="AF985" s="1">
        <v>0.76</v>
      </c>
      <c r="AG985" s="1">
        <v>0.84</v>
      </c>
      <c r="AH985" s="1">
        <v>0</v>
      </c>
      <c r="AI985" s="1">
        <v>0</v>
      </c>
      <c r="AJ985" s="1">
        <f t="shared" si="84"/>
        <v>0</v>
      </c>
      <c r="AK985" s="1">
        <f>E96</f>
        <v>0</v>
      </c>
      <c r="AL985" s="1">
        <f>E102</f>
        <v>0</v>
      </c>
      <c r="AM985" s="1">
        <f t="shared" si="85"/>
        <v>0</v>
      </c>
      <c r="AN985" s="1">
        <f t="shared" si="86"/>
        <v>0</v>
      </c>
      <c r="AO985" s="1">
        <f t="shared" si="87"/>
        <v>0</v>
      </c>
      <c r="AP985" t="b" cm="1">
        <f t="array" ref="AP985">INDEX($AU$8:$BB$25,6*(R985-1)+MATCH(AB985,$AS$8:$AS$13,0),MATCH(O985,$AU$7:$BB$7,0))</f>
        <v>1</v>
      </c>
    </row>
    <row r="986" spans="15:42" ht="14.25" x14ac:dyDescent="0.45">
      <c r="O986" s="43" t="s">
        <v>36</v>
      </c>
      <c r="P986" s="43">
        <v>2</v>
      </c>
      <c r="Q986" s="43">
        <v>15</v>
      </c>
      <c r="R986" s="43">
        <v>1</v>
      </c>
      <c r="S986" s="45"/>
      <c r="T986" t="b">
        <f>(S986+S987+S988)=U3</f>
        <v>0</v>
      </c>
      <c r="X986" s="1">
        <f t="shared" si="83"/>
        <v>0</v>
      </c>
      <c r="Y986" s="48">
        <v>0</v>
      </c>
      <c r="AA986" s="1">
        <v>7</v>
      </c>
      <c r="AB986" s="1" t="s">
        <v>15</v>
      </c>
      <c r="AC986" s="1" t="s">
        <v>21</v>
      </c>
      <c r="AD986" s="1">
        <v>13</v>
      </c>
      <c r="AE986" s="1">
        <v>10</v>
      </c>
      <c r="AF986" s="1">
        <v>0.76</v>
      </c>
      <c r="AG986" s="1">
        <v>0.84</v>
      </c>
      <c r="AH986" s="1">
        <v>0</v>
      </c>
      <c r="AI986" s="1">
        <v>0</v>
      </c>
      <c r="AJ986" s="1">
        <f t="shared" si="84"/>
        <v>0</v>
      </c>
      <c r="AK986" s="1">
        <f>C96</f>
        <v>0</v>
      </c>
      <c r="AL986" s="1">
        <f>C102</f>
        <v>0</v>
      </c>
      <c r="AM986" s="1">
        <f t="shared" si="85"/>
        <v>0</v>
      </c>
      <c r="AN986" s="1">
        <f t="shared" si="86"/>
        <v>0</v>
      </c>
      <c r="AO986" s="1">
        <f t="shared" si="87"/>
        <v>0</v>
      </c>
      <c r="AP986" t="b" cm="1">
        <f t="array" ref="AP986">INDEX($AU$8:$BB$25,6*(R986-1)+MATCH(AB986,$AS$8:$AS$13,0),MATCH(O986,$AU$7:$BB$7,0))</f>
        <v>1</v>
      </c>
    </row>
    <row r="987" spans="15:42" ht="14.25" x14ac:dyDescent="0.45">
      <c r="O987" s="43" t="s">
        <v>36</v>
      </c>
      <c r="P987" s="43">
        <v>2</v>
      </c>
      <c r="Q987" s="43">
        <v>15</v>
      </c>
      <c r="R987" s="43">
        <v>2</v>
      </c>
      <c r="S987" s="45"/>
      <c r="T987" t="b">
        <f>(S986+S987+S988)=U3</f>
        <v>0</v>
      </c>
      <c r="X987" s="1">
        <f t="shared" si="83"/>
        <v>0</v>
      </c>
      <c r="Y987" s="48">
        <v>0</v>
      </c>
      <c r="AA987" s="1">
        <v>7</v>
      </c>
      <c r="AB987" s="1" t="s">
        <v>15</v>
      </c>
      <c r="AC987" s="1" t="s">
        <v>21</v>
      </c>
      <c r="AD987" s="1">
        <v>13</v>
      </c>
      <c r="AE987" s="1">
        <v>10</v>
      </c>
      <c r="AF987" s="1">
        <v>0.76</v>
      </c>
      <c r="AG987" s="1">
        <v>0.84</v>
      </c>
      <c r="AH987" s="1">
        <v>0</v>
      </c>
      <c r="AI987" s="1">
        <v>0</v>
      </c>
      <c r="AJ987" s="1">
        <f t="shared" si="84"/>
        <v>0</v>
      </c>
      <c r="AK987" s="1">
        <f>D96</f>
        <v>0</v>
      </c>
      <c r="AL987" s="1">
        <f>D102</f>
        <v>0</v>
      </c>
      <c r="AM987" s="1">
        <f t="shared" si="85"/>
        <v>0</v>
      </c>
      <c r="AN987" s="1">
        <f t="shared" si="86"/>
        <v>0</v>
      </c>
      <c r="AO987" s="1">
        <f t="shared" si="87"/>
        <v>0</v>
      </c>
      <c r="AP987" t="b" cm="1">
        <f t="array" ref="AP987">INDEX($AU$8:$BB$25,6*(R987-1)+MATCH(AB987,$AS$8:$AS$13,0),MATCH(O987,$AU$7:$BB$7,0))</f>
        <v>1</v>
      </c>
    </row>
    <row r="988" spans="15:42" ht="14.25" x14ac:dyDescent="0.45">
      <c r="O988" s="43" t="s">
        <v>36</v>
      </c>
      <c r="P988" s="43">
        <v>2</v>
      </c>
      <c r="Q988" s="43">
        <v>15</v>
      </c>
      <c r="R988" s="43">
        <v>3</v>
      </c>
      <c r="S988" s="45"/>
      <c r="T988" t="b">
        <f>(S986+S987+S988)=U3</f>
        <v>0</v>
      </c>
      <c r="X988" s="1">
        <f t="shared" si="83"/>
        <v>0</v>
      </c>
      <c r="Y988" s="48">
        <v>0</v>
      </c>
      <c r="AA988" s="1">
        <v>7</v>
      </c>
      <c r="AB988" s="1" t="s">
        <v>15</v>
      </c>
      <c r="AC988" s="1" t="s">
        <v>21</v>
      </c>
      <c r="AD988" s="1">
        <v>13</v>
      </c>
      <c r="AE988" s="1">
        <v>10</v>
      </c>
      <c r="AF988" s="1">
        <v>0.76</v>
      </c>
      <c r="AG988" s="1">
        <v>0.84</v>
      </c>
      <c r="AH988" s="1">
        <v>0</v>
      </c>
      <c r="AI988" s="1">
        <v>0</v>
      </c>
      <c r="AJ988" s="1">
        <f t="shared" si="84"/>
        <v>0</v>
      </c>
      <c r="AK988" s="1">
        <f>E96</f>
        <v>0</v>
      </c>
      <c r="AL988" s="1">
        <f>E102</f>
        <v>0</v>
      </c>
      <c r="AM988" s="1">
        <f t="shared" si="85"/>
        <v>0</v>
      </c>
      <c r="AN988" s="1">
        <f t="shared" si="86"/>
        <v>0</v>
      </c>
      <c r="AO988" s="1">
        <f t="shared" si="87"/>
        <v>0</v>
      </c>
      <c r="AP988" t="b" cm="1">
        <f t="array" ref="AP988">INDEX($AU$8:$BB$25,6*(R988-1)+MATCH(AB988,$AS$8:$AS$13,0),MATCH(O988,$AU$7:$BB$7,0))</f>
        <v>1</v>
      </c>
    </row>
    <row r="989" spans="15:42" ht="14.25" x14ac:dyDescent="0.45">
      <c r="O989" s="43" t="s">
        <v>36</v>
      </c>
      <c r="P989" s="43">
        <v>3</v>
      </c>
      <c r="Q989" s="43">
        <v>1</v>
      </c>
      <c r="R989" s="43">
        <v>1</v>
      </c>
      <c r="S989" s="45"/>
      <c r="T989" t="b">
        <f>(S989+S990+S991)=U4</f>
        <v>0</v>
      </c>
      <c r="X989" s="1">
        <v>0</v>
      </c>
      <c r="Y989" s="48">
        <v>0</v>
      </c>
      <c r="AA989" s="1">
        <v>1</v>
      </c>
      <c r="AB989" s="1" t="s">
        <v>13</v>
      </c>
      <c r="AC989" s="1" t="s">
        <v>19</v>
      </c>
      <c r="AD989" s="1">
        <v>21</v>
      </c>
      <c r="AE989" s="1">
        <v>20</v>
      </c>
      <c r="AF989" s="1">
        <v>0.8</v>
      </c>
      <c r="AG989" s="1">
        <v>0.86</v>
      </c>
      <c r="AH989" s="1">
        <v>0</v>
      </c>
      <c r="AI989" s="1">
        <v>0</v>
      </c>
      <c r="AJ989" s="1">
        <f t="shared" si="84"/>
        <v>0</v>
      </c>
      <c r="AK989" s="1">
        <f>C94</f>
        <v>0</v>
      </c>
      <c r="AL989" s="1">
        <f>C100</f>
        <v>0</v>
      </c>
      <c r="AM989" s="1">
        <f t="shared" si="85"/>
        <v>0</v>
      </c>
      <c r="AN989" s="1">
        <f t="shared" si="86"/>
        <v>0</v>
      </c>
      <c r="AO989" s="1">
        <f t="shared" si="87"/>
        <v>0</v>
      </c>
      <c r="AP989" t="b" cm="1">
        <f t="array" ref="AP989">INDEX($AU$8:$BB$25,6*(R989-1)+MATCH(AB989,$AS$8:$AS$13,0),MATCH(O989,$AU$7:$BB$7,0))</f>
        <v>1</v>
      </c>
    </row>
    <row r="990" spans="15:42" ht="14.25" x14ac:dyDescent="0.45">
      <c r="O990" s="43" t="s">
        <v>36</v>
      </c>
      <c r="P990" s="43">
        <v>3</v>
      </c>
      <c r="Q990" s="43">
        <v>1</v>
      </c>
      <c r="R990" s="43">
        <v>2</v>
      </c>
      <c r="S990" s="45"/>
      <c r="T990" t="b">
        <f>(S989+S990+S991)=U4</f>
        <v>0</v>
      </c>
      <c r="X990" s="1">
        <v>0</v>
      </c>
      <c r="Y990" s="48">
        <v>0</v>
      </c>
      <c r="AA990" s="1">
        <v>1</v>
      </c>
      <c r="AB990" s="1" t="s">
        <v>13</v>
      </c>
      <c r="AC990" s="1" t="s">
        <v>19</v>
      </c>
      <c r="AD990" s="1">
        <v>21</v>
      </c>
      <c r="AE990" s="1">
        <v>20</v>
      </c>
      <c r="AF990" s="1">
        <v>0.8</v>
      </c>
      <c r="AG990" s="1">
        <v>0.86</v>
      </c>
      <c r="AH990" s="1">
        <v>0</v>
      </c>
      <c r="AI990" s="1">
        <v>0</v>
      </c>
      <c r="AJ990" s="1">
        <f t="shared" si="84"/>
        <v>0</v>
      </c>
      <c r="AK990" s="1">
        <f>D94</f>
        <v>0</v>
      </c>
      <c r="AL990" s="1">
        <f>D100</f>
        <v>0</v>
      </c>
      <c r="AM990" s="1">
        <f t="shared" si="85"/>
        <v>0</v>
      </c>
      <c r="AN990" s="1">
        <f t="shared" si="86"/>
        <v>0</v>
      </c>
      <c r="AO990" s="1">
        <f t="shared" si="87"/>
        <v>0</v>
      </c>
      <c r="AP990" t="b" cm="1">
        <f t="array" ref="AP990">INDEX($AU$8:$BB$25,6*(R990-1)+MATCH(AB990,$AS$8:$AS$13,0),MATCH(O990,$AU$7:$BB$7,0))</f>
        <v>1</v>
      </c>
    </row>
    <row r="991" spans="15:42" ht="14.25" x14ac:dyDescent="0.45">
      <c r="O991" s="43" t="s">
        <v>36</v>
      </c>
      <c r="P991" s="43">
        <v>3</v>
      </c>
      <c r="Q991" s="43">
        <v>1</v>
      </c>
      <c r="R991" s="43">
        <v>3</v>
      </c>
      <c r="S991" s="45"/>
      <c r="T991" t="b">
        <f>(S989+S990+S991)=U4</f>
        <v>0</v>
      </c>
      <c r="X991" s="1">
        <v>0</v>
      </c>
      <c r="Y991" s="48">
        <v>0</v>
      </c>
      <c r="AA991" s="1">
        <v>1</v>
      </c>
      <c r="AB991" s="1" t="s">
        <v>13</v>
      </c>
      <c r="AC991" s="1" t="s">
        <v>19</v>
      </c>
      <c r="AD991" s="1">
        <v>21</v>
      </c>
      <c r="AE991" s="1">
        <v>20</v>
      </c>
      <c r="AF991" s="1">
        <v>0.8</v>
      </c>
      <c r="AG991" s="1">
        <v>0.86</v>
      </c>
      <c r="AH991" s="1">
        <v>0</v>
      </c>
      <c r="AI991" s="1">
        <v>0</v>
      </c>
      <c r="AJ991" s="1">
        <f t="shared" si="84"/>
        <v>0</v>
      </c>
      <c r="AK991" s="1">
        <f>E94</f>
        <v>0</v>
      </c>
      <c r="AL991" s="1">
        <f>E100</f>
        <v>0</v>
      </c>
      <c r="AM991" s="1">
        <f t="shared" si="85"/>
        <v>0</v>
      </c>
      <c r="AN991" s="1">
        <f t="shared" si="86"/>
        <v>0</v>
      </c>
      <c r="AO991" s="1">
        <f t="shared" si="87"/>
        <v>0</v>
      </c>
      <c r="AP991" t="b" cm="1">
        <f t="array" ref="AP991">INDEX($AU$8:$BB$25,6*(R991-1)+MATCH(AB991,$AS$8:$AS$13,0),MATCH(O991,$AU$7:$BB$7,0))</f>
        <v>1</v>
      </c>
    </row>
    <row r="992" spans="15:42" ht="14.25" x14ac:dyDescent="0.45">
      <c r="O992" s="43" t="s">
        <v>36</v>
      </c>
      <c r="P992" s="43">
        <v>3</v>
      </c>
      <c r="Q992" s="43">
        <v>2</v>
      </c>
      <c r="R992" s="43">
        <v>1</v>
      </c>
      <c r="S992" s="45"/>
      <c r="T992" t="b">
        <f>(S992+S993+S994)=U4</f>
        <v>0</v>
      </c>
      <c r="X992" s="1">
        <f t="shared" ref="X992:X1039" si="88">MAX(S989-S992,0)</f>
        <v>0</v>
      </c>
      <c r="Y992" s="48">
        <v>0</v>
      </c>
      <c r="AA992" s="1">
        <v>8</v>
      </c>
      <c r="AB992" s="1" t="s">
        <v>14</v>
      </c>
      <c r="AC992" s="1" t="s">
        <v>20</v>
      </c>
      <c r="AD992" s="1">
        <v>9</v>
      </c>
      <c r="AE992" s="1">
        <v>7</v>
      </c>
      <c r="AF992" s="1">
        <v>0.8</v>
      </c>
      <c r="AG992" s="1">
        <v>0.88</v>
      </c>
      <c r="AH992" s="1">
        <v>0</v>
      </c>
      <c r="AI992" s="1">
        <v>0</v>
      </c>
      <c r="AJ992" s="1">
        <f t="shared" si="84"/>
        <v>0</v>
      </c>
      <c r="AK992" s="1">
        <f>C95</f>
        <v>0</v>
      </c>
      <c r="AL992" s="1">
        <f>C101</f>
        <v>0</v>
      </c>
      <c r="AM992" s="1">
        <f t="shared" si="85"/>
        <v>0</v>
      </c>
      <c r="AN992" s="1">
        <f t="shared" si="86"/>
        <v>0</v>
      </c>
      <c r="AO992" s="1">
        <f t="shared" si="87"/>
        <v>0</v>
      </c>
      <c r="AP992" t="b" cm="1">
        <f t="array" ref="AP992">INDEX($AU$8:$BB$25,6*(R992-1)+MATCH(AB992,$AS$8:$AS$13,0),MATCH(O992,$AU$7:$BB$7,0))</f>
        <v>1</v>
      </c>
    </row>
    <row r="993" spans="15:42" ht="14.25" x14ac:dyDescent="0.45">
      <c r="O993" s="43" t="s">
        <v>36</v>
      </c>
      <c r="P993" s="43">
        <v>3</v>
      </c>
      <c r="Q993" s="43">
        <v>2</v>
      </c>
      <c r="R993" s="43">
        <v>2</v>
      </c>
      <c r="S993" s="45"/>
      <c r="T993" t="b">
        <f>(S992+S993+S994)=U4</f>
        <v>0</v>
      </c>
      <c r="X993" s="1">
        <f t="shared" si="88"/>
        <v>0</v>
      </c>
      <c r="Y993" s="48">
        <v>0</v>
      </c>
      <c r="AA993" s="1">
        <v>8</v>
      </c>
      <c r="AB993" s="1" t="s">
        <v>14</v>
      </c>
      <c r="AC993" s="1" t="s">
        <v>20</v>
      </c>
      <c r="AD993" s="1">
        <v>9</v>
      </c>
      <c r="AE993" s="1">
        <v>7</v>
      </c>
      <c r="AF993" s="1">
        <v>0.8</v>
      </c>
      <c r="AG993" s="1">
        <v>0.88</v>
      </c>
      <c r="AH993" s="1">
        <v>0</v>
      </c>
      <c r="AI993" s="1">
        <v>0</v>
      </c>
      <c r="AJ993" s="1">
        <f t="shared" si="84"/>
        <v>0</v>
      </c>
      <c r="AK993" s="1">
        <f>D95</f>
        <v>0</v>
      </c>
      <c r="AL993" s="1">
        <f>D101</f>
        <v>0</v>
      </c>
      <c r="AM993" s="1">
        <f t="shared" si="85"/>
        <v>0</v>
      </c>
      <c r="AN993" s="1">
        <f t="shared" si="86"/>
        <v>0</v>
      </c>
      <c r="AO993" s="1">
        <f t="shared" si="87"/>
        <v>0</v>
      </c>
      <c r="AP993" t="b" cm="1">
        <f t="array" ref="AP993">INDEX($AU$8:$BB$25,6*(R993-1)+MATCH(AB993,$AS$8:$AS$13,0),MATCH(O993,$AU$7:$BB$7,0))</f>
        <v>1</v>
      </c>
    </row>
    <row r="994" spans="15:42" ht="14.25" x14ac:dyDescent="0.45">
      <c r="O994" s="43" t="s">
        <v>36</v>
      </c>
      <c r="P994" s="43">
        <v>3</v>
      </c>
      <c r="Q994" s="43">
        <v>2</v>
      </c>
      <c r="R994" s="43">
        <v>3</v>
      </c>
      <c r="S994" s="45"/>
      <c r="T994" t="b">
        <f>(S992+S993+S994)=U4</f>
        <v>0</v>
      </c>
      <c r="X994" s="1">
        <f t="shared" si="88"/>
        <v>0</v>
      </c>
      <c r="Y994" s="48">
        <v>0</v>
      </c>
      <c r="AA994" s="1">
        <v>8</v>
      </c>
      <c r="AB994" s="1" t="s">
        <v>14</v>
      </c>
      <c r="AC994" s="1" t="s">
        <v>20</v>
      </c>
      <c r="AD994" s="1">
        <v>9</v>
      </c>
      <c r="AE994" s="1">
        <v>7</v>
      </c>
      <c r="AF994" s="1">
        <v>0.8</v>
      </c>
      <c r="AG994" s="1">
        <v>0.88</v>
      </c>
      <c r="AH994" s="1">
        <v>0</v>
      </c>
      <c r="AI994" s="1">
        <v>0</v>
      </c>
      <c r="AJ994" s="1">
        <f t="shared" si="84"/>
        <v>0</v>
      </c>
      <c r="AK994" s="1">
        <f>E95</f>
        <v>0</v>
      </c>
      <c r="AL994" s="1">
        <f>E101</f>
        <v>0</v>
      </c>
      <c r="AM994" s="1">
        <f t="shared" si="85"/>
        <v>0</v>
      </c>
      <c r="AN994" s="1">
        <f t="shared" si="86"/>
        <v>0</v>
      </c>
      <c r="AO994" s="1">
        <f t="shared" si="87"/>
        <v>0</v>
      </c>
      <c r="AP994" t="b" cm="1">
        <f t="array" ref="AP994">INDEX($AU$8:$BB$25,6*(R994-1)+MATCH(AB994,$AS$8:$AS$13,0),MATCH(O994,$AU$7:$BB$7,0))</f>
        <v>1</v>
      </c>
    </row>
    <row r="995" spans="15:42" ht="14.25" x14ac:dyDescent="0.45">
      <c r="O995" s="43" t="s">
        <v>36</v>
      </c>
      <c r="P995" s="43">
        <v>3</v>
      </c>
      <c r="Q995" s="43">
        <v>3</v>
      </c>
      <c r="R995" s="43">
        <v>1</v>
      </c>
      <c r="S995" s="45"/>
      <c r="T995" t="b">
        <f>(S995+S996+S997)=U4</f>
        <v>0</v>
      </c>
      <c r="X995" s="1">
        <f t="shared" si="88"/>
        <v>0</v>
      </c>
      <c r="Y995" s="48">
        <v>0</v>
      </c>
      <c r="AA995" s="1">
        <v>1</v>
      </c>
      <c r="AB995" s="1" t="s">
        <v>15</v>
      </c>
      <c r="AC995" s="1" t="s">
        <v>21</v>
      </c>
      <c r="AD995" s="1">
        <v>24</v>
      </c>
      <c r="AE995" s="1">
        <v>23</v>
      </c>
      <c r="AF995" s="1">
        <v>0.76</v>
      </c>
      <c r="AG995" s="1">
        <v>0.84</v>
      </c>
      <c r="AH995" s="1">
        <v>0</v>
      </c>
      <c r="AI995" s="1">
        <v>0</v>
      </c>
      <c r="AJ995" s="1">
        <f t="shared" si="84"/>
        <v>0</v>
      </c>
      <c r="AK995" s="1">
        <f>C96</f>
        <v>0</v>
      </c>
      <c r="AL995" s="1">
        <f>C102</f>
        <v>0</v>
      </c>
      <c r="AM995" s="1">
        <f t="shared" si="85"/>
        <v>0</v>
      </c>
      <c r="AN995" s="1">
        <f t="shared" si="86"/>
        <v>0</v>
      </c>
      <c r="AO995" s="1">
        <f t="shared" si="87"/>
        <v>0</v>
      </c>
      <c r="AP995" t="b" cm="1">
        <f t="array" ref="AP995">INDEX($AU$8:$BB$25,6*(R995-1)+MATCH(AB995,$AS$8:$AS$13,0),MATCH(O995,$AU$7:$BB$7,0))</f>
        <v>1</v>
      </c>
    </row>
    <row r="996" spans="15:42" ht="14.25" x14ac:dyDescent="0.45">
      <c r="O996" s="43" t="s">
        <v>36</v>
      </c>
      <c r="P996" s="43">
        <v>3</v>
      </c>
      <c r="Q996" s="43">
        <v>3</v>
      </c>
      <c r="R996" s="43">
        <v>2</v>
      </c>
      <c r="S996" s="45"/>
      <c r="T996" t="b">
        <f>(S995+S996+S997)=U4</f>
        <v>0</v>
      </c>
      <c r="X996" s="1">
        <f t="shared" si="88"/>
        <v>0</v>
      </c>
      <c r="Y996" s="48">
        <v>0</v>
      </c>
      <c r="AA996" s="1">
        <v>1</v>
      </c>
      <c r="AB996" s="1" t="s">
        <v>15</v>
      </c>
      <c r="AC996" s="1" t="s">
        <v>21</v>
      </c>
      <c r="AD996" s="1">
        <v>24</v>
      </c>
      <c r="AE996" s="1">
        <v>23</v>
      </c>
      <c r="AF996" s="1">
        <v>0.76</v>
      </c>
      <c r="AG996" s="1">
        <v>0.84</v>
      </c>
      <c r="AH996" s="1">
        <v>0</v>
      </c>
      <c r="AI996" s="1">
        <v>0</v>
      </c>
      <c r="AJ996" s="1">
        <f t="shared" si="84"/>
        <v>0</v>
      </c>
      <c r="AK996" s="1">
        <f>D96</f>
        <v>0</v>
      </c>
      <c r="AL996" s="1">
        <f>D102</f>
        <v>0</v>
      </c>
      <c r="AM996" s="1">
        <f t="shared" si="85"/>
        <v>0</v>
      </c>
      <c r="AN996" s="1">
        <f t="shared" si="86"/>
        <v>0</v>
      </c>
      <c r="AO996" s="1">
        <f t="shared" si="87"/>
        <v>0</v>
      </c>
      <c r="AP996" t="b" cm="1">
        <f t="array" ref="AP996">INDEX($AU$8:$BB$25,6*(R996-1)+MATCH(AB996,$AS$8:$AS$13,0),MATCH(O996,$AU$7:$BB$7,0))</f>
        <v>1</v>
      </c>
    </row>
    <row r="997" spans="15:42" ht="14.25" x14ac:dyDescent="0.45">
      <c r="O997" s="43" t="s">
        <v>36</v>
      </c>
      <c r="P997" s="43">
        <v>3</v>
      </c>
      <c r="Q997" s="43">
        <v>3</v>
      </c>
      <c r="R997" s="43">
        <v>3</v>
      </c>
      <c r="S997" s="45"/>
      <c r="T997" t="b">
        <f>(S995+S996+S997)=U4</f>
        <v>0</v>
      </c>
      <c r="X997" s="1">
        <f t="shared" si="88"/>
        <v>0</v>
      </c>
      <c r="Y997" s="48">
        <v>0</v>
      </c>
      <c r="AA997" s="1">
        <v>1</v>
      </c>
      <c r="AB997" s="1" t="s">
        <v>15</v>
      </c>
      <c r="AC997" s="1" t="s">
        <v>21</v>
      </c>
      <c r="AD997" s="1">
        <v>24</v>
      </c>
      <c r="AE997" s="1">
        <v>23</v>
      </c>
      <c r="AF997" s="1">
        <v>0.76</v>
      </c>
      <c r="AG997" s="1">
        <v>0.84</v>
      </c>
      <c r="AH997" s="1">
        <v>0</v>
      </c>
      <c r="AI997" s="1">
        <v>0</v>
      </c>
      <c r="AJ997" s="1">
        <f t="shared" si="84"/>
        <v>0</v>
      </c>
      <c r="AK997" s="1">
        <f>E96</f>
        <v>0</v>
      </c>
      <c r="AL997" s="1">
        <f>E102</f>
        <v>0</v>
      </c>
      <c r="AM997" s="1">
        <f t="shared" si="85"/>
        <v>0</v>
      </c>
      <c r="AN997" s="1">
        <f t="shared" si="86"/>
        <v>0</v>
      </c>
      <c r="AO997" s="1">
        <f t="shared" si="87"/>
        <v>0</v>
      </c>
      <c r="AP997" t="b" cm="1">
        <f t="array" ref="AP997">INDEX($AU$8:$BB$25,6*(R997-1)+MATCH(AB997,$AS$8:$AS$13,0),MATCH(O997,$AU$7:$BB$7,0))</f>
        <v>1</v>
      </c>
    </row>
    <row r="998" spans="15:42" ht="14.25" x14ac:dyDescent="0.45">
      <c r="O998" s="43" t="s">
        <v>36</v>
      </c>
      <c r="P998" s="43">
        <v>3</v>
      </c>
      <c r="Q998" s="43">
        <v>4</v>
      </c>
      <c r="R998" s="43">
        <v>1</v>
      </c>
      <c r="S998" s="45"/>
      <c r="T998" t="b">
        <f>(S998+S999+S1000)=U4</f>
        <v>0</v>
      </c>
      <c r="X998" s="1">
        <f t="shared" si="88"/>
        <v>0</v>
      </c>
      <c r="Y998" s="48">
        <v>0</v>
      </c>
      <c r="AA998" s="1">
        <v>9</v>
      </c>
      <c r="AB998" s="1" t="s">
        <v>15</v>
      </c>
      <c r="AC998" s="1" t="s">
        <v>21</v>
      </c>
      <c r="AD998" s="1">
        <v>15</v>
      </c>
      <c r="AE998" s="1">
        <v>11</v>
      </c>
      <c r="AF998" s="1">
        <v>0.76</v>
      </c>
      <c r="AG998" s="1">
        <v>0.84</v>
      </c>
      <c r="AH998" s="1">
        <v>0</v>
      </c>
      <c r="AI998" s="1">
        <v>0</v>
      </c>
      <c r="AJ998" s="1">
        <f t="shared" si="84"/>
        <v>0</v>
      </c>
      <c r="AK998" s="1">
        <f>C96</f>
        <v>0</v>
      </c>
      <c r="AL998" s="1">
        <f>C102</f>
        <v>0</v>
      </c>
      <c r="AM998" s="1">
        <f t="shared" si="85"/>
        <v>0</v>
      </c>
      <c r="AN998" s="1">
        <f t="shared" si="86"/>
        <v>0</v>
      </c>
      <c r="AO998" s="1">
        <f t="shared" si="87"/>
        <v>0</v>
      </c>
      <c r="AP998" t="b" cm="1">
        <f t="array" ref="AP998">INDEX($AU$8:$BB$25,6*(R998-1)+MATCH(AB998,$AS$8:$AS$13,0),MATCH(O998,$AU$7:$BB$7,0))</f>
        <v>1</v>
      </c>
    </row>
    <row r="999" spans="15:42" ht="14.25" x14ac:dyDescent="0.45">
      <c r="O999" s="43" t="s">
        <v>36</v>
      </c>
      <c r="P999" s="43">
        <v>3</v>
      </c>
      <c r="Q999" s="43">
        <v>4</v>
      </c>
      <c r="R999" s="43">
        <v>2</v>
      </c>
      <c r="S999" s="45"/>
      <c r="T999" t="b">
        <f>(S998+S999+S1000)=U4</f>
        <v>0</v>
      </c>
      <c r="X999" s="1">
        <f t="shared" si="88"/>
        <v>0</v>
      </c>
      <c r="Y999" s="48">
        <v>0</v>
      </c>
      <c r="AA999" s="1">
        <v>9</v>
      </c>
      <c r="AB999" s="1" t="s">
        <v>15</v>
      </c>
      <c r="AC999" s="1" t="s">
        <v>21</v>
      </c>
      <c r="AD999" s="1">
        <v>15</v>
      </c>
      <c r="AE999" s="1">
        <v>11</v>
      </c>
      <c r="AF999" s="1">
        <v>0.76</v>
      </c>
      <c r="AG999" s="1">
        <v>0.84</v>
      </c>
      <c r="AH999" s="1">
        <v>0</v>
      </c>
      <c r="AI999" s="1">
        <v>0</v>
      </c>
      <c r="AJ999" s="1">
        <f t="shared" si="84"/>
        <v>0</v>
      </c>
      <c r="AK999" s="1">
        <f>D96</f>
        <v>0</v>
      </c>
      <c r="AL999" s="1">
        <f>D102</f>
        <v>0</v>
      </c>
      <c r="AM999" s="1">
        <f t="shared" si="85"/>
        <v>0</v>
      </c>
      <c r="AN999" s="1">
        <f t="shared" si="86"/>
        <v>0</v>
      </c>
      <c r="AO999" s="1">
        <f t="shared" si="87"/>
        <v>0</v>
      </c>
      <c r="AP999" t="b" cm="1">
        <f t="array" ref="AP999">INDEX($AU$8:$BB$25,6*(R999-1)+MATCH(AB999,$AS$8:$AS$13,0),MATCH(O999,$AU$7:$BB$7,0))</f>
        <v>1</v>
      </c>
    </row>
    <row r="1000" spans="15:42" ht="14.25" x14ac:dyDescent="0.45">
      <c r="O1000" s="43" t="s">
        <v>36</v>
      </c>
      <c r="P1000" s="43">
        <v>3</v>
      </c>
      <c r="Q1000" s="43">
        <v>4</v>
      </c>
      <c r="R1000" s="43">
        <v>3</v>
      </c>
      <c r="S1000" s="45"/>
      <c r="T1000" t="b">
        <f>(S998+S999+S1000)=U4</f>
        <v>0</v>
      </c>
      <c r="X1000" s="1">
        <f t="shared" si="88"/>
        <v>0</v>
      </c>
      <c r="Y1000" s="48">
        <v>0</v>
      </c>
      <c r="AA1000" s="1">
        <v>9</v>
      </c>
      <c r="AB1000" s="1" t="s">
        <v>15</v>
      </c>
      <c r="AC1000" s="1" t="s">
        <v>21</v>
      </c>
      <c r="AD1000" s="1">
        <v>15</v>
      </c>
      <c r="AE1000" s="1">
        <v>11</v>
      </c>
      <c r="AF1000" s="1">
        <v>0.76</v>
      </c>
      <c r="AG1000" s="1">
        <v>0.84</v>
      </c>
      <c r="AH1000" s="1">
        <v>0</v>
      </c>
      <c r="AI1000" s="1">
        <v>0</v>
      </c>
      <c r="AJ1000" s="1">
        <f t="shared" si="84"/>
        <v>0</v>
      </c>
      <c r="AK1000" s="1">
        <f>E96</f>
        <v>0</v>
      </c>
      <c r="AL1000" s="1">
        <f>E102</f>
        <v>0</v>
      </c>
      <c r="AM1000" s="1">
        <f t="shared" si="85"/>
        <v>0</v>
      </c>
      <c r="AN1000" s="1">
        <f t="shared" si="86"/>
        <v>0</v>
      </c>
      <c r="AO1000" s="1">
        <f t="shared" si="87"/>
        <v>0</v>
      </c>
      <c r="AP1000" t="b" cm="1">
        <f t="array" ref="AP1000">INDEX($AU$8:$BB$25,6*(R1000-1)+MATCH(AB1000,$AS$8:$AS$13,0),MATCH(O1000,$AU$7:$BB$7,0))</f>
        <v>1</v>
      </c>
    </row>
    <row r="1001" spans="15:42" ht="14.25" x14ac:dyDescent="0.45">
      <c r="O1001" s="43" t="s">
        <v>36</v>
      </c>
      <c r="P1001" s="43">
        <v>3</v>
      </c>
      <c r="Q1001" s="43">
        <v>5</v>
      </c>
      <c r="R1001" s="43">
        <v>1</v>
      </c>
      <c r="S1001" s="45"/>
      <c r="T1001" t="b">
        <f>(S1001+S1002+S1003)=U4</f>
        <v>0</v>
      </c>
      <c r="X1001" s="1">
        <f t="shared" si="88"/>
        <v>0</v>
      </c>
      <c r="Y1001" s="48">
        <v>0</v>
      </c>
      <c r="AA1001" s="1">
        <v>6</v>
      </c>
      <c r="AB1001" s="1" t="s">
        <v>16</v>
      </c>
      <c r="AC1001" s="1" t="s">
        <v>22</v>
      </c>
      <c r="AD1001" s="1">
        <v>16</v>
      </c>
      <c r="AE1001" s="1">
        <v>14</v>
      </c>
      <c r="AF1001" s="1">
        <v>0.8</v>
      </c>
      <c r="AG1001" s="1">
        <v>0.9</v>
      </c>
      <c r="AH1001" s="1">
        <v>0</v>
      </c>
      <c r="AI1001" s="1">
        <v>0</v>
      </c>
      <c r="AJ1001" s="1">
        <f t="shared" si="84"/>
        <v>0</v>
      </c>
      <c r="AK1001" s="1">
        <f>C97</f>
        <v>0</v>
      </c>
      <c r="AL1001" s="1">
        <f>C103</f>
        <v>0</v>
      </c>
      <c r="AM1001" s="1">
        <f t="shared" si="85"/>
        <v>0</v>
      </c>
      <c r="AN1001" s="1">
        <f t="shared" si="86"/>
        <v>0</v>
      </c>
      <c r="AO1001" s="1">
        <f t="shared" si="87"/>
        <v>0</v>
      </c>
      <c r="AP1001" t="b" cm="1">
        <f t="array" ref="AP1001">INDEX($AU$8:$BB$25,6*(R1001-1)+MATCH(AB1001,$AS$8:$AS$13,0),MATCH(O1001,$AU$7:$BB$7,0))</f>
        <v>1</v>
      </c>
    </row>
    <row r="1002" spans="15:42" ht="14.25" x14ac:dyDescent="0.45">
      <c r="O1002" s="43" t="s">
        <v>36</v>
      </c>
      <c r="P1002" s="43">
        <v>3</v>
      </c>
      <c r="Q1002" s="43">
        <v>5</v>
      </c>
      <c r="R1002" s="43">
        <v>2</v>
      </c>
      <c r="S1002" s="45"/>
      <c r="T1002" t="b">
        <f>(S1001+S1002+S1003)=U4</f>
        <v>0</v>
      </c>
      <c r="X1002" s="1">
        <f t="shared" si="88"/>
        <v>0</v>
      </c>
      <c r="Y1002" s="48">
        <v>0</v>
      </c>
      <c r="AA1002" s="1">
        <v>6</v>
      </c>
      <c r="AB1002" s="1" t="s">
        <v>16</v>
      </c>
      <c r="AC1002" s="1" t="s">
        <v>22</v>
      </c>
      <c r="AD1002" s="1">
        <v>16</v>
      </c>
      <c r="AE1002" s="1">
        <v>14</v>
      </c>
      <c r="AF1002" s="1">
        <v>0.8</v>
      </c>
      <c r="AG1002" s="1">
        <v>0.9</v>
      </c>
      <c r="AH1002" s="1">
        <v>0</v>
      </c>
      <c r="AI1002" s="1">
        <v>0</v>
      </c>
      <c r="AJ1002" s="1">
        <f t="shared" si="84"/>
        <v>0</v>
      </c>
      <c r="AK1002" s="1">
        <f>D97</f>
        <v>0</v>
      </c>
      <c r="AL1002" s="1">
        <f>D103</f>
        <v>0</v>
      </c>
      <c r="AM1002" s="1">
        <f t="shared" si="85"/>
        <v>0</v>
      </c>
      <c r="AN1002" s="1">
        <f t="shared" si="86"/>
        <v>0</v>
      </c>
      <c r="AO1002" s="1">
        <f t="shared" si="87"/>
        <v>0</v>
      </c>
      <c r="AP1002" t="b" cm="1">
        <f t="array" ref="AP1002">INDEX($AU$8:$BB$25,6*(R1002-1)+MATCH(AB1002,$AS$8:$AS$13,0),MATCH(O1002,$AU$7:$BB$7,0))</f>
        <v>1</v>
      </c>
    </row>
    <row r="1003" spans="15:42" ht="14.25" x14ac:dyDescent="0.45">
      <c r="O1003" s="43" t="s">
        <v>36</v>
      </c>
      <c r="P1003" s="43">
        <v>3</v>
      </c>
      <c r="Q1003" s="43">
        <v>5</v>
      </c>
      <c r="R1003" s="43">
        <v>3</v>
      </c>
      <c r="S1003" s="45"/>
      <c r="T1003" t="b">
        <f>(S1001+S1002+S1003)=U4</f>
        <v>0</v>
      </c>
      <c r="X1003" s="1">
        <f t="shared" si="88"/>
        <v>0</v>
      </c>
      <c r="Y1003" s="48">
        <v>0</v>
      </c>
      <c r="AA1003" s="1">
        <v>6</v>
      </c>
      <c r="AB1003" s="1" t="s">
        <v>16</v>
      </c>
      <c r="AC1003" s="1" t="s">
        <v>22</v>
      </c>
      <c r="AD1003" s="1">
        <v>16</v>
      </c>
      <c r="AE1003" s="1">
        <v>14</v>
      </c>
      <c r="AF1003" s="1">
        <v>0.8</v>
      </c>
      <c r="AG1003" s="1">
        <v>0.9</v>
      </c>
      <c r="AH1003" s="1">
        <v>0</v>
      </c>
      <c r="AI1003" s="1">
        <v>0</v>
      </c>
      <c r="AJ1003" s="1">
        <f t="shared" si="84"/>
        <v>0</v>
      </c>
      <c r="AK1003" s="1">
        <f>E97</f>
        <v>0</v>
      </c>
      <c r="AL1003" s="1">
        <f>E103</f>
        <v>0</v>
      </c>
      <c r="AM1003" s="1">
        <f t="shared" si="85"/>
        <v>0</v>
      </c>
      <c r="AN1003" s="1">
        <f t="shared" si="86"/>
        <v>0</v>
      </c>
      <c r="AO1003" s="1">
        <f t="shared" si="87"/>
        <v>0</v>
      </c>
      <c r="AP1003" t="b" cm="1">
        <f t="array" ref="AP1003">INDEX($AU$8:$BB$25,6*(R1003-1)+MATCH(AB1003,$AS$8:$AS$13,0),MATCH(O1003,$AU$7:$BB$7,0))</f>
        <v>1</v>
      </c>
    </row>
    <row r="1004" spans="15:42" ht="14.25" x14ac:dyDescent="0.45">
      <c r="O1004" s="43" t="s">
        <v>36</v>
      </c>
      <c r="P1004" s="43">
        <v>3</v>
      </c>
      <c r="Q1004" s="43">
        <v>6</v>
      </c>
      <c r="R1004" s="43">
        <v>1</v>
      </c>
      <c r="S1004" s="45"/>
      <c r="T1004" t="b">
        <f>(S1004+S1005+S1006)=U4</f>
        <v>0</v>
      </c>
      <c r="X1004" s="1">
        <f t="shared" si="88"/>
        <v>0</v>
      </c>
      <c r="Y1004" s="48">
        <v>0</v>
      </c>
      <c r="AA1004" s="1">
        <v>1</v>
      </c>
      <c r="AB1004" s="1" t="s">
        <v>14</v>
      </c>
      <c r="AC1004" s="1" t="s">
        <v>20</v>
      </c>
      <c r="AD1004" s="1">
        <v>12</v>
      </c>
      <c r="AE1004" s="1">
        <v>11</v>
      </c>
      <c r="AF1004" s="1">
        <v>0.8</v>
      </c>
      <c r="AG1004" s="1">
        <v>0.88</v>
      </c>
      <c r="AH1004" s="1">
        <v>0</v>
      </c>
      <c r="AI1004" s="1">
        <v>0</v>
      </c>
      <c r="AJ1004" s="1">
        <f t="shared" si="84"/>
        <v>0</v>
      </c>
      <c r="AK1004" s="1">
        <f>C95</f>
        <v>0</v>
      </c>
      <c r="AL1004" s="1">
        <f>C101</f>
        <v>0</v>
      </c>
      <c r="AM1004" s="1">
        <f t="shared" si="85"/>
        <v>0</v>
      </c>
      <c r="AN1004" s="1">
        <f t="shared" si="86"/>
        <v>0</v>
      </c>
      <c r="AO1004" s="1">
        <f t="shared" si="87"/>
        <v>0</v>
      </c>
      <c r="AP1004" t="b" cm="1">
        <f t="array" ref="AP1004">INDEX($AU$8:$BB$25,6*(R1004-1)+MATCH(AB1004,$AS$8:$AS$13,0),MATCH(O1004,$AU$7:$BB$7,0))</f>
        <v>1</v>
      </c>
    </row>
    <row r="1005" spans="15:42" ht="14.25" x14ac:dyDescent="0.45">
      <c r="O1005" s="43" t="s">
        <v>36</v>
      </c>
      <c r="P1005" s="43">
        <v>3</v>
      </c>
      <c r="Q1005" s="43">
        <v>6</v>
      </c>
      <c r="R1005" s="43">
        <v>2</v>
      </c>
      <c r="S1005" s="45"/>
      <c r="T1005" t="b">
        <f>(S1004+S1005+S1006)=U4</f>
        <v>0</v>
      </c>
      <c r="X1005" s="1">
        <f t="shared" si="88"/>
        <v>0</v>
      </c>
      <c r="Y1005" s="48">
        <v>0</v>
      </c>
      <c r="AA1005" s="1">
        <v>1</v>
      </c>
      <c r="AB1005" s="1" t="s">
        <v>14</v>
      </c>
      <c r="AC1005" s="1" t="s">
        <v>20</v>
      </c>
      <c r="AD1005" s="1">
        <v>12</v>
      </c>
      <c r="AE1005" s="1">
        <v>11</v>
      </c>
      <c r="AF1005" s="1">
        <v>0.8</v>
      </c>
      <c r="AG1005" s="1">
        <v>0.88</v>
      </c>
      <c r="AH1005" s="1">
        <v>0</v>
      </c>
      <c r="AI1005" s="1">
        <v>0</v>
      </c>
      <c r="AJ1005" s="1">
        <f t="shared" si="84"/>
        <v>0</v>
      </c>
      <c r="AK1005" s="1">
        <f>D95</f>
        <v>0</v>
      </c>
      <c r="AL1005" s="1">
        <f>D101</f>
        <v>0</v>
      </c>
      <c r="AM1005" s="1">
        <f t="shared" si="85"/>
        <v>0</v>
      </c>
      <c r="AN1005" s="1">
        <f t="shared" si="86"/>
        <v>0</v>
      </c>
      <c r="AO1005" s="1">
        <f t="shared" si="87"/>
        <v>0</v>
      </c>
      <c r="AP1005" t="b" cm="1">
        <f t="array" ref="AP1005">INDEX($AU$8:$BB$25,6*(R1005-1)+MATCH(AB1005,$AS$8:$AS$13,0),MATCH(O1005,$AU$7:$BB$7,0))</f>
        <v>1</v>
      </c>
    </row>
    <row r="1006" spans="15:42" ht="14.25" x14ac:dyDescent="0.45">
      <c r="O1006" s="43" t="s">
        <v>36</v>
      </c>
      <c r="P1006" s="43">
        <v>3</v>
      </c>
      <c r="Q1006" s="43">
        <v>6</v>
      </c>
      <c r="R1006" s="43">
        <v>3</v>
      </c>
      <c r="S1006" s="45"/>
      <c r="T1006" t="b">
        <f>(S1004+S1005+S1006)=U4</f>
        <v>0</v>
      </c>
      <c r="X1006" s="1">
        <f t="shared" si="88"/>
        <v>0</v>
      </c>
      <c r="Y1006" s="48">
        <v>0</v>
      </c>
      <c r="AA1006" s="1">
        <v>1</v>
      </c>
      <c r="AB1006" s="1" t="s">
        <v>14</v>
      </c>
      <c r="AC1006" s="1" t="s">
        <v>20</v>
      </c>
      <c r="AD1006" s="1">
        <v>12</v>
      </c>
      <c r="AE1006" s="1">
        <v>11</v>
      </c>
      <c r="AF1006" s="1">
        <v>0.8</v>
      </c>
      <c r="AG1006" s="1">
        <v>0.88</v>
      </c>
      <c r="AH1006" s="1">
        <v>0</v>
      </c>
      <c r="AI1006" s="1">
        <v>0</v>
      </c>
      <c r="AJ1006" s="1">
        <f t="shared" si="84"/>
        <v>0</v>
      </c>
      <c r="AK1006" s="1">
        <f>E95</f>
        <v>0</v>
      </c>
      <c r="AL1006" s="1">
        <f>E101</f>
        <v>0</v>
      </c>
      <c r="AM1006" s="1">
        <f t="shared" si="85"/>
        <v>0</v>
      </c>
      <c r="AN1006" s="1">
        <f t="shared" si="86"/>
        <v>0</v>
      </c>
      <c r="AO1006" s="1">
        <f t="shared" si="87"/>
        <v>0</v>
      </c>
      <c r="AP1006" t="b" cm="1">
        <f t="array" ref="AP1006">INDEX($AU$8:$BB$25,6*(R1006-1)+MATCH(AB1006,$AS$8:$AS$13,0),MATCH(O1006,$AU$7:$BB$7,0))</f>
        <v>1</v>
      </c>
    </row>
    <row r="1007" spans="15:42" ht="14.25" x14ac:dyDescent="0.45">
      <c r="O1007" s="43" t="s">
        <v>36</v>
      </c>
      <c r="P1007" s="43">
        <v>3</v>
      </c>
      <c r="Q1007" s="43">
        <v>7</v>
      </c>
      <c r="R1007" s="43">
        <v>1</v>
      </c>
      <c r="S1007" s="45"/>
      <c r="T1007" t="b">
        <f>(S1007+S1008+S1009)=U4</f>
        <v>0</v>
      </c>
      <c r="X1007" s="1">
        <f t="shared" si="88"/>
        <v>0</v>
      </c>
      <c r="Y1007" s="48">
        <v>0</v>
      </c>
      <c r="AA1007" s="1">
        <v>3</v>
      </c>
      <c r="AB1007" s="1" t="s">
        <v>13</v>
      </c>
      <c r="AC1007" s="1" t="s">
        <v>19</v>
      </c>
      <c r="AD1007" s="1">
        <v>24</v>
      </c>
      <c r="AE1007" s="1">
        <v>21</v>
      </c>
      <c r="AF1007" s="1">
        <v>0.8</v>
      </c>
      <c r="AG1007" s="1">
        <v>0.86</v>
      </c>
      <c r="AH1007" s="1">
        <v>0</v>
      </c>
      <c r="AI1007" s="1">
        <v>0</v>
      </c>
      <c r="AJ1007" s="1">
        <f t="shared" si="84"/>
        <v>0</v>
      </c>
      <c r="AK1007" s="1">
        <f>C94</f>
        <v>0</v>
      </c>
      <c r="AL1007" s="1">
        <f>C100</f>
        <v>0</v>
      </c>
      <c r="AM1007" s="1">
        <f t="shared" si="85"/>
        <v>0</v>
      </c>
      <c r="AN1007" s="1">
        <f t="shared" si="86"/>
        <v>0</v>
      </c>
      <c r="AO1007" s="1">
        <f t="shared" si="87"/>
        <v>0</v>
      </c>
      <c r="AP1007" t="b" cm="1">
        <f t="array" ref="AP1007">INDEX($AU$8:$BB$25,6*(R1007-1)+MATCH(AB1007,$AS$8:$AS$13,0),MATCH(O1007,$AU$7:$BB$7,0))</f>
        <v>1</v>
      </c>
    </row>
    <row r="1008" spans="15:42" ht="14.25" x14ac:dyDescent="0.45">
      <c r="O1008" s="43" t="s">
        <v>36</v>
      </c>
      <c r="P1008" s="43">
        <v>3</v>
      </c>
      <c r="Q1008" s="43">
        <v>7</v>
      </c>
      <c r="R1008" s="43">
        <v>2</v>
      </c>
      <c r="S1008" s="45"/>
      <c r="T1008" t="b">
        <f>(S1007+S1008+S1009)=U4</f>
        <v>0</v>
      </c>
      <c r="X1008" s="1">
        <f t="shared" si="88"/>
        <v>0</v>
      </c>
      <c r="Y1008" s="48">
        <v>0</v>
      </c>
      <c r="AA1008" s="1">
        <v>3</v>
      </c>
      <c r="AB1008" s="1" t="s">
        <v>13</v>
      </c>
      <c r="AC1008" s="1" t="s">
        <v>19</v>
      </c>
      <c r="AD1008" s="1">
        <v>24</v>
      </c>
      <c r="AE1008" s="1">
        <v>21</v>
      </c>
      <c r="AF1008" s="1">
        <v>0.8</v>
      </c>
      <c r="AG1008" s="1">
        <v>0.86</v>
      </c>
      <c r="AH1008" s="1">
        <v>0</v>
      </c>
      <c r="AI1008" s="1">
        <v>0</v>
      </c>
      <c r="AJ1008" s="1">
        <f t="shared" si="84"/>
        <v>0</v>
      </c>
      <c r="AK1008" s="1">
        <f>D94</f>
        <v>0</v>
      </c>
      <c r="AL1008" s="1">
        <f>D100</f>
        <v>0</v>
      </c>
      <c r="AM1008" s="1">
        <f t="shared" si="85"/>
        <v>0</v>
      </c>
      <c r="AN1008" s="1">
        <f t="shared" si="86"/>
        <v>0</v>
      </c>
      <c r="AO1008" s="1">
        <f t="shared" si="87"/>
        <v>0</v>
      </c>
      <c r="AP1008" t="b" cm="1">
        <f t="array" ref="AP1008">INDEX($AU$8:$BB$25,6*(R1008-1)+MATCH(AB1008,$AS$8:$AS$13,0),MATCH(O1008,$AU$7:$BB$7,0))</f>
        <v>1</v>
      </c>
    </row>
    <row r="1009" spans="15:42" ht="14.25" x14ac:dyDescent="0.45">
      <c r="O1009" s="43" t="s">
        <v>36</v>
      </c>
      <c r="P1009" s="43">
        <v>3</v>
      </c>
      <c r="Q1009" s="43">
        <v>7</v>
      </c>
      <c r="R1009" s="43">
        <v>3</v>
      </c>
      <c r="S1009" s="45"/>
      <c r="T1009" t="b">
        <f>(S1007+S1008+S1009)=U4</f>
        <v>0</v>
      </c>
      <c r="X1009" s="1">
        <f t="shared" si="88"/>
        <v>0</v>
      </c>
      <c r="Y1009" s="48">
        <v>0</v>
      </c>
      <c r="AA1009" s="1">
        <v>3</v>
      </c>
      <c r="AB1009" s="1" t="s">
        <v>13</v>
      </c>
      <c r="AC1009" s="1" t="s">
        <v>19</v>
      </c>
      <c r="AD1009" s="1">
        <v>24</v>
      </c>
      <c r="AE1009" s="1">
        <v>21</v>
      </c>
      <c r="AF1009" s="1">
        <v>0.8</v>
      </c>
      <c r="AG1009" s="1">
        <v>0.86</v>
      </c>
      <c r="AH1009" s="1">
        <v>0</v>
      </c>
      <c r="AI1009" s="1">
        <v>0</v>
      </c>
      <c r="AJ1009" s="1">
        <f t="shared" si="84"/>
        <v>0</v>
      </c>
      <c r="AK1009" s="1">
        <f>E94</f>
        <v>0</v>
      </c>
      <c r="AL1009" s="1">
        <f>E100</f>
        <v>0</v>
      </c>
      <c r="AM1009" s="1">
        <f t="shared" si="85"/>
        <v>0</v>
      </c>
      <c r="AN1009" s="1">
        <f t="shared" si="86"/>
        <v>0</v>
      </c>
      <c r="AO1009" s="1">
        <f t="shared" si="87"/>
        <v>0</v>
      </c>
      <c r="AP1009" t="b" cm="1">
        <f t="array" ref="AP1009">INDEX($AU$8:$BB$25,6*(R1009-1)+MATCH(AB1009,$AS$8:$AS$13,0),MATCH(O1009,$AU$7:$BB$7,0))</f>
        <v>1</v>
      </c>
    </row>
    <row r="1010" spans="15:42" ht="14.25" x14ac:dyDescent="0.45">
      <c r="O1010" s="43" t="s">
        <v>36</v>
      </c>
      <c r="P1010" s="43">
        <v>3</v>
      </c>
      <c r="Q1010" s="43">
        <v>8</v>
      </c>
      <c r="R1010" s="43">
        <v>1</v>
      </c>
      <c r="S1010" s="45"/>
      <c r="T1010" t="b">
        <f>(S1010+S1011+S1012)=U4</f>
        <v>0</v>
      </c>
      <c r="X1010" s="1">
        <f t="shared" si="88"/>
        <v>0</v>
      </c>
      <c r="Y1010" s="48">
        <v>0</v>
      </c>
      <c r="AA1010" s="1">
        <v>5</v>
      </c>
      <c r="AB1010" s="1" t="s">
        <v>13</v>
      </c>
      <c r="AC1010" s="1" t="s">
        <v>19</v>
      </c>
      <c r="AD1010" s="1">
        <v>19</v>
      </c>
      <c r="AE1010" s="1">
        <v>13</v>
      </c>
      <c r="AF1010" s="1">
        <v>0.8</v>
      </c>
      <c r="AG1010" s="1">
        <v>0.86</v>
      </c>
      <c r="AH1010" s="1">
        <v>0</v>
      </c>
      <c r="AI1010" s="1">
        <v>0</v>
      </c>
      <c r="AJ1010" s="1">
        <f t="shared" si="84"/>
        <v>0</v>
      </c>
      <c r="AK1010" s="1">
        <f>C94</f>
        <v>0</v>
      </c>
      <c r="AL1010" s="1">
        <f>C100</f>
        <v>0</v>
      </c>
      <c r="AM1010" s="1">
        <f t="shared" si="85"/>
        <v>0</v>
      </c>
      <c r="AN1010" s="1">
        <f t="shared" si="86"/>
        <v>0</v>
      </c>
      <c r="AO1010" s="1">
        <f t="shared" si="87"/>
        <v>0</v>
      </c>
      <c r="AP1010" t="b" cm="1">
        <f t="array" ref="AP1010">INDEX($AU$8:$BB$25,6*(R1010-1)+MATCH(AB1010,$AS$8:$AS$13,0),MATCH(O1010,$AU$7:$BB$7,0))</f>
        <v>1</v>
      </c>
    </row>
    <row r="1011" spans="15:42" ht="14.25" x14ac:dyDescent="0.45">
      <c r="O1011" s="43" t="s">
        <v>36</v>
      </c>
      <c r="P1011" s="43">
        <v>3</v>
      </c>
      <c r="Q1011" s="43">
        <v>8</v>
      </c>
      <c r="R1011" s="43">
        <v>2</v>
      </c>
      <c r="S1011" s="45"/>
      <c r="T1011" t="b">
        <f>(S1010+S1011+S1012)=U4</f>
        <v>0</v>
      </c>
      <c r="X1011" s="1">
        <f t="shared" si="88"/>
        <v>0</v>
      </c>
      <c r="Y1011" s="48">
        <v>0</v>
      </c>
      <c r="AA1011" s="1">
        <v>5</v>
      </c>
      <c r="AB1011" s="1" t="s">
        <v>13</v>
      </c>
      <c r="AC1011" s="1" t="s">
        <v>19</v>
      </c>
      <c r="AD1011" s="1">
        <v>19</v>
      </c>
      <c r="AE1011" s="1">
        <v>13</v>
      </c>
      <c r="AF1011" s="1">
        <v>0.8</v>
      </c>
      <c r="AG1011" s="1">
        <v>0.86</v>
      </c>
      <c r="AH1011" s="1">
        <v>0</v>
      </c>
      <c r="AI1011" s="1">
        <v>0</v>
      </c>
      <c r="AJ1011" s="1">
        <f t="shared" si="84"/>
        <v>0</v>
      </c>
      <c r="AK1011" s="1">
        <f>D94</f>
        <v>0</v>
      </c>
      <c r="AL1011" s="1">
        <f>D100</f>
        <v>0</v>
      </c>
      <c r="AM1011" s="1">
        <f t="shared" si="85"/>
        <v>0</v>
      </c>
      <c r="AN1011" s="1">
        <f t="shared" si="86"/>
        <v>0</v>
      </c>
      <c r="AO1011" s="1">
        <f t="shared" si="87"/>
        <v>0</v>
      </c>
      <c r="AP1011" t="b" cm="1">
        <f t="array" ref="AP1011">INDEX($AU$8:$BB$25,6*(R1011-1)+MATCH(AB1011,$AS$8:$AS$13,0),MATCH(O1011,$AU$7:$BB$7,0))</f>
        <v>1</v>
      </c>
    </row>
    <row r="1012" spans="15:42" ht="14.25" x14ac:dyDescent="0.45">
      <c r="O1012" s="43" t="s">
        <v>36</v>
      </c>
      <c r="P1012" s="43">
        <v>3</v>
      </c>
      <c r="Q1012" s="43">
        <v>8</v>
      </c>
      <c r="R1012" s="43">
        <v>3</v>
      </c>
      <c r="S1012" s="45"/>
      <c r="T1012" t="b">
        <f>(S1010+S1011+S1012)=U4</f>
        <v>0</v>
      </c>
      <c r="X1012" s="1">
        <f t="shared" si="88"/>
        <v>0</v>
      </c>
      <c r="Y1012" s="48">
        <v>0</v>
      </c>
      <c r="AA1012" s="1">
        <v>5</v>
      </c>
      <c r="AB1012" s="1" t="s">
        <v>13</v>
      </c>
      <c r="AC1012" s="1" t="s">
        <v>19</v>
      </c>
      <c r="AD1012" s="1">
        <v>19</v>
      </c>
      <c r="AE1012" s="1">
        <v>13</v>
      </c>
      <c r="AF1012" s="1">
        <v>0.8</v>
      </c>
      <c r="AG1012" s="1">
        <v>0.86</v>
      </c>
      <c r="AH1012" s="1">
        <v>0</v>
      </c>
      <c r="AI1012" s="1">
        <v>0</v>
      </c>
      <c r="AJ1012" s="1">
        <f t="shared" si="84"/>
        <v>0</v>
      </c>
      <c r="AK1012" s="1">
        <f>E94</f>
        <v>0</v>
      </c>
      <c r="AL1012" s="1">
        <f>E100</f>
        <v>0</v>
      </c>
      <c r="AM1012" s="1">
        <f t="shared" si="85"/>
        <v>0</v>
      </c>
      <c r="AN1012" s="1">
        <f t="shared" si="86"/>
        <v>0</v>
      </c>
      <c r="AO1012" s="1">
        <f t="shared" si="87"/>
        <v>0</v>
      </c>
      <c r="AP1012" t="b" cm="1">
        <f t="array" ref="AP1012">INDEX($AU$8:$BB$25,6*(R1012-1)+MATCH(AB1012,$AS$8:$AS$13,0),MATCH(O1012,$AU$7:$BB$7,0))</f>
        <v>1</v>
      </c>
    </row>
    <row r="1013" spans="15:42" ht="14.25" x14ac:dyDescent="0.45">
      <c r="O1013" s="43" t="s">
        <v>36</v>
      </c>
      <c r="P1013" s="43">
        <v>3</v>
      </c>
      <c r="Q1013" s="43">
        <v>9</v>
      </c>
      <c r="R1013" s="43">
        <v>1</v>
      </c>
      <c r="S1013" s="45"/>
      <c r="T1013" t="b">
        <f>(S1013+S1014+S1015)=U4</f>
        <v>0</v>
      </c>
      <c r="X1013" s="1">
        <f t="shared" si="88"/>
        <v>0</v>
      </c>
      <c r="Y1013" s="48">
        <v>0</v>
      </c>
      <c r="AA1013" s="1">
        <v>3</v>
      </c>
      <c r="AB1013" s="1" t="s">
        <v>14</v>
      </c>
      <c r="AC1013" s="1" t="s">
        <v>20</v>
      </c>
      <c r="AD1013" s="1">
        <v>15</v>
      </c>
      <c r="AE1013" s="1">
        <v>13</v>
      </c>
      <c r="AF1013" s="1">
        <v>0.8</v>
      </c>
      <c r="AG1013" s="1">
        <v>0.88</v>
      </c>
      <c r="AH1013" s="1">
        <v>0</v>
      </c>
      <c r="AI1013" s="1">
        <v>0</v>
      </c>
      <c r="AJ1013" s="1">
        <f t="shared" si="84"/>
        <v>0</v>
      </c>
      <c r="AK1013" s="1">
        <f>C95</f>
        <v>0</v>
      </c>
      <c r="AL1013" s="1">
        <f>C101</f>
        <v>0</v>
      </c>
      <c r="AM1013" s="1">
        <f t="shared" si="85"/>
        <v>0</v>
      </c>
      <c r="AN1013" s="1">
        <f t="shared" si="86"/>
        <v>0</v>
      </c>
      <c r="AO1013" s="1">
        <f t="shared" si="87"/>
        <v>0</v>
      </c>
      <c r="AP1013" t="b" cm="1">
        <f t="array" ref="AP1013">INDEX($AU$8:$BB$25,6*(R1013-1)+MATCH(AB1013,$AS$8:$AS$13,0),MATCH(O1013,$AU$7:$BB$7,0))</f>
        <v>1</v>
      </c>
    </row>
    <row r="1014" spans="15:42" ht="14.25" x14ac:dyDescent="0.45">
      <c r="O1014" s="43" t="s">
        <v>36</v>
      </c>
      <c r="P1014" s="43">
        <v>3</v>
      </c>
      <c r="Q1014" s="43">
        <v>9</v>
      </c>
      <c r="R1014" s="43">
        <v>2</v>
      </c>
      <c r="S1014" s="45"/>
      <c r="T1014" t="b">
        <f>(S1013+S1014+S1015)=U4</f>
        <v>0</v>
      </c>
      <c r="X1014" s="1">
        <f t="shared" si="88"/>
        <v>0</v>
      </c>
      <c r="Y1014" s="48">
        <v>0</v>
      </c>
      <c r="AA1014" s="1">
        <v>3</v>
      </c>
      <c r="AB1014" s="1" t="s">
        <v>14</v>
      </c>
      <c r="AC1014" s="1" t="s">
        <v>20</v>
      </c>
      <c r="AD1014" s="1">
        <v>15</v>
      </c>
      <c r="AE1014" s="1">
        <v>13</v>
      </c>
      <c r="AF1014" s="1">
        <v>0.8</v>
      </c>
      <c r="AG1014" s="1">
        <v>0.88</v>
      </c>
      <c r="AH1014" s="1">
        <v>0</v>
      </c>
      <c r="AI1014" s="1">
        <v>0</v>
      </c>
      <c r="AJ1014" s="1">
        <f t="shared" si="84"/>
        <v>0</v>
      </c>
      <c r="AK1014" s="1">
        <f>D95</f>
        <v>0</v>
      </c>
      <c r="AL1014" s="1">
        <f>D101</f>
        <v>0</v>
      </c>
      <c r="AM1014" s="1">
        <f t="shared" si="85"/>
        <v>0</v>
      </c>
      <c r="AN1014" s="1">
        <f t="shared" si="86"/>
        <v>0</v>
      </c>
      <c r="AO1014" s="1">
        <f t="shared" si="87"/>
        <v>0</v>
      </c>
      <c r="AP1014" t="b" cm="1">
        <f t="array" ref="AP1014">INDEX($AU$8:$BB$25,6*(R1014-1)+MATCH(AB1014,$AS$8:$AS$13,0),MATCH(O1014,$AU$7:$BB$7,0))</f>
        <v>1</v>
      </c>
    </row>
    <row r="1015" spans="15:42" ht="14.25" x14ac:dyDescent="0.45">
      <c r="O1015" s="43" t="s">
        <v>36</v>
      </c>
      <c r="P1015" s="43">
        <v>3</v>
      </c>
      <c r="Q1015" s="43">
        <v>9</v>
      </c>
      <c r="R1015" s="43">
        <v>3</v>
      </c>
      <c r="S1015" s="45"/>
      <c r="T1015" t="b">
        <f>(S1013+S1014+S1015)=U4</f>
        <v>0</v>
      </c>
      <c r="X1015" s="1">
        <f t="shared" si="88"/>
        <v>0</v>
      </c>
      <c r="Y1015" s="48">
        <v>0</v>
      </c>
      <c r="AA1015" s="1">
        <v>3</v>
      </c>
      <c r="AB1015" s="1" t="s">
        <v>14</v>
      </c>
      <c r="AC1015" s="1" t="s">
        <v>20</v>
      </c>
      <c r="AD1015" s="1">
        <v>15</v>
      </c>
      <c r="AE1015" s="1">
        <v>13</v>
      </c>
      <c r="AF1015" s="1">
        <v>0.8</v>
      </c>
      <c r="AG1015" s="1">
        <v>0.88</v>
      </c>
      <c r="AH1015" s="1">
        <v>0</v>
      </c>
      <c r="AI1015" s="1">
        <v>0</v>
      </c>
      <c r="AJ1015" s="1">
        <f t="shared" si="84"/>
        <v>0</v>
      </c>
      <c r="AK1015" s="1">
        <f>E95</f>
        <v>0</v>
      </c>
      <c r="AL1015" s="1">
        <f>E101</f>
        <v>0</v>
      </c>
      <c r="AM1015" s="1">
        <f t="shared" si="85"/>
        <v>0</v>
      </c>
      <c r="AN1015" s="1">
        <f t="shared" si="86"/>
        <v>0</v>
      </c>
      <c r="AO1015" s="1">
        <f t="shared" si="87"/>
        <v>0</v>
      </c>
      <c r="AP1015" t="b" cm="1">
        <f t="array" ref="AP1015">INDEX($AU$8:$BB$25,6*(R1015-1)+MATCH(AB1015,$AS$8:$AS$13,0),MATCH(O1015,$AU$7:$BB$7,0))</f>
        <v>1</v>
      </c>
    </row>
    <row r="1016" spans="15:42" ht="14.25" x14ac:dyDescent="0.45">
      <c r="O1016" s="43" t="s">
        <v>36</v>
      </c>
      <c r="P1016" s="43">
        <v>3</v>
      </c>
      <c r="Q1016" s="43">
        <v>10</v>
      </c>
      <c r="R1016" s="43">
        <v>1</v>
      </c>
      <c r="S1016" s="45"/>
      <c r="T1016" t="b">
        <f>(S1016+S1017+S1018)=U4</f>
        <v>0</v>
      </c>
      <c r="X1016" s="1">
        <f t="shared" si="88"/>
        <v>0</v>
      </c>
      <c r="Y1016" s="48">
        <v>0</v>
      </c>
      <c r="AA1016" s="1">
        <v>5</v>
      </c>
      <c r="AB1016" s="1" t="s">
        <v>14</v>
      </c>
      <c r="AC1016" s="1" t="s">
        <v>20</v>
      </c>
      <c r="AD1016" s="1">
        <v>24</v>
      </c>
      <c r="AE1016" s="1">
        <v>20</v>
      </c>
      <c r="AF1016" s="1">
        <v>0.8</v>
      </c>
      <c r="AG1016" s="1">
        <v>0.88</v>
      </c>
      <c r="AH1016" s="1">
        <v>0</v>
      </c>
      <c r="AI1016" s="1">
        <v>0</v>
      </c>
      <c r="AJ1016" s="1">
        <f t="shared" si="84"/>
        <v>0</v>
      </c>
      <c r="AK1016" s="1">
        <f>C95</f>
        <v>0</v>
      </c>
      <c r="AL1016" s="1">
        <f>C101</f>
        <v>0</v>
      </c>
      <c r="AM1016" s="1">
        <f t="shared" si="85"/>
        <v>0</v>
      </c>
      <c r="AN1016" s="1">
        <f t="shared" si="86"/>
        <v>0</v>
      </c>
      <c r="AO1016" s="1">
        <f t="shared" si="87"/>
        <v>0</v>
      </c>
      <c r="AP1016" t="b" cm="1">
        <f t="array" ref="AP1016">INDEX($AU$8:$BB$25,6*(R1016-1)+MATCH(AB1016,$AS$8:$AS$13,0),MATCH(O1016,$AU$7:$BB$7,0))</f>
        <v>1</v>
      </c>
    </row>
    <row r="1017" spans="15:42" ht="14.25" x14ac:dyDescent="0.45">
      <c r="O1017" s="43" t="s">
        <v>36</v>
      </c>
      <c r="P1017" s="43">
        <v>3</v>
      </c>
      <c r="Q1017" s="43">
        <v>10</v>
      </c>
      <c r="R1017" s="43">
        <v>2</v>
      </c>
      <c r="S1017" s="45"/>
      <c r="T1017" t="b">
        <f>(S1016+S1017+S1018)=U4</f>
        <v>0</v>
      </c>
      <c r="X1017" s="1">
        <f t="shared" si="88"/>
        <v>0</v>
      </c>
      <c r="Y1017" s="48">
        <v>0</v>
      </c>
      <c r="AA1017" s="1">
        <v>5</v>
      </c>
      <c r="AB1017" s="1" t="s">
        <v>14</v>
      </c>
      <c r="AC1017" s="1" t="s">
        <v>20</v>
      </c>
      <c r="AD1017" s="1">
        <v>24</v>
      </c>
      <c r="AE1017" s="1">
        <v>20</v>
      </c>
      <c r="AF1017" s="1">
        <v>0.8</v>
      </c>
      <c r="AG1017" s="1">
        <v>0.88</v>
      </c>
      <c r="AH1017" s="1">
        <v>0</v>
      </c>
      <c r="AI1017" s="1">
        <v>0</v>
      </c>
      <c r="AJ1017" s="1">
        <f t="shared" si="84"/>
        <v>0</v>
      </c>
      <c r="AK1017" s="1">
        <f>D95</f>
        <v>0</v>
      </c>
      <c r="AL1017" s="1">
        <f>D101</f>
        <v>0</v>
      </c>
      <c r="AM1017" s="1">
        <f t="shared" si="85"/>
        <v>0</v>
      </c>
      <c r="AN1017" s="1">
        <f t="shared" si="86"/>
        <v>0</v>
      </c>
      <c r="AO1017" s="1">
        <f t="shared" si="87"/>
        <v>0</v>
      </c>
      <c r="AP1017" t="b" cm="1">
        <f t="array" ref="AP1017">INDEX($AU$8:$BB$25,6*(R1017-1)+MATCH(AB1017,$AS$8:$AS$13,0),MATCH(O1017,$AU$7:$BB$7,0))</f>
        <v>1</v>
      </c>
    </row>
    <row r="1018" spans="15:42" ht="14.25" x14ac:dyDescent="0.45">
      <c r="O1018" s="43" t="s">
        <v>36</v>
      </c>
      <c r="P1018" s="43">
        <v>3</v>
      </c>
      <c r="Q1018" s="43">
        <v>10</v>
      </c>
      <c r="R1018" s="43">
        <v>3</v>
      </c>
      <c r="S1018" s="45"/>
      <c r="T1018" t="b">
        <f>(S1016+S1017+S1018)=U4</f>
        <v>0</v>
      </c>
      <c r="X1018" s="1">
        <f t="shared" si="88"/>
        <v>0</v>
      </c>
      <c r="Y1018" s="48">
        <v>0</v>
      </c>
      <c r="AA1018" s="1">
        <v>5</v>
      </c>
      <c r="AB1018" s="1" t="s">
        <v>14</v>
      </c>
      <c r="AC1018" s="1" t="s">
        <v>20</v>
      </c>
      <c r="AD1018" s="1">
        <v>24</v>
      </c>
      <c r="AE1018" s="1">
        <v>20</v>
      </c>
      <c r="AF1018" s="1">
        <v>0.8</v>
      </c>
      <c r="AG1018" s="1">
        <v>0.88</v>
      </c>
      <c r="AH1018" s="1">
        <v>0</v>
      </c>
      <c r="AI1018" s="1">
        <v>0</v>
      </c>
      <c r="AJ1018" s="1">
        <f t="shared" si="84"/>
        <v>0</v>
      </c>
      <c r="AK1018" s="1">
        <f>E95</f>
        <v>0</v>
      </c>
      <c r="AL1018" s="1">
        <f>E101</f>
        <v>0</v>
      </c>
      <c r="AM1018" s="1">
        <f t="shared" si="85"/>
        <v>0</v>
      </c>
      <c r="AN1018" s="1">
        <f t="shared" si="86"/>
        <v>0</v>
      </c>
      <c r="AO1018" s="1">
        <f t="shared" si="87"/>
        <v>0</v>
      </c>
      <c r="AP1018" t="b" cm="1">
        <f t="array" ref="AP1018">INDEX($AU$8:$BB$25,6*(R1018-1)+MATCH(AB1018,$AS$8:$AS$13,0),MATCH(O1018,$AU$7:$BB$7,0))</f>
        <v>1</v>
      </c>
    </row>
    <row r="1019" spans="15:42" ht="14.25" x14ac:dyDescent="0.45">
      <c r="O1019" s="43" t="s">
        <v>36</v>
      </c>
      <c r="P1019" s="43">
        <v>3</v>
      </c>
      <c r="Q1019" s="43">
        <v>11</v>
      </c>
      <c r="R1019" s="43">
        <v>1</v>
      </c>
      <c r="S1019" s="45"/>
      <c r="T1019" t="b">
        <f>(S1019+S1020+S1021)=U4</f>
        <v>0</v>
      </c>
      <c r="X1019" s="1">
        <f t="shared" si="88"/>
        <v>0</v>
      </c>
      <c r="Y1019" s="48">
        <v>0</v>
      </c>
      <c r="AA1019" s="1">
        <v>3</v>
      </c>
      <c r="AB1019" s="1" t="s">
        <v>15</v>
      </c>
      <c r="AC1019" s="1" t="s">
        <v>21</v>
      </c>
      <c r="AD1019" s="1">
        <v>17</v>
      </c>
      <c r="AE1019" s="1">
        <v>15</v>
      </c>
      <c r="AF1019" s="1">
        <v>0.76</v>
      </c>
      <c r="AG1019" s="1">
        <v>0.84</v>
      </c>
      <c r="AH1019" s="1">
        <v>0</v>
      </c>
      <c r="AI1019" s="1">
        <v>0</v>
      </c>
      <c r="AJ1019" s="1">
        <f t="shared" si="84"/>
        <v>0</v>
      </c>
      <c r="AK1019" s="1">
        <f>C96</f>
        <v>0</v>
      </c>
      <c r="AL1019" s="1">
        <f>C102</f>
        <v>0</v>
      </c>
      <c r="AM1019" s="1">
        <f t="shared" si="85"/>
        <v>0</v>
      </c>
      <c r="AN1019" s="1">
        <f t="shared" si="86"/>
        <v>0</v>
      </c>
      <c r="AO1019" s="1">
        <f t="shared" si="87"/>
        <v>0</v>
      </c>
      <c r="AP1019" t="b" cm="1">
        <f t="array" ref="AP1019">INDEX($AU$8:$BB$25,6*(R1019-1)+MATCH(AB1019,$AS$8:$AS$13,0),MATCH(O1019,$AU$7:$BB$7,0))</f>
        <v>1</v>
      </c>
    </row>
    <row r="1020" spans="15:42" ht="14.25" x14ac:dyDescent="0.45">
      <c r="O1020" s="43" t="s">
        <v>36</v>
      </c>
      <c r="P1020" s="43">
        <v>3</v>
      </c>
      <c r="Q1020" s="43">
        <v>11</v>
      </c>
      <c r="R1020" s="43">
        <v>2</v>
      </c>
      <c r="S1020" s="45"/>
      <c r="T1020" t="b">
        <f>(S1019+S1020+S1021)=U4</f>
        <v>0</v>
      </c>
      <c r="X1020" s="1">
        <f t="shared" si="88"/>
        <v>0</v>
      </c>
      <c r="Y1020" s="48">
        <v>0</v>
      </c>
      <c r="AA1020" s="1">
        <v>3</v>
      </c>
      <c r="AB1020" s="1" t="s">
        <v>15</v>
      </c>
      <c r="AC1020" s="1" t="s">
        <v>21</v>
      </c>
      <c r="AD1020" s="1">
        <v>17</v>
      </c>
      <c r="AE1020" s="1">
        <v>15</v>
      </c>
      <c r="AF1020" s="1">
        <v>0.76</v>
      </c>
      <c r="AG1020" s="1">
        <v>0.84</v>
      </c>
      <c r="AH1020" s="1">
        <v>0</v>
      </c>
      <c r="AI1020" s="1">
        <v>0</v>
      </c>
      <c r="AJ1020" s="1">
        <f t="shared" si="84"/>
        <v>0</v>
      </c>
      <c r="AK1020" s="1">
        <f>D96</f>
        <v>0</v>
      </c>
      <c r="AL1020" s="1">
        <f>D102</f>
        <v>0</v>
      </c>
      <c r="AM1020" s="1">
        <f t="shared" si="85"/>
        <v>0</v>
      </c>
      <c r="AN1020" s="1">
        <f t="shared" si="86"/>
        <v>0</v>
      </c>
      <c r="AO1020" s="1">
        <f t="shared" si="87"/>
        <v>0</v>
      </c>
      <c r="AP1020" t="b" cm="1">
        <f t="array" ref="AP1020">INDEX($AU$8:$BB$25,6*(R1020-1)+MATCH(AB1020,$AS$8:$AS$13,0),MATCH(O1020,$AU$7:$BB$7,0))</f>
        <v>1</v>
      </c>
    </row>
    <row r="1021" spans="15:42" ht="14.25" x14ac:dyDescent="0.45">
      <c r="O1021" s="43" t="s">
        <v>36</v>
      </c>
      <c r="P1021" s="43">
        <v>3</v>
      </c>
      <c r="Q1021" s="43">
        <v>11</v>
      </c>
      <c r="R1021" s="43">
        <v>3</v>
      </c>
      <c r="S1021" s="45"/>
      <c r="T1021" t="b">
        <f>(S1019+S1020+S1021)=U4</f>
        <v>0</v>
      </c>
      <c r="X1021" s="1">
        <f t="shared" si="88"/>
        <v>0</v>
      </c>
      <c r="Y1021" s="48">
        <v>0</v>
      </c>
      <c r="AA1021" s="1">
        <v>3</v>
      </c>
      <c r="AB1021" s="1" t="s">
        <v>15</v>
      </c>
      <c r="AC1021" s="1" t="s">
        <v>21</v>
      </c>
      <c r="AD1021" s="1">
        <v>17</v>
      </c>
      <c r="AE1021" s="1">
        <v>15</v>
      </c>
      <c r="AF1021" s="1">
        <v>0.76</v>
      </c>
      <c r="AG1021" s="1">
        <v>0.84</v>
      </c>
      <c r="AH1021" s="1">
        <v>0</v>
      </c>
      <c r="AI1021" s="1">
        <v>0</v>
      </c>
      <c r="AJ1021" s="1">
        <f t="shared" si="84"/>
        <v>0</v>
      </c>
      <c r="AK1021" s="1">
        <f>E96</f>
        <v>0</v>
      </c>
      <c r="AL1021" s="1">
        <f>E102</f>
        <v>0</v>
      </c>
      <c r="AM1021" s="1">
        <f t="shared" si="85"/>
        <v>0</v>
      </c>
      <c r="AN1021" s="1">
        <f t="shared" si="86"/>
        <v>0</v>
      </c>
      <c r="AO1021" s="1">
        <f t="shared" si="87"/>
        <v>0</v>
      </c>
      <c r="AP1021" t="b" cm="1">
        <f t="array" ref="AP1021">INDEX($AU$8:$BB$25,6*(R1021-1)+MATCH(AB1021,$AS$8:$AS$13,0),MATCH(O1021,$AU$7:$BB$7,0))</f>
        <v>1</v>
      </c>
    </row>
    <row r="1022" spans="15:42" ht="14.25" x14ac:dyDescent="0.45">
      <c r="O1022" s="43" t="s">
        <v>36</v>
      </c>
      <c r="P1022" s="43">
        <v>3</v>
      </c>
      <c r="Q1022" s="43">
        <v>12</v>
      </c>
      <c r="R1022" s="43">
        <v>1</v>
      </c>
      <c r="S1022" s="45"/>
      <c r="T1022" t="b">
        <f>(S1022+S1023+S1024)=U4</f>
        <v>0</v>
      </c>
      <c r="X1022" s="1">
        <f t="shared" si="88"/>
        <v>0</v>
      </c>
      <c r="Y1022" s="48">
        <v>0</v>
      </c>
      <c r="AA1022" s="1">
        <v>10</v>
      </c>
      <c r="AB1022" s="1" t="s">
        <v>15</v>
      </c>
      <c r="AC1022" s="1" t="s">
        <v>21</v>
      </c>
      <c r="AD1022" s="1">
        <v>18</v>
      </c>
      <c r="AE1022" s="1">
        <v>13</v>
      </c>
      <c r="AF1022" s="1">
        <v>0.76</v>
      </c>
      <c r="AG1022" s="1">
        <v>0.84</v>
      </c>
      <c r="AH1022" s="1">
        <v>0</v>
      </c>
      <c r="AI1022" s="1">
        <v>0</v>
      </c>
      <c r="AJ1022" s="1">
        <f t="shared" si="84"/>
        <v>0</v>
      </c>
      <c r="AK1022" s="1">
        <f>C96</f>
        <v>0</v>
      </c>
      <c r="AL1022" s="1">
        <f>C102</f>
        <v>0</v>
      </c>
      <c r="AM1022" s="1">
        <f t="shared" si="85"/>
        <v>0</v>
      </c>
      <c r="AN1022" s="1">
        <f t="shared" si="86"/>
        <v>0</v>
      </c>
      <c r="AO1022" s="1">
        <f t="shared" si="87"/>
        <v>0</v>
      </c>
      <c r="AP1022" t="b" cm="1">
        <f t="array" ref="AP1022">INDEX($AU$8:$BB$25,6*(R1022-1)+MATCH(AB1022,$AS$8:$AS$13,0),MATCH(O1022,$AU$7:$BB$7,0))</f>
        <v>1</v>
      </c>
    </row>
    <row r="1023" spans="15:42" ht="14.25" x14ac:dyDescent="0.45">
      <c r="O1023" s="43" t="s">
        <v>36</v>
      </c>
      <c r="P1023" s="43">
        <v>3</v>
      </c>
      <c r="Q1023" s="43">
        <v>12</v>
      </c>
      <c r="R1023" s="43">
        <v>2</v>
      </c>
      <c r="S1023" s="45"/>
      <c r="T1023" t="b">
        <f>(S1022+S1023+S1024)=U4</f>
        <v>0</v>
      </c>
      <c r="X1023" s="1">
        <f t="shared" si="88"/>
        <v>0</v>
      </c>
      <c r="Y1023" s="48">
        <v>0</v>
      </c>
      <c r="AA1023" s="1">
        <v>10</v>
      </c>
      <c r="AB1023" s="1" t="s">
        <v>15</v>
      </c>
      <c r="AC1023" s="1" t="s">
        <v>21</v>
      </c>
      <c r="AD1023" s="1">
        <v>18</v>
      </c>
      <c r="AE1023" s="1">
        <v>13</v>
      </c>
      <c r="AF1023" s="1">
        <v>0.76</v>
      </c>
      <c r="AG1023" s="1">
        <v>0.84</v>
      </c>
      <c r="AH1023" s="1">
        <v>0</v>
      </c>
      <c r="AI1023" s="1">
        <v>0</v>
      </c>
      <c r="AJ1023" s="1">
        <f t="shared" si="84"/>
        <v>0</v>
      </c>
      <c r="AK1023" s="1">
        <f>D96</f>
        <v>0</v>
      </c>
      <c r="AL1023" s="1">
        <f>D102</f>
        <v>0</v>
      </c>
      <c r="AM1023" s="1">
        <f t="shared" si="85"/>
        <v>0</v>
      </c>
      <c r="AN1023" s="1">
        <f t="shared" si="86"/>
        <v>0</v>
      </c>
      <c r="AO1023" s="1">
        <f t="shared" si="87"/>
        <v>0</v>
      </c>
      <c r="AP1023" t="b" cm="1">
        <f t="array" ref="AP1023">INDEX($AU$8:$BB$25,6*(R1023-1)+MATCH(AB1023,$AS$8:$AS$13,0),MATCH(O1023,$AU$7:$BB$7,0))</f>
        <v>1</v>
      </c>
    </row>
    <row r="1024" spans="15:42" ht="14.25" x14ac:dyDescent="0.45">
      <c r="O1024" s="43" t="s">
        <v>36</v>
      </c>
      <c r="P1024" s="43">
        <v>3</v>
      </c>
      <c r="Q1024" s="43">
        <v>12</v>
      </c>
      <c r="R1024" s="43">
        <v>3</v>
      </c>
      <c r="S1024" s="45"/>
      <c r="T1024" t="b">
        <f>(S1022+S1023+S1024)=U4</f>
        <v>0</v>
      </c>
      <c r="X1024" s="1">
        <f t="shared" si="88"/>
        <v>0</v>
      </c>
      <c r="Y1024" s="48">
        <v>0</v>
      </c>
      <c r="AA1024" s="1">
        <v>10</v>
      </c>
      <c r="AB1024" s="1" t="s">
        <v>15</v>
      </c>
      <c r="AC1024" s="1" t="s">
        <v>21</v>
      </c>
      <c r="AD1024" s="1">
        <v>18</v>
      </c>
      <c r="AE1024" s="1">
        <v>13</v>
      </c>
      <c r="AF1024" s="1">
        <v>0.76</v>
      </c>
      <c r="AG1024" s="1">
        <v>0.84</v>
      </c>
      <c r="AH1024" s="1">
        <v>0</v>
      </c>
      <c r="AI1024" s="1">
        <v>0</v>
      </c>
      <c r="AJ1024" s="1">
        <f t="shared" si="84"/>
        <v>0</v>
      </c>
      <c r="AK1024" s="1">
        <f>E96</f>
        <v>0</v>
      </c>
      <c r="AL1024" s="1">
        <f>E102</f>
        <v>0</v>
      </c>
      <c r="AM1024" s="1">
        <f t="shared" si="85"/>
        <v>0</v>
      </c>
      <c r="AN1024" s="1">
        <f t="shared" si="86"/>
        <v>0</v>
      </c>
      <c r="AO1024" s="1">
        <f t="shared" si="87"/>
        <v>0</v>
      </c>
      <c r="AP1024" t="b" cm="1">
        <f t="array" ref="AP1024">INDEX($AU$8:$BB$25,6*(R1024-1)+MATCH(AB1024,$AS$8:$AS$13,0),MATCH(O1024,$AU$7:$BB$7,0))</f>
        <v>1</v>
      </c>
    </row>
    <row r="1025" spans="15:42" ht="14.25" x14ac:dyDescent="0.45">
      <c r="O1025" s="43" t="s">
        <v>36</v>
      </c>
      <c r="P1025" s="43">
        <v>3</v>
      </c>
      <c r="Q1025" s="43">
        <v>13</v>
      </c>
      <c r="R1025" s="43">
        <v>1</v>
      </c>
      <c r="S1025" s="45"/>
      <c r="T1025" t="b">
        <f>(S1025+S1026+S1027)=U4</f>
        <v>0</v>
      </c>
      <c r="X1025" s="1">
        <f t="shared" si="88"/>
        <v>0</v>
      </c>
      <c r="Y1025" s="48">
        <v>0</v>
      </c>
      <c r="AA1025" s="1">
        <v>2</v>
      </c>
      <c r="AB1025" s="1" t="s">
        <v>16</v>
      </c>
      <c r="AC1025" s="1" t="s">
        <v>22</v>
      </c>
      <c r="AD1025" s="1">
        <v>20</v>
      </c>
      <c r="AE1025" s="1">
        <v>18</v>
      </c>
      <c r="AF1025" s="1">
        <v>0.8</v>
      </c>
      <c r="AG1025" s="1">
        <v>0.9</v>
      </c>
      <c r="AH1025" s="1">
        <v>0</v>
      </c>
      <c r="AI1025" s="1">
        <v>0</v>
      </c>
      <c r="AJ1025" s="1">
        <f t="shared" si="84"/>
        <v>0</v>
      </c>
      <c r="AK1025" s="1">
        <f>C97</f>
        <v>0</v>
      </c>
      <c r="AL1025" s="1">
        <f>C103</f>
        <v>0</v>
      </c>
      <c r="AM1025" s="1">
        <f t="shared" si="85"/>
        <v>0</v>
      </c>
      <c r="AN1025" s="1">
        <f t="shared" si="86"/>
        <v>0</v>
      </c>
      <c r="AO1025" s="1">
        <f t="shared" si="87"/>
        <v>0</v>
      </c>
      <c r="AP1025" t="b" cm="1">
        <f t="array" ref="AP1025">INDEX($AU$8:$BB$25,6*(R1025-1)+MATCH(AB1025,$AS$8:$AS$13,0),MATCH(O1025,$AU$7:$BB$7,0))</f>
        <v>1</v>
      </c>
    </row>
    <row r="1026" spans="15:42" ht="14.25" x14ac:dyDescent="0.45">
      <c r="O1026" s="43" t="s">
        <v>36</v>
      </c>
      <c r="P1026" s="43">
        <v>3</v>
      </c>
      <c r="Q1026" s="43">
        <v>13</v>
      </c>
      <c r="R1026" s="43">
        <v>2</v>
      </c>
      <c r="S1026" s="45"/>
      <c r="T1026" t="b">
        <f>(S1025+S1026+S1027)=U4</f>
        <v>0</v>
      </c>
      <c r="X1026" s="1">
        <f t="shared" si="88"/>
        <v>0</v>
      </c>
      <c r="Y1026" s="48">
        <v>0</v>
      </c>
      <c r="AA1026" s="1">
        <v>2</v>
      </c>
      <c r="AB1026" s="1" t="s">
        <v>16</v>
      </c>
      <c r="AC1026" s="1" t="s">
        <v>22</v>
      </c>
      <c r="AD1026" s="1">
        <v>20</v>
      </c>
      <c r="AE1026" s="1">
        <v>18</v>
      </c>
      <c r="AF1026" s="1">
        <v>0.8</v>
      </c>
      <c r="AG1026" s="1">
        <v>0.9</v>
      </c>
      <c r="AH1026" s="1">
        <v>0</v>
      </c>
      <c r="AI1026" s="1">
        <v>0</v>
      </c>
      <c r="AJ1026" s="1">
        <f t="shared" si="84"/>
        <v>0</v>
      </c>
      <c r="AK1026" s="1">
        <f>D97</f>
        <v>0</v>
      </c>
      <c r="AL1026" s="1">
        <f>D103</f>
        <v>0</v>
      </c>
      <c r="AM1026" s="1">
        <f t="shared" si="85"/>
        <v>0</v>
      </c>
      <c r="AN1026" s="1">
        <f t="shared" si="86"/>
        <v>0</v>
      </c>
      <c r="AO1026" s="1">
        <f t="shared" si="87"/>
        <v>0</v>
      </c>
      <c r="AP1026" t="b" cm="1">
        <f t="array" ref="AP1026">INDEX($AU$8:$BB$25,6*(R1026-1)+MATCH(AB1026,$AS$8:$AS$13,0),MATCH(O1026,$AU$7:$BB$7,0))</f>
        <v>1</v>
      </c>
    </row>
    <row r="1027" spans="15:42" ht="14.25" x14ac:dyDescent="0.45">
      <c r="O1027" s="43" t="s">
        <v>36</v>
      </c>
      <c r="P1027" s="43">
        <v>3</v>
      </c>
      <c r="Q1027" s="43">
        <v>13</v>
      </c>
      <c r="R1027" s="43">
        <v>3</v>
      </c>
      <c r="S1027" s="45"/>
      <c r="T1027" t="b">
        <f>(S1025+S1026+S1027)=U4</f>
        <v>0</v>
      </c>
      <c r="X1027" s="1">
        <f t="shared" si="88"/>
        <v>0</v>
      </c>
      <c r="Y1027" s="48">
        <v>0</v>
      </c>
      <c r="AA1027" s="1">
        <v>2</v>
      </c>
      <c r="AB1027" s="1" t="s">
        <v>16</v>
      </c>
      <c r="AC1027" s="1" t="s">
        <v>22</v>
      </c>
      <c r="AD1027" s="1">
        <v>20</v>
      </c>
      <c r="AE1027" s="1">
        <v>18</v>
      </c>
      <c r="AF1027" s="1">
        <v>0.8</v>
      </c>
      <c r="AG1027" s="1">
        <v>0.9</v>
      </c>
      <c r="AH1027" s="1">
        <v>0</v>
      </c>
      <c r="AI1027" s="1">
        <v>0</v>
      </c>
      <c r="AJ1027" s="1">
        <f t="shared" si="84"/>
        <v>0</v>
      </c>
      <c r="AK1027" s="1">
        <f>E97</f>
        <v>0</v>
      </c>
      <c r="AL1027" s="1">
        <f>E103</f>
        <v>0</v>
      </c>
      <c r="AM1027" s="1">
        <f t="shared" si="85"/>
        <v>0</v>
      </c>
      <c r="AN1027" s="1">
        <f t="shared" si="86"/>
        <v>0</v>
      </c>
      <c r="AO1027" s="1">
        <f t="shared" si="87"/>
        <v>0</v>
      </c>
      <c r="AP1027" t="b" cm="1">
        <f t="array" ref="AP1027">INDEX($AU$8:$BB$25,6*(R1027-1)+MATCH(AB1027,$AS$8:$AS$13,0),MATCH(O1027,$AU$7:$BB$7,0))</f>
        <v>1</v>
      </c>
    </row>
    <row r="1028" spans="15:42" ht="14.25" x14ac:dyDescent="0.45">
      <c r="O1028" s="43" t="s">
        <v>36</v>
      </c>
      <c r="P1028" s="43">
        <v>3</v>
      </c>
      <c r="Q1028" s="43">
        <v>14</v>
      </c>
      <c r="R1028" s="43">
        <v>1</v>
      </c>
      <c r="S1028" s="45"/>
      <c r="T1028" t="b">
        <f>(S1028+S1029+S1030)=U4</f>
        <v>0</v>
      </c>
      <c r="X1028" s="1">
        <f t="shared" si="88"/>
        <v>0</v>
      </c>
      <c r="Y1028" s="48">
        <v>0</v>
      </c>
      <c r="AA1028" s="1">
        <v>2</v>
      </c>
      <c r="AB1028" s="1" t="s">
        <v>13</v>
      </c>
      <c r="AC1028" s="1" t="s">
        <v>19</v>
      </c>
      <c r="AD1028" s="1">
        <v>12</v>
      </c>
      <c r="AE1028" s="1">
        <v>11</v>
      </c>
      <c r="AF1028" s="1">
        <v>0.8</v>
      </c>
      <c r="AG1028" s="1">
        <v>0.86</v>
      </c>
      <c r="AH1028" s="1">
        <v>0</v>
      </c>
      <c r="AI1028" s="1">
        <v>0</v>
      </c>
      <c r="AJ1028" s="1">
        <f t="shared" si="84"/>
        <v>0</v>
      </c>
      <c r="AK1028" s="1">
        <f>C94</f>
        <v>0</v>
      </c>
      <c r="AL1028" s="1">
        <f>C100</f>
        <v>0</v>
      </c>
      <c r="AM1028" s="1">
        <f t="shared" si="85"/>
        <v>0</v>
      </c>
      <c r="AN1028" s="1">
        <f t="shared" si="86"/>
        <v>0</v>
      </c>
      <c r="AO1028" s="1">
        <f t="shared" si="87"/>
        <v>0</v>
      </c>
      <c r="AP1028" t="b" cm="1">
        <f t="array" ref="AP1028">INDEX($AU$8:$BB$25,6*(R1028-1)+MATCH(AB1028,$AS$8:$AS$13,0),MATCH(O1028,$AU$7:$BB$7,0))</f>
        <v>1</v>
      </c>
    </row>
    <row r="1029" spans="15:42" ht="14.25" x14ac:dyDescent="0.45">
      <c r="O1029" s="43" t="s">
        <v>36</v>
      </c>
      <c r="P1029" s="43">
        <v>3</v>
      </c>
      <c r="Q1029" s="43">
        <v>14</v>
      </c>
      <c r="R1029" s="43">
        <v>2</v>
      </c>
      <c r="S1029" s="45"/>
      <c r="T1029" t="b">
        <f>(S1028+S1029+S1030)=U4</f>
        <v>0</v>
      </c>
      <c r="X1029" s="1">
        <f t="shared" si="88"/>
        <v>0</v>
      </c>
      <c r="Y1029" s="48">
        <v>0</v>
      </c>
      <c r="AA1029" s="1">
        <v>2</v>
      </c>
      <c r="AB1029" s="1" t="s">
        <v>13</v>
      </c>
      <c r="AC1029" s="1" t="s">
        <v>19</v>
      </c>
      <c r="AD1029" s="1">
        <v>12</v>
      </c>
      <c r="AE1029" s="1">
        <v>11</v>
      </c>
      <c r="AF1029" s="1">
        <v>0.8</v>
      </c>
      <c r="AG1029" s="1">
        <v>0.86</v>
      </c>
      <c r="AH1029" s="1">
        <v>0</v>
      </c>
      <c r="AI1029" s="1">
        <v>0</v>
      </c>
      <c r="AJ1029" s="1">
        <f t="shared" si="84"/>
        <v>0</v>
      </c>
      <c r="AK1029" s="1">
        <f>D94</f>
        <v>0</v>
      </c>
      <c r="AL1029" s="1">
        <f>D100</f>
        <v>0</v>
      </c>
      <c r="AM1029" s="1">
        <f t="shared" si="85"/>
        <v>0</v>
      </c>
      <c r="AN1029" s="1">
        <f t="shared" si="86"/>
        <v>0</v>
      </c>
      <c r="AO1029" s="1">
        <f t="shared" si="87"/>
        <v>0</v>
      </c>
      <c r="AP1029" t="b" cm="1">
        <f t="array" ref="AP1029">INDEX($AU$8:$BB$25,6*(R1029-1)+MATCH(AB1029,$AS$8:$AS$13,0),MATCH(O1029,$AU$7:$BB$7,0))</f>
        <v>1</v>
      </c>
    </row>
    <row r="1030" spans="15:42" ht="14.25" x14ac:dyDescent="0.45">
      <c r="O1030" s="43" t="s">
        <v>36</v>
      </c>
      <c r="P1030" s="43">
        <v>3</v>
      </c>
      <c r="Q1030" s="43">
        <v>14</v>
      </c>
      <c r="R1030" s="43">
        <v>3</v>
      </c>
      <c r="S1030" s="45"/>
      <c r="T1030" t="b">
        <f>(S1028+S1029+S1030)=U4</f>
        <v>0</v>
      </c>
      <c r="X1030" s="1">
        <f t="shared" si="88"/>
        <v>0</v>
      </c>
      <c r="Y1030" s="48">
        <v>0</v>
      </c>
      <c r="AA1030" s="1">
        <v>2</v>
      </c>
      <c r="AB1030" s="1" t="s">
        <v>13</v>
      </c>
      <c r="AC1030" s="1" t="s">
        <v>19</v>
      </c>
      <c r="AD1030" s="1">
        <v>12</v>
      </c>
      <c r="AE1030" s="1">
        <v>11</v>
      </c>
      <c r="AF1030" s="1">
        <v>0.8</v>
      </c>
      <c r="AG1030" s="1">
        <v>0.86</v>
      </c>
      <c r="AH1030" s="1">
        <v>0</v>
      </c>
      <c r="AI1030" s="1">
        <v>0</v>
      </c>
      <c r="AJ1030" s="1">
        <f t="shared" si="84"/>
        <v>0</v>
      </c>
      <c r="AK1030" s="1">
        <f>E94</f>
        <v>0</v>
      </c>
      <c r="AL1030" s="1">
        <f>E100</f>
        <v>0</v>
      </c>
      <c r="AM1030" s="1">
        <f t="shared" si="85"/>
        <v>0</v>
      </c>
      <c r="AN1030" s="1">
        <f t="shared" si="86"/>
        <v>0</v>
      </c>
      <c r="AO1030" s="1">
        <f t="shared" si="87"/>
        <v>0</v>
      </c>
      <c r="AP1030" t="b" cm="1">
        <f t="array" ref="AP1030">INDEX($AU$8:$BB$25,6*(R1030-1)+MATCH(AB1030,$AS$8:$AS$13,0),MATCH(O1030,$AU$7:$BB$7,0))</f>
        <v>1</v>
      </c>
    </row>
    <row r="1031" spans="15:42" ht="14.25" x14ac:dyDescent="0.45">
      <c r="O1031" s="43" t="s">
        <v>36</v>
      </c>
      <c r="P1031" s="43">
        <v>3</v>
      </c>
      <c r="Q1031" s="43">
        <v>15</v>
      </c>
      <c r="R1031" s="43">
        <v>1</v>
      </c>
      <c r="S1031" s="45"/>
      <c r="T1031" t="b">
        <f>(S1031+S1032+S1033)=U4</f>
        <v>0</v>
      </c>
      <c r="X1031" s="1">
        <f t="shared" si="88"/>
        <v>0</v>
      </c>
      <c r="Y1031" s="48">
        <v>0</v>
      </c>
      <c r="AA1031" s="1">
        <v>2</v>
      </c>
      <c r="AB1031" s="1" t="s">
        <v>14</v>
      </c>
      <c r="AC1031" s="1" t="s">
        <v>20</v>
      </c>
      <c r="AD1031" s="1">
        <v>11</v>
      </c>
      <c r="AE1031" s="1">
        <v>10</v>
      </c>
      <c r="AF1031" s="1">
        <v>0.8</v>
      </c>
      <c r="AG1031" s="1">
        <v>0.88</v>
      </c>
      <c r="AH1031" s="1">
        <v>0</v>
      </c>
      <c r="AI1031" s="1">
        <v>0</v>
      </c>
      <c r="AJ1031" s="1">
        <f>SUMIFS(AH$8:AH$1039,$O$8:$O$1039,O1031,$AB$8:$AB$1039,AB1031,$R$8:$R$1039,R1031,$AA$8:$AA$1039,"&lt;="&amp;AA1031)</f>
        <v>0</v>
      </c>
      <c r="AK1031" s="1">
        <f>C95</f>
        <v>0</v>
      </c>
      <c r="AL1031" s="1">
        <f>C101</f>
        <v>0</v>
      </c>
      <c r="AM1031" s="1">
        <f t="shared" si="85"/>
        <v>0</v>
      </c>
      <c r="AN1031" s="1">
        <f t="shared" si="86"/>
        <v>0</v>
      </c>
      <c r="AO1031" s="1">
        <f t="shared" si="87"/>
        <v>0</v>
      </c>
      <c r="AP1031" t="b" cm="1">
        <f t="array" ref="AP1031">INDEX($AU$8:$BB$25,6*(R1031-1)+MATCH(AB1031,$AS$8:$AS$13,0),MATCH(O1031,$AU$7:$BB$7,0))</f>
        <v>1</v>
      </c>
    </row>
    <row r="1032" spans="15:42" ht="14.25" x14ac:dyDescent="0.45">
      <c r="O1032" s="43" t="s">
        <v>36</v>
      </c>
      <c r="P1032" s="43">
        <v>3</v>
      </c>
      <c r="Q1032" s="43">
        <v>15</v>
      </c>
      <c r="R1032" s="43">
        <v>2</v>
      </c>
      <c r="S1032" s="45"/>
      <c r="T1032" t="b">
        <f>(S1031+S1032+S1033)=U4</f>
        <v>0</v>
      </c>
      <c r="X1032" s="1">
        <f t="shared" si="88"/>
        <v>0</v>
      </c>
      <c r="Y1032" s="48">
        <v>0</v>
      </c>
      <c r="AA1032" s="1">
        <v>2</v>
      </c>
      <c r="AB1032" s="1" t="s">
        <v>14</v>
      </c>
      <c r="AC1032" s="1" t="s">
        <v>20</v>
      </c>
      <c r="AD1032" s="1">
        <v>11</v>
      </c>
      <c r="AE1032" s="1">
        <v>10</v>
      </c>
      <c r="AF1032" s="1">
        <v>0.8</v>
      </c>
      <c r="AG1032" s="1">
        <v>0.88</v>
      </c>
      <c r="AH1032" s="1">
        <v>0</v>
      </c>
      <c r="AI1032" s="1">
        <v>0</v>
      </c>
      <c r="AJ1032" s="1">
        <f t="shared" si="84"/>
        <v>0</v>
      </c>
      <c r="AK1032" s="1">
        <f>D95</f>
        <v>0</v>
      </c>
      <c r="AL1032" s="1">
        <f>D101</f>
        <v>0</v>
      </c>
      <c r="AM1032" s="1">
        <f t="shared" si="85"/>
        <v>0</v>
      </c>
      <c r="AN1032" s="1">
        <f t="shared" si="86"/>
        <v>0</v>
      </c>
      <c r="AO1032" s="1">
        <f t="shared" si="87"/>
        <v>0</v>
      </c>
      <c r="AP1032" t="b" cm="1">
        <f t="array" ref="AP1032">INDEX($AU$8:$BB$25,6*(R1032-1)+MATCH(AB1032,$AS$8:$AS$13,0),MATCH(O1032,$AU$7:$BB$7,0))</f>
        <v>1</v>
      </c>
    </row>
    <row r="1033" spans="15:42" ht="14.25" x14ac:dyDescent="0.45">
      <c r="O1033" s="43" t="s">
        <v>36</v>
      </c>
      <c r="P1033" s="43">
        <v>3</v>
      </c>
      <c r="Q1033" s="43">
        <v>15</v>
      </c>
      <c r="R1033" s="43">
        <v>3</v>
      </c>
      <c r="S1033" s="45"/>
      <c r="T1033" t="b">
        <f>(S1031+S1032+S1033)=U4</f>
        <v>0</v>
      </c>
      <c r="X1033" s="1">
        <f t="shared" si="88"/>
        <v>0</v>
      </c>
      <c r="Y1033" s="48">
        <v>0</v>
      </c>
      <c r="AA1033" s="1">
        <v>2</v>
      </c>
      <c r="AB1033" s="1" t="s">
        <v>14</v>
      </c>
      <c r="AC1033" s="1" t="s">
        <v>20</v>
      </c>
      <c r="AD1033" s="1">
        <v>11</v>
      </c>
      <c r="AE1033" s="1">
        <v>10</v>
      </c>
      <c r="AF1033" s="1">
        <v>0.8</v>
      </c>
      <c r="AG1033" s="1">
        <v>0.88</v>
      </c>
      <c r="AH1033" s="1">
        <v>0</v>
      </c>
      <c r="AI1033" s="1">
        <v>0</v>
      </c>
      <c r="AJ1033" s="1">
        <f t="shared" ref="AJ1033:AJ1039" si="89">SUMIFS(AH$8:AH$1039,$O$8:$O$1039,O1033,$AB$8:$AB$1039,AB1033,$R$8:$R$1039,R1033,$AA$8:$AA$1039,"&lt;="&amp;AA1033)</f>
        <v>0</v>
      </c>
      <c r="AK1033" s="1">
        <f>E95</f>
        <v>0</v>
      </c>
      <c r="AL1033" s="1">
        <f>E101</f>
        <v>0</v>
      </c>
      <c r="AM1033" s="1">
        <f t="shared" ref="AM1033:AM1039" si="90">MAX(0,AJ1033-AK1033)</f>
        <v>0</v>
      </c>
      <c r="AN1033" s="1">
        <f t="shared" ref="AN1033:AN1039" si="91">IF(AM1033=0,AH1033,IF(AM1033&gt;=AH1033,0,AH1033-AM1033))</f>
        <v>0</v>
      </c>
      <c r="AO1033" s="1">
        <f t="shared" ref="AO1033:AO1039" si="92">IF(AM1033&gt;=AH1033,AI1033,AI1033*AM1033/AH1033)</f>
        <v>0</v>
      </c>
      <c r="AP1033" t="b" cm="1">
        <f t="array" ref="AP1033">INDEX($AU$8:$BB$25,6*(R1033-1)+MATCH(AB1033,$AS$8:$AS$13,0),MATCH(O1033,$AU$7:$BB$7,0))</f>
        <v>1</v>
      </c>
    </row>
    <row r="1034" spans="15:42" ht="14.25" x14ac:dyDescent="0.45">
      <c r="O1034" s="43" t="s">
        <v>36</v>
      </c>
      <c r="P1034" s="43">
        <v>3</v>
      </c>
      <c r="Q1034" s="43">
        <v>16</v>
      </c>
      <c r="R1034" s="43">
        <v>1</v>
      </c>
      <c r="S1034" s="45"/>
      <c r="T1034" t="b">
        <f>(S1034+S1035+S1036)=U4</f>
        <v>0</v>
      </c>
      <c r="X1034" s="1">
        <f t="shared" si="88"/>
        <v>0</v>
      </c>
      <c r="Y1034" s="48">
        <v>0</v>
      </c>
      <c r="AA1034" s="1">
        <v>4</v>
      </c>
      <c r="AB1034" s="1" t="s">
        <v>13</v>
      </c>
      <c r="AC1034" s="1" t="s">
        <v>19</v>
      </c>
      <c r="AD1034" s="1">
        <v>25</v>
      </c>
      <c r="AE1034" s="1">
        <v>20</v>
      </c>
      <c r="AF1034" s="1">
        <v>0.8</v>
      </c>
      <c r="AG1034" s="1">
        <v>0.86</v>
      </c>
      <c r="AH1034" s="1">
        <v>0</v>
      </c>
      <c r="AI1034" s="1">
        <v>0</v>
      </c>
      <c r="AJ1034" s="1">
        <f t="shared" si="89"/>
        <v>0</v>
      </c>
      <c r="AK1034" s="1">
        <f>C94</f>
        <v>0</v>
      </c>
      <c r="AL1034" s="1">
        <f>C100</f>
        <v>0</v>
      </c>
      <c r="AM1034" s="1">
        <f t="shared" si="90"/>
        <v>0</v>
      </c>
      <c r="AN1034" s="1">
        <f t="shared" si="91"/>
        <v>0</v>
      </c>
      <c r="AO1034" s="1">
        <f t="shared" si="92"/>
        <v>0</v>
      </c>
      <c r="AP1034" t="b" cm="1">
        <f t="array" ref="AP1034">INDEX($AU$8:$BB$25,6*(R1034-1)+MATCH(AB1034,$AS$8:$AS$13,0),MATCH(O1034,$AU$7:$BB$7,0))</f>
        <v>1</v>
      </c>
    </row>
    <row r="1035" spans="15:42" ht="14.25" x14ac:dyDescent="0.45">
      <c r="O1035" s="43" t="s">
        <v>36</v>
      </c>
      <c r="P1035" s="43">
        <v>3</v>
      </c>
      <c r="Q1035" s="43">
        <v>16</v>
      </c>
      <c r="R1035" s="43">
        <v>2</v>
      </c>
      <c r="S1035" s="45"/>
      <c r="T1035" t="b">
        <f>(S1034+S1035+S1036)=U4</f>
        <v>0</v>
      </c>
      <c r="X1035" s="1">
        <f t="shared" si="88"/>
        <v>0</v>
      </c>
      <c r="Y1035" s="48">
        <v>0</v>
      </c>
      <c r="AA1035" s="1">
        <v>4</v>
      </c>
      <c r="AB1035" s="1" t="s">
        <v>13</v>
      </c>
      <c r="AC1035" s="1" t="s">
        <v>19</v>
      </c>
      <c r="AD1035" s="1">
        <v>25</v>
      </c>
      <c r="AE1035" s="1">
        <v>20</v>
      </c>
      <c r="AF1035" s="1">
        <v>0.8</v>
      </c>
      <c r="AG1035" s="1">
        <v>0.86</v>
      </c>
      <c r="AH1035" s="1">
        <v>0</v>
      </c>
      <c r="AI1035" s="1">
        <v>0</v>
      </c>
      <c r="AJ1035" s="1">
        <f t="shared" si="89"/>
        <v>0</v>
      </c>
      <c r="AK1035" s="1">
        <f>D94</f>
        <v>0</v>
      </c>
      <c r="AL1035" s="1">
        <f>D100</f>
        <v>0</v>
      </c>
      <c r="AM1035" s="1">
        <f t="shared" si="90"/>
        <v>0</v>
      </c>
      <c r="AN1035" s="1">
        <f t="shared" si="91"/>
        <v>0</v>
      </c>
      <c r="AO1035" s="1">
        <f t="shared" si="92"/>
        <v>0</v>
      </c>
      <c r="AP1035" t="b" cm="1">
        <f t="array" ref="AP1035">INDEX($AU$8:$BB$25,6*(R1035-1)+MATCH(AB1035,$AS$8:$AS$13,0),MATCH(O1035,$AU$7:$BB$7,0))</f>
        <v>1</v>
      </c>
    </row>
    <row r="1036" spans="15:42" ht="14.25" x14ac:dyDescent="0.45">
      <c r="O1036" s="43" t="s">
        <v>36</v>
      </c>
      <c r="P1036" s="43">
        <v>3</v>
      </c>
      <c r="Q1036" s="43">
        <v>16</v>
      </c>
      <c r="R1036" s="43">
        <v>3</v>
      </c>
      <c r="S1036" s="45"/>
      <c r="T1036" t="b">
        <f>(S1034+S1035+S1036)=U4</f>
        <v>0</v>
      </c>
      <c r="X1036" s="1">
        <f t="shared" si="88"/>
        <v>0</v>
      </c>
      <c r="Y1036" s="48">
        <v>0</v>
      </c>
      <c r="AA1036" s="1">
        <v>4</v>
      </c>
      <c r="AB1036" s="1" t="s">
        <v>13</v>
      </c>
      <c r="AC1036" s="1" t="s">
        <v>19</v>
      </c>
      <c r="AD1036" s="1">
        <v>25</v>
      </c>
      <c r="AE1036" s="1">
        <v>20</v>
      </c>
      <c r="AF1036" s="1">
        <v>0.8</v>
      </c>
      <c r="AG1036" s="1">
        <v>0.86</v>
      </c>
      <c r="AH1036" s="1">
        <v>0</v>
      </c>
      <c r="AI1036" s="1">
        <v>0</v>
      </c>
      <c r="AJ1036" s="1">
        <f t="shared" si="89"/>
        <v>0</v>
      </c>
      <c r="AK1036" s="1">
        <f>E94</f>
        <v>0</v>
      </c>
      <c r="AL1036" s="1">
        <f>E100</f>
        <v>0</v>
      </c>
      <c r="AM1036" s="1">
        <f t="shared" si="90"/>
        <v>0</v>
      </c>
      <c r="AN1036" s="1">
        <f t="shared" si="91"/>
        <v>0</v>
      </c>
      <c r="AO1036" s="1">
        <f t="shared" si="92"/>
        <v>0</v>
      </c>
      <c r="AP1036" t="b" cm="1">
        <f t="array" ref="AP1036">INDEX($AU$8:$BB$25,6*(R1036-1)+MATCH(AB1036,$AS$8:$AS$13,0),MATCH(O1036,$AU$7:$BB$7,0))</f>
        <v>1</v>
      </c>
    </row>
    <row r="1037" spans="15:42" ht="14.25" x14ac:dyDescent="0.45">
      <c r="O1037" s="43" t="s">
        <v>36</v>
      </c>
      <c r="P1037" s="43">
        <v>3</v>
      </c>
      <c r="Q1037" s="43">
        <v>17</v>
      </c>
      <c r="R1037" s="43">
        <v>1</v>
      </c>
      <c r="S1037" s="45"/>
      <c r="T1037" t="b">
        <f>(S1037+S1038+S1039)=U4</f>
        <v>0</v>
      </c>
      <c r="X1037" s="1">
        <f t="shared" si="88"/>
        <v>0</v>
      </c>
      <c r="Y1037" s="48">
        <v>0</v>
      </c>
      <c r="AA1037" s="1">
        <v>1</v>
      </c>
      <c r="AB1037" s="1" t="s">
        <v>16</v>
      </c>
      <c r="AC1037" s="1" t="s">
        <v>22</v>
      </c>
      <c r="AD1037" s="1">
        <v>14</v>
      </c>
      <c r="AE1037" s="1">
        <v>13</v>
      </c>
      <c r="AF1037" s="1">
        <v>0.8</v>
      </c>
      <c r="AG1037" s="1">
        <v>0.9</v>
      </c>
      <c r="AH1037" s="1">
        <v>0</v>
      </c>
      <c r="AI1037" s="1">
        <v>0</v>
      </c>
      <c r="AJ1037" s="1">
        <f t="shared" si="89"/>
        <v>0</v>
      </c>
      <c r="AK1037" s="1">
        <f>C97</f>
        <v>0</v>
      </c>
      <c r="AL1037" s="1">
        <f>C103</f>
        <v>0</v>
      </c>
      <c r="AM1037" s="1">
        <f t="shared" si="90"/>
        <v>0</v>
      </c>
      <c r="AN1037" s="1">
        <f t="shared" si="91"/>
        <v>0</v>
      </c>
      <c r="AO1037" s="1">
        <f t="shared" si="92"/>
        <v>0</v>
      </c>
      <c r="AP1037" t="b" cm="1">
        <f t="array" ref="AP1037">INDEX($AU$8:$BB$25,6*(R1037-1)+MATCH(AB1037,$AS$8:$AS$13,0),MATCH(O1037,$AU$7:$BB$7,0))</f>
        <v>1</v>
      </c>
    </row>
    <row r="1038" spans="15:42" ht="14.25" x14ac:dyDescent="0.45">
      <c r="O1038" s="43" t="s">
        <v>36</v>
      </c>
      <c r="P1038" s="43">
        <v>3</v>
      </c>
      <c r="Q1038" s="43">
        <v>17</v>
      </c>
      <c r="R1038" s="43">
        <v>2</v>
      </c>
      <c r="S1038" s="45"/>
      <c r="T1038" t="b">
        <f>(S1037+S1038+S1039)=U4</f>
        <v>0</v>
      </c>
      <c r="X1038" s="1">
        <f t="shared" si="88"/>
        <v>0</v>
      </c>
      <c r="Y1038" s="48">
        <v>0</v>
      </c>
      <c r="AA1038" s="1">
        <v>1</v>
      </c>
      <c r="AB1038" s="1" t="s">
        <v>16</v>
      </c>
      <c r="AC1038" s="1" t="s">
        <v>22</v>
      </c>
      <c r="AD1038" s="1">
        <v>14</v>
      </c>
      <c r="AE1038" s="1">
        <v>13</v>
      </c>
      <c r="AF1038" s="1">
        <v>0.8</v>
      </c>
      <c r="AG1038" s="1">
        <v>0.9</v>
      </c>
      <c r="AH1038" s="1">
        <v>0</v>
      </c>
      <c r="AI1038" s="1">
        <v>0</v>
      </c>
      <c r="AJ1038" s="1">
        <f t="shared" si="89"/>
        <v>0</v>
      </c>
      <c r="AK1038" s="1">
        <f>D97</f>
        <v>0</v>
      </c>
      <c r="AL1038" s="1">
        <f>D103</f>
        <v>0</v>
      </c>
      <c r="AM1038" s="1">
        <f t="shared" si="90"/>
        <v>0</v>
      </c>
      <c r="AN1038" s="1">
        <f t="shared" si="91"/>
        <v>0</v>
      </c>
      <c r="AO1038" s="1">
        <f t="shared" si="92"/>
        <v>0</v>
      </c>
      <c r="AP1038" t="b" cm="1">
        <f t="array" ref="AP1038">INDEX($AU$8:$BB$25,6*(R1038-1)+MATCH(AB1038,$AS$8:$AS$13,0),MATCH(O1038,$AU$7:$BB$7,0))</f>
        <v>1</v>
      </c>
    </row>
    <row r="1039" spans="15:42" ht="14.25" x14ac:dyDescent="0.45">
      <c r="O1039" s="43" t="s">
        <v>36</v>
      </c>
      <c r="P1039" s="43">
        <v>3</v>
      </c>
      <c r="Q1039" s="43">
        <v>17</v>
      </c>
      <c r="R1039" s="43">
        <v>3</v>
      </c>
      <c r="S1039" s="45"/>
      <c r="T1039" t="b">
        <f>(S1037+S1038+S1039)=U4</f>
        <v>0</v>
      </c>
      <c r="X1039" s="1">
        <f t="shared" si="88"/>
        <v>0</v>
      </c>
      <c r="Y1039" s="48">
        <v>0</v>
      </c>
      <c r="AA1039" s="1">
        <v>1</v>
      </c>
      <c r="AB1039" s="1" t="s">
        <v>16</v>
      </c>
      <c r="AC1039" s="1" t="s">
        <v>22</v>
      </c>
      <c r="AD1039" s="1">
        <v>14</v>
      </c>
      <c r="AE1039" s="1">
        <v>13</v>
      </c>
      <c r="AF1039" s="1">
        <v>0.8</v>
      </c>
      <c r="AG1039" s="1">
        <v>0.9</v>
      </c>
      <c r="AH1039" s="1">
        <v>0</v>
      </c>
      <c r="AI1039" s="1">
        <v>0</v>
      </c>
      <c r="AJ1039" s="1">
        <f t="shared" si="89"/>
        <v>0</v>
      </c>
      <c r="AK1039" s="1">
        <f>E97</f>
        <v>0</v>
      </c>
      <c r="AL1039" s="1">
        <f>E103</f>
        <v>0</v>
      </c>
      <c r="AM1039" s="1">
        <f t="shared" si="90"/>
        <v>0</v>
      </c>
      <c r="AN1039" s="1">
        <f t="shared" si="91"/>
        <v>0</v>
      </c>
      <c r="AO1039" s="1">
        <f t="shared" si="92"/>
        <v>0</v>
      </c>
      <c r="AP1039" t="b" cm="1">
        <f t="array" ref="AP1039">INDEX($AU$8:$BB$25,6*(R1039-1)+MATCH(AB1039,$AS$8:$AS$13,0),MATCH(O1039,$AU$7:$BB$7,0))</f>
        <v>1</v>
      </c>
    </row>
  </sheetData>
  <autoFilter ref="AA7:AO1039" xr:uid="{320EA1F9-5CD5-41EC-966D-85738F937935}"/>
  <mergeCells count="44">
    <mergeCell ref="A92:A103"/>
    <mergeCell ref="A68:A79"/>
    <mergeCell ref="A80:A91"/>
    <mergeCell ref="A44:A55"/>
    <mergeCell ref="A56:A67"/>
    <mergeCell ref="A32:A43"/>
    <mergeCell ref="O6:S6"/>
    <mergeCell ref="A8:A19"/>
    <mergeCell ref="C6:E6"/>
    <mergeCell ref="F6:H6"/>
    <mergeCell ref="F25:G25"/>
    <mergeCell ref="F24:G24"/>
    <mergeCell ref="F34:G34"/>
    <mergeCell ref="F35:G35"/>
    <mergeCell ref="F36:G36"/>
    <mergeCell ref="F37:G37"/>
    <mergeCell ref="F1:H1"/>
    <mergeCell ref="A1:C3"/>
    <mergeCell ref="F23:G23"/>
    <mergeCell ref="F22:G22"/>
    <mergeCell ref="A20:A31"/>
    <mergeCell ref="F95:G95"/>
    <mergeCell ref="F96:G96"/>
    <mergeCell ref="F97:G97"/>
    <mergeCell ref="F72:G72"/>
    <mergeCell ref="F73:G73"/>
    <mergeCell ref="F82:G82"/>
    <mergeCell ref="F83:G83"/>
    <mergeCell ref="F84:G84"/>
    <mergeCell ref="V6:V7"/>
    <mergeCell ref="AP6:AP7"/>
    <mergeCell ref="AU5:BB5"/>
    <mergeCell ref="F85:G85"/>
    <mergeCell ref="F94:G94"/>
    <mergeCell ref="F59:G59"/>
    <mergeCell ref="F60:G60"/>
    <mergeCell ref="F61:G61"/>
    <mergeCell ref="F70:G70"/>
    <mergeCell ref="F71:G71"/>
    <mergeCell ref="F46:G46"/>
    <mergeCell ref="F47:G47"/>
    <mergeCell ref="F48:G48"/>
    <mergeCell ref="F49:G49"/>
    <mergeCell ref="F58:G58"/>
  </mergeCells>
  <conditionalFormatting sqref="B4">
    <cfRule type="expression" dxfId="61" priority="1">
      <formula>B4</formula>
    </cfRule>
    <cfRule type="expression" dxfId="60" priority="2">
      <formula>NOT(B4)</formula>
    </cfRule>
  </conditionalFormatting>
  <conditionalFormatting sqref="F8:H8">
    <cfRule type="expression" dxfId="59" priority="29">
      <formula>F8&lt;=F$3</formula>
    </cfRule>
    <cfRule type="expression" dxfId="58" priority="30">
      <formula>F8&gt;F$3</formula>
    </cfRule>
  </conditionalFormatting>
  <conditionalFormatting sqref="F20:H20">
    <cfRule type="expression" dxfId="57" priority="27">
      <formula>F20&lt;=F$3</formula>
    </cfRule>
    <cfRule type="expression" dxfId="56" priority="28">
      <formula>F20&gt;F$3</formula>
    </cfRule>
  </conditionalFormatting>
  <conditionalFormatting sqref="F32:H32">
    <cfRule type="expression" dxfId="55" priority="25">
      <formula>F32&lt;=F$3</formula>
    </cfRule>
    <cfRule type="expression" dxfId="54" priority="26">
      <formula>F32&gt;F$3</formula>
    </cfRule>
  </conditionalFormatting>
  <conditionalFormatting sqref="F44:H44">
    <cfRule type="expression" dxfId="53" priority="23">
      <formula>F44&lt;=F$3</formula>
    </cfRule>
    <cfRule type="expression" dxfId="52" priority="24">
      <formula>F44&gt;F$3</formula>
    </cfRule>
  </conditionalFormatting>
  <conditionalFormatting sqref="F56:H56">
    <cfRule type="expression" dxfId="51" priority="21">
      <formula>F56&lt;=F$3</formula>
    </cfRule>
    <cfRule type="expression" dxfId="50" priority="22">
      <formula>F56&gt;F$3</formula>
    </cfRule>
  </conditionalFormatting>
  <conditionalFormatting sqref="F68:H68">
    <cfRule type="expression" dxfId="49" priority="19">
      <formula>F68&lt;=F$3</formula>
    </cfRule>
    <cfRule type="expression" dxfId="48" priority="20">
      <formula>F68&gt;F$3</formula>
    </cfRule>
  </conditionalFormatting>
  <conditionalFormatting sqref="F80:H80">
    <cfRule type="expression" dxfId="47" priority="17">
      <formula>F80&lt;=F$3</formula>
    </cfRule>
    <cfRule type="expression" dxfId="46" priority="18">
      <formula>F80&gt;F$3</formula>
    </cfRule>
  </conditionalFormatting>
  <conditionalFormatting sqref="F92:H92">
    <cfRule type="expression" dxfId="45" priority="15">
      <formula>F92&lt;=F$3</formula>
    </cfRule>
    <cfRule type="expression" dxfId="44" priority="16">
      <formula>F92&gt;F$3</formula>
    </cfRule>
  </conditionalFormatting>
  <conditionalFormatting sqref="K7">
    <cfRule type="expression" dxfId="43" priority="3">
      <formula>K7</formula>
    </cfRule>
    <cfRule type="expression" dxfId="42" priority="4">
      <formula>NOT(K7)</formula>
    </cfRule>
  </conditionalFormatting>
  <conditionalFormatting sqref="T8:T1039">
    <cfRule type="expression" dxfId="41" priority="13">
      <formula>T8</formula>
    </cfRule>
    <cfRule type="expression" dxfId="40" priority="14">
      <formula>NOT(T8)</formula>
    </cfRule>
  </conditionalFormatting>
  <conditionalFormatting sqref="V8">
    <cfRule type="expression" dxfId="39" priority="11">
      <formula>V8</formula>
    </cfRule>
    <cfRule type="expression" dxfId="38" priority="12">
      <formula>NOT(V8)</formula>
    </cfRule>
  </conditionalFormatting>
  <conditionalFormatting sqref="AP3">
    <cfRule type="expression" dxfId="37" priority="5">
      <formula>AP3</formula>
    </cfRule>
    <cfRule type="expression" dxfId="36" priority="6">
      <formula>NOT(AP3)</formula>
    </cfRule>
  </conditionalFormatting>
  <conditionalFormatting sqref="AP8:AP1039">
    <cfRule type="expression" dxfId="35" priority="9">
      <formula>AP8</formula>
    </cfRule>
    <cfRule type="expression" dxfId="34" priority="10">
      <formula>NOT(AP8)</formula>
    </cfRule>
  </conditionalFormatting>
  <conditionalFormatting sqref="AU8:BB25">
    <cfRule type="expression" dxfId="33" priority="7">
      <formula>AU8</formula>
    </cfRule>
    <cfRule type="expression" dxfId="32" priority="8">
      <formula>NOT(AU8)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563D7-A474-4959-8C4E-DFB909871663}">
  <dimension ref="A1:O45"/>
  <sheetViews>
    <sheetView workbookViewId="0">
      <selection activeCell="N50" sqref="N50:N51"/>
    </sheetView>
  </sheetViews>
  <sheetFormatPr defaultRowHeight="14.25" x14ac:dyDescent="0.45"/>
  <cols>
    <col min="3" max="3" width="9.796875" bestFit="1" customWidth="1"/>
    <col min="10" max="10" width="10.19921875" bestFit="1" customWidth="1"/>
  </cols>
  <sheetData>
    <row r="1" spans="1:15" x14ac:dyDescent="0.45">
      <c r="A1" t="s">
        <v>37</v>
      </c>
      <c r="I1" t="s">
        <v>143</v>
      </c>
    </row>
    <row r="2" spans="1:15" x14ac:dyDescent="0.45">
      <c r="A2" s="1" t="s">
        <v>52</v>
      </c>
      <c r="B2" s="1" t="s">
        <v>130</v>
      </c>
      <c r="C2" s="1" t="s">
        <v>133</v>
      </c>
      <c r="G2" t="s">
        <v>153</v>
      </c>
      <c r="H2" t="s">
        <v>154</v>
      </c>
      <c r="I2" s="12" t="s">
        <v>5</v>
      </c>
      <c r="J2" s="50" t="s">
        <v>51</v>
      </c>
      <c r="K2" s="15" t="s">
        <v>52</v>
      </c>
      <c r="L2" s="15" t="s">
        <v>53</v>
      </c>
      <c r="M2" s="15" t="s">
        <v>54</v>
      </c>
      <c r="N2" s="15" t="s">
        <v>55</v>
      </c>
      <c r="O2" s="15" t="s">
        <v>56</v>
      </c>
    </row>
    <row r="3" spans="1:15" x14ac:dyDescent="0.45">
      <c r="A3" s="12" t="s">
        <v>10</v>
      </c>
      <c r="B3" s="12">
        <v>6.78</v>
      </c>
      <c r="C3" s="47">
        <v>4500000</v>
      </c>
      <c r="D3" s="35">
        <v>0.78</v>
      </c>
      <c r="G3" s="1">
        <v>1</v>
      </c>
      <c r="H3" t="str">
        <f>I3&amp;J3</f>
        <v>18</v>
      </c>
      <c r="I3" s="57">
        <v>1</v>
      </c>
      <c r="J3" s="51">
        <v>8</v>
      </c>
      <c r="K3" s="19" t="s">
        <v>10</v>
      </c>
      <c r="L3" s="19">
        <v>18</v>
      </c>
      <c r="M3" s="19" t="s">
        <v>17</v>
      </c>
      <c r="N3" s="19">
        <v>16</v>
      </c>
      <c r="O3" s="18">
        <f t="shared" ref="O3:O45" si="0">L3/N3</f>
        <v>1.125</v>
      </c>
    </row>
    <row r="4" spans="1:15" x14ac:dyDescent="0.45">
      <c r="A4" s="12" t="s">
        <v>12</v>
      </c>
      <c r="B4" s="12">
        <v>3.96</v>
      </c>
      <c r="C4" s="47">
        <v>6000000</v>
      </c>
      <c r="D4" s="35">
        <v>0.76</v>
      </c>
      <c r="G4" s="1">
        <v>2</v>
      </c>
      <c r="H4" t="str">
        <f t="shared" ref="H4:H45" si="1">I4&amp;J4</f>
        <v>19</v>
      </c>
      <c r="I4" s="57">
        <v>1</v>
      </c>
      <c r="J4" s="51">
        <v>9</v>
      </c>
      <c r="K4" s="19" t="s">
        <v>10</v>
      </c>
      <c r="L4" s="19">
        <v>16</v>
      </c>
      <c r="M4" s="19" t="s">
        <v>17</v>
      </c>
      <c r="N4" s="19">
        <v>13</v>
      </c>
      <c r="O4" s="18">
        <f t="shared" si="0"/>
        <v>1.2307692307692308</v>
      </c>
    </row>
    <row r="5" spans="1:15" x14ac:dyDescent="0.45">
      <c r="A5" s="12" t="s">
        <v>13</v>
      </c>
      <c r="B5" s="12">
        <v>5.82</v>
      </c>
      <c r="C5" s="47">
        <v>2200000</v>
      </c>
      <c r="D5" s="35">
        <v>0.8</v>
      </c>
      <c r="G5" s="1">
        <v>3</v>
      </c>
      <c r="H5" t="str">
        <f t="shared" si="1"/>
        <v>14</v>
      </c>
      <c r="I5" s="57">
        <v>1</v>
      </c>
      <c r="J5" s="51">
        <v>4</v>
      </c>
      <c r="K5" s="19" t="s">
        <v>10</v>
      </c>
      <c r="L5" s="19">
        <v>20</v>
      </c>
      <c r="M5" s="19" t="s">
        <v>17</v>
      </c>
      <c r="N5" s="19">
        <v>16</v>
      </c>
      <c r="O5" s="18">
        <f t="shared" si="0"/>
        <v>1.25</v>
      </c>
    </row>
    <row r="6" spans="1:15" x14ac:dyDescent="0.45">
      <c r="A6" s="12" t="s">
        <v>14</v>
      </c>
      <c r="B6" s="12">
        <v>5.61</v>
      </c>
      <c r="C6" s="47">
        <v>4000000</v>
      </c>
      <c r="D6" s="35">
        <v>0.8</v>
      </c>
      <c r="G6" s="1">
        <v>1</v>
      </c>
      <c r="H6" t="str">
        <f t="shared" si="1"/>
        <v>22</v>
      </c>
      <c r="I6" s="58">
        <v>2</v>
      </c>
      <c r="J6" s="51">
        <v>2</v>
      </c>
      <c r="K6" s="19" t="s">
        <v>12</v>
      </c>
      <c r="L6" s="19">
        <v>20</v>
      </c>
      <c r="M6" s="19" t="s">
        <v>18</v>
      </c>
      <c r="N6" s="19">
        <v>18</v>
      </c>
      <c r="O6" s="18">
        <f t="shared" si="0"/>
        <v>1.1111111111111112</v>
      </c>
    </row>
    <row r="7" spans="1:15" x14ac:dyDescent="0.45">
      <c r="A7" s="12" t="s">
        <v>15</v>
      </c>
      <c r="B7" s="12">
        <v>4.6500000000000004</v>
      </c>
      <c r="C7" s="47">
        <v>3500000</v>
      </c>
      <c r="D7" s="35">
        <v>0.76</v>
      </c>
      <c r="G7" s="1">
        <v>2</v>
      </c>
      <c r="H7" t="str">
        <f t="shared" si="1"/>
        <v>24</v>
      </c>
      <c r="I7" s="58">
        <v>2</v>
      </c>
      <c r="J7" s="51">
        <v>4</v>
      </c>
      <c r="K7" s="19" t="s">
        <v>12</v>
      </c>
      <c r="L7" s="19">
        <v>25</v>
      </c>
      <c r="M7" s="19" t="s">
        <v>18</v>
      </c>
      <c r="N7" s="19">
        <v>19</v>
      </c>
      <c r="O7" s="18">
        <f t="shared" si="0"/>
        <v>1.3157894736842106</v>
      </c>
    </row>
    <row r="8" spans="1:15" x14ac:dyDescent="0.45">
      <c r="A8" s="12" t="s">
        <v>16</v>
      </c>
      <c r="B8" s="12">
        <v>3.68</v>
      </c>
      <c r="C8" s="47">
        <v>6000000</v>
      </c>
      <c r="D8" s="35">
        <v>0.8</v>
      </c>
      <c r="G8" s="1">
        <v>3</v>
      </c>
      <c r="H8" t="str">
        <f t="shared" si="1"/>
        <v>25</v>
      </c>
      <c r="I8" s="58">
        <v>2</v>
      </c>
      <c r="J8" s="51">
        <v>5</v>
      </c>
      <c r="K8" s="19" t="s">
        <v>12</v>
      </c>
      <c r="L8" s="19">
        <v>15</v>
      </c>
      <c r="M8" s="19" t="s">
        <v>18</v>
      </c>
      <c r="N8" s="19">
        <v>11</v>
      </c>
      <c r="O8" s="18">
        <f t="shared" si="0"/>
        <v>1.3636363636363635</v>
      </c>
    </row>
    <row r="9" spans="1:15" x14ac:dyDescent="0.45">
      <c r="A9" s="12" t="s">
        <v>17</v>
      </c>
      <c r="B9" s="13">
        <v>6.93</v>
      </c>
      <c r="C9" s="47">
        <v>6000000</v>
      </c>
      <c r="D9" s="35">
        <v>0.84</v>
      </c>
      <c r="G9" s="1">
        <v>4</v>
      </c>
      <c r="H9" t="str">
        <f t="shared" si="1"/>
        <v>28</v>
      </c>
      <c r="I9" s="58">
        <v>2</v>
      </c>
      <c r="J9" s="51">
        <v>8</v>
      </c>
      <c r="K9" s="19" t="s">
        <v>12</v>
      </c>
      <c r="L9" s="19">
        <v>22</v>
      </c>
      <c r="M9" s="19" t="s">
        <v>18</v>
      </c>
      <c r="N9" s="19">
        <v>16</v>
      </c>
      <c r="O9" s="18">
        <f t="shared" si="0"/>
        <v>1.375</v>
      </c>
    </row>
    <row r="10" spans="1:15" x14ac:dyDescent="0.45">
      <c r="A10" s="12" t="s">
        <v>18</v>
      </c>
      <c r="B10" s="13">
        <v>3.72</v>
      </c>
      <c r="C10" s="47">
        <v>8000000</v>
      </c>
      <c r="D10" s="35">
        <v>0.81</v>
      </c>
      <c r="G10" s="1">
        <v>1</v>
      </c>
      <c r="H10" t="str">
        <f t="shared" si="1"/>
        <v>31</v>
      </c>
      <c r="I10" s="59">
        <v>3</v>
      </c>
      <c r="J10" s="52">
        <v>1</v>
      </c>
      <c r="K10" s="19" t="s">
        <v>13</v>
      </c>
      <c r="L10" s="19">
        <v>21</v>
      </c>
      <c r="M10" s="19" t="s">
        <v>19</v>
      </c>
      <c r="N10" s="19">
        <v>20</v>
      </c>
      <c r="O10" s="29">
        <f t="shared" si="0"/>
        <v>1.05</v>
      </c>
    </row>
    <row r="11" spans="1:15" x14ac:dyDescent="0.45">
      <c r="A11" s="12" t="s">
        <v>19</v>
      </c>
      <c r="B11" s="13">
        <v>5.75</v>
      </c>
      <c r="C11" s="47">
        <v>3200000</v>
      </c>
      <c r="D11" s="35">
        <v>0.86</v>
      </c>
      <c r="G11" s="1">
        <v>2</v>
      </c>
      <c r="H11" t="str">
        <f t="shared" si="1"/>
        <v>314</v>
      </c>
      <c r="I11" s="59">
        <v>3</v>
      </c>
      <c r="J11" s="52">
        <v>14</v>
      </c>
      <c r="K11" s="19" t="s">
        <v>13</v>
      </c>
      <c r="L11" s="19">
        <v>12</v>
      </c>
      <c r="M11" s="19" t="s">
        <v>19</v>
      </c>
      <c r="N11" s="19">
        <v>11</v>
      </c>
      <c r="O11" s="29">
        <f t="shared" si="0"/>
        <v>1.0909090909090908</v>
      </c>
    </row>
    <row r="12" spans="1:15" x14ac:dyDescent="0.45">
      <c r="A12" s="12" t="s">
        <v>20</v>
      </c>
      <c r="B12" s="13">
        <v>5.74</v>
      </c>
      <c r="C12" s="47">
        <v>5500000</v>
      </c>
      <c r="D12" s="35">
        <v>0.88</v>
      </c>
      <c r="G12" s="1">
        <v>3</v>
      </c>
      <c r="H12" t="str">
        <f t="shared" si="1"/>
        <v>37</v>
      </c>
      <c r="I12" s="59">
        <v>3</v>
      </c>
      <c r="J12" s="52">
        <v>7</v>
      </c>
      <c r="K12" s="19" t="s">
        <v>13</v>
      </c>
      <c r="L12" s="19">
        <v>24</v>
      </c>
      <c r="M12" s="19" t="s">
        <v>19</v>
      </c>
      <c r="N12" s="19">
        <v>21</v>
      </c>
      <c r="O12" s="29">
        <f t="shared" si="0"/>
        <v>1.1428571428571428</v>
      </c>
    </row>
    <row r="13" spans="1:15" x14ac:dyDescent="0.45">
      <c r="A13" s="12" t="s">
        <v>21</v>
      </c>
      <c r="B13" s="13">
        <v>4.8</v>
      </c>
      <c r="C13" s="47">
        <v>5800000</v>
      </c>
      <c r="D13" s="35">
        <v>0.84</v>
      </c>
      <c r="G13" s="1">
        <v>4</v>
      </c>
      <c r="H13" t="str">
        <f t="shared" si="1"/>
        <v>316</v>
      </c>
      <c r="I13" s="59">
        <v>3</v>
      </c>
      <c r="J13" s="52">
        <v>16</v>
      </c>
      <c r="K13" s="19" t="s">
        <v>13</v>
      </c>
      <c r="L13" s="19">
        <v>25</v>
      </c>
      <c r="M13" s="19" t="s">
        <v>19</v>
      </c>
      <c r="N13" s="19">
        <v>20</v>
      </c>
      <c r="O13" s="29">
        <f t="shared" si="0"/>
        <v>1.25</v>
      </c>
    </row>
    <row r="14" spans="1:15" x14ac:dyDescent="0.45">
      <c r="A14" s="12" t="s">
        <v>22</v>
      </c>
      <c r="B14" s="13">
        <v>3.57</v>
      </c>
      <c r="C14" s="47">
        <v>8000000</v>
      </c>
      <c r="D14" s="35">
        <v>0.9</v>
      </c>
      <c r="G14" s="1">
        <v>5</v>
      </c>
      <c r="H14" t="str">
        <f t="shared" si="1"/>
        <v>38</v>
      </c>
      <c r="I14" s="59">
        <v>3</v>
      </c>
      <c r="J14" s="53">
        <v>8</v>
      </c>
      <c r="K14" s="19" t="s">
        <v>13</v>
      </c>
      <c r="L14" s="19">
        <v>19</v>
      </c>
      <c r="M14" s="19" t="s">
        <v>19</v>
      </c>
      <c r="N14" s="19">
        <v>13</v>
      </c>
      <c r="O14" s="49">
        <f t="shared" si="0"/>
        <v>1.4615384615384615</v>
      </c>
    </row>
    <row r="15" spans="1:15" x14ac:dyDescent="0.45">
      <c r="C15">
        <f>SUM(C2:C14)*3</f>
        <v>188100000</v>
      </c>
      <c r="G15" s="1">
        <v>1</v>
      </c>
      <c r="H15" t="str">
        <f t="shared" si="1"/>
        <v>36</v>
      </c>
      <c r="I15" s="59">
        <v>3</v>
      </c>
      <c r="J15" s="53">
        <v>6</v>
      </c>
      <c r="K15" s="19" t="s">
        <v>14</v>
      </c>
      <c r="L15" s="19">
        <v>12</v>
      </c>
      <c r="M15" s="19" t="s">
        <v>20</v>
      </c>
      <c r="N15" s="19">
        <v>11</v>
      </c>
      <c r="O15" s="49">
        <f t="shared" si="0"/>
        <v>1.0909090909090908</v>
      </c>
    </row>
    <row r="16" spans="1:15" x14ac:dyDescent="0.45">
      <c r="G16" s="1">
        <v>2</v>
      </c>
      <c r="H16" t="str">
        <f t="shared" si="1"/>
        <v>315</v>
      </c>
      <c r="I16" s="59">
        <v>3</v>
      </c>
      <c r="J16" s="53">
        <v>15</v>
      </c>
      <c r="K16" s="19" t="s">
        <v>14</v>
      </c>
      <c r="L16" s="19">
        <v>11</v>
      </c>
      <c r="M16" s="19" t="s">
        <v>20</v>
      </c>
      <c r="N16" s="19">
        <v>10</v>
      </c>
      <c r="O16" s="49">
        <f t="shared" si="0"/>
        <v>1.1000000000000001</v>
      </c>
    </row>
    <row r="17" spans="7:15" x14ac:dyDescent="0.45">
      <c r="G17" s="1">
        <v>3</v>
      </c>
      <c r="H17" t="str">
        <f t="shared" si="1"/>
        <v>39</v>
      </c>
      <c r="I17" s="59">
        <v>3</v>
      </c>
      <c r="J17" s="53">
        <v>9</v>
      </c>
      <c r="K17" s="19" t="s">
        <v>14</v>
      </c>
      <c r="L17" s="19">
        <v>15</v>
      </c>
      <c r="M17" s="19" t="s">
        <v>20</v>
      </c>
      <c r="N17" s="19">
        <v>13</v>
      </c>
      <c r="O17" s="49">
        <f t="shared" si="0"/>
        <v>1.1538461538461537</v>
      </c>
    </row>
    <row r="18" spans="7:15" x14ac:dyDescent="0.45">
      <c r="G18" s="1">
        <v>4</v>
      </c>
      <c r="H18" t="str">
        <f t="shared" si="1"/>
        <v>11</v>
      </c>
      <c r="I18" s="57">
        <v>1</v>
      </c>
      <c r="J18" s="54">
        <v>1</v>
      </c>
      <c r="K18" s="19" t="s">
        <v>14</v>
      </c>
      <c r="L18" s="19">
        <v>14</v>
      </c>
      <c r="M18" s="19" t="s">
        <v>20</v>
      </c>
      <c r="N18" s="19">
        <v>12</v>
      </c>
      <c r="O18" s="23">
        <f t="shared" si="0"/>
        <v>1.1666666666666667</v>
      </c>
    </row>
    <row r="19" spans="7:15" x14ac:dyDescent="0.45">
      <c r="G19" s="1">
        <v>5</v>
      </c>
      <c r="H19" t="str">
        <f t="shared" si="1"/>
        <v>310</v>
      </c>
      <c r="I19" s="59">
        <v>3</v>
      </c>
      <c r="J19" s="53">
        <v>10</v>
      </c>
      <c r="K19" s="19" t="s">
        <v>14</v>
      </c>
      <c r="L19" s="19">
        <v>24</v>
      </c>
      <c r="M19" s="19" t="s">
        <v>20</v>
      </c>
      <c r="N19" s="19">
        <v>20</v>
      </c>
      <c r="O19" s="49">
        <f t="shared" si="0"/>
        <v>1.2</v>
      </c>
    </row>
    <row r="20" spans="7:15" x14ac:dyDescent="0.45">
      <c r="G20" s="1">
        <v>6</v>
      </c>
      <c r="H20" t="str">
        <f t="shared" si="1"/>
        <v>110</v>
      </c>
      <c r="I20" s="57">
        <v>1</v>
      </c>
      <c r="J20" s="54">
        <v>10</v>
      </c>
      <c r="K20" s="19" t="s">
        <v>14</v>
      </c>
      <c r="L20" s="19">
        <v>14</v>
      </c>
      <c r="M20" s="19" t="s">
        <v>20</v>
      </c>
      <c r="N20" s="19">
        <v>11</v>
      </c>
      <c r="O20" s="23">
        <f t="shared" si="0"/>
        <v>1.2727272727272727</v>
      </c>
    </row>
    <row r="21" spans="7:15" x14ac:dyDescent="0.45">
      <c r="G21" s="1">
        <v>7</v>
      </c>
      <c r="H21" t="str">
        <f t="shared" si="1"/>
        <v>16</v>
      </c>
      <c r="I21" s="57">
        <v>1</v>
      </c>
      <c r="J21" s="54">
        <v>6</v>
      </c>
      <c r="K21" s="19" t="s">
        <v>14</v>
      </c>
      <c r="L21" s="19">
        <v>27</v>
      </c>
      <c r="M21" s="19" t="s">
        <v>20</v>
      </c>
      <c r="N21" s="19">
        <v>21</v>
      </c>
      <c r="O21" s="23">
        <f t="shared" si="0"/>
        <v>1.2857142857142858</v>
      </c>
    </row>
    <row r="22" spans="7:15" x14ac:dyDescent="0.45">
      <c r="G22" s="1">
        <v>8</v>
      </c>
      <c r="H22" t="str">
        <f t="shared" si="1"/>
        <v>32</v>
      </c>
      <c r="I22" s="59">
        <v>3</v>
      </c>
      <c r="J22" s="53">
        <v>2</v>
      </c>
      <c r="K22" s="19" t="s">
        <v>14</v>
      </c>
      <c r="L22" s="19">
        <v>9</v>
      </c>
      <c r="M22" s="19" t="s">
        <v>20</v>
      </c>
      <c r="N22" s="19">
        <v>7</v>
      </c>
      <c r="O22" s="49">
        <f t="shared" si="0"/>
        <v>1.2857142857142858</v>
      </c>
    </row>
    <row r="23" spans="7:15" x14ac:dyDescent="0.45">
      <c r="G23" s="1">
        <v>9</v>
      </c>
      <c r="H23" t="str">
        <f t="shared" si="1"/>
        <v>17</v>
      </c>
      <c r="I23" s="57">
        <v>1</v>
      </c>
      <c r="J23" s="54">
        <v>7</v>
      </c>
      <c r="K23" s="19" t="s">
        <v>14</v>
      </c>
      <c r="L23" s="19">
        <v>17</v>
      </c>
      <c r="M23" s="19" t="s">
        <v>20</v>
      </c>
      <c r="N23" s="19">
        <v>13</v>
      </c>
      <c r="O23" s="23">
        <f t="shared" si="0"/>
        <v>1.3076923076923077</v>
      </c>
    </row>
    <row r="24" spans="7:15" x14ac:dyDescent="0.45">
      <c r="G24" s="1">
        <v>1</v>
      </c>
      <c r="H24" t="str">
        <f t="shared" si="1"/>
        <v>33</v>
      </c>
      <c r="I24" s="59">
        <v>3</v>
      </c>
      <c r="J24" s="53">
        <v>3</v>
      </c>
      <c r="K24" s="19" t="s">
        <v>15</v>
      </c>
      <c r="L24" s="19">
        <v>24</v>
      </c>
      <c r="M24" s="19" t="s">
        <v>21</v>
      </c>
      <c r="N24" s="19">
        <v>23</v>
      </c>
      <c r="O24" s="49">
        <f t="shared" si="0"/>
        <v>1.0434782608695652</v>
      </c>
    </row>
    <row r="25" spans="7:15" x14ac:dyDescent="0.45">
      <c r="G25" s="1">
        <v>2</v>
      </c>
      <c r="H25" t="str">
        <f t="shared" si="1"/>
        <v>211</v>
      </c>
      <c r="I25" s="58">
        <v>2</v>
      </c>
      <c r="J25" s="54">
        <v>11</v>
      </c>
      <c r="K25" s="19" t="s">
        <v>15</v>
      </c>
      <c r="L25" s="19">
        <v>20</v>
      </c>
      <c r="M25" s="19" t="s">
        <v>21</v>
      </c>
      <c r="N25" s="19">
        <v>19</v>
      </c>
      <c r="O25" s="23">
        <f t="shared" si="0"/>
        <v>1.0526315789473684</v>
      </c>
    </row>
    <row r="26" spans="7:15" x14ac:dyDescent="0.45">
      <c r="G26" s="1">
        <v>3</v>
      </c>
      <c r="H26" t="str">
        <f t="shared" si="1"/>
        <v>311</v>
      </c>
      <c r="I26" s="59">
        <v>3</v>
      </c>
      <c r="J26" s="53">
        <v>11</v>
      </c>
      <c r="K26" s="19" t="s">
        <v>15</v>
      </c>
      <c r="L26" s="19">
        <v>17</v>
      </c>
      <c r="M26" s="19" t="s">
        <v>21</v>
      </c>
      <c r="N26" s="19">
        <v>15</v>
      </c>
      <c r="O26" s="49">
        <f t="shared" si="0"/>
        <v>1.1333333333333333</v>
      </c>
    </row>
    <row r="27" spans="7:15" x14ac:dyDescent="0.45">
      <c r="G27" s="1">
        <v>4</v>
      </c>
      <c r="H27" t="str">
        <f t="shared" si="1"/>
        <v>29</v>
      </c>
      <c r="I27" s="58">
        <v>2</v>
      </c>
      <c r="J27" s="55">
        <v>9</v>
      </c>
      <c r="K27" s="19" t="s">
        <v>15</v>
      </c>
      <c r="L27" s="19">
        <v>7</v>
      </c>
      <c r="M27" s="19" t="s">
        <v>21</v>
      </c>
      <c r="N27" s="19">
        <v>6</v>
      </c>
      <c r="O27" s="24">
        <f t="shared" si="0"/>
        <v>1.1666666666666667</v>
      </c>
    </row>
    <row r="28" spans="7:15" x14ac:dyDescent="0.45">
      <c r="G28" s="1">
        <v>5</v>
      </c>
      <c r="H28" t="str">
        <f t="shared" si="1"/>
        <v>214</v>
      </c>
      <c r="I28" s="58">
        <v>2</v>
      </c>
      <c r="J28" s="56">
        <v>14</v>
      </c>
      <c r="K28" s="19" t="s">
        <v>15</v>
      </c>
      <c r="L28" s="19">
        <v>15</v>
      </c>
      <c r="M28" s="19" t="s">
        <v>21</v>
      </c>
      <c r="N28" s="19">
        <v>12</v>
      </c>
      <c r="O28" s="25">
        <f t="shared" si="0"/>
        <v>1.25</v>
      </c>
    </row>
    <row r="29" spans="7:15" x14ac:dyDescent="0.45">
      <c r="G29" s="1">
        <v>6</v>
      </c>
      <c r="H29" t="str">
        <f t="shared" si="1"/>
        <v>210</v>
      </c>
      <c r="I29" s="58">
        <v>2</v>
      </c>
      <c r="J29" s="51">
        <v>10</v>
      </c>
      <c r="K29" s="19" t="s">
        <v>15</v>
      </c>
      <c r="L29" s="19">
        <v>9</v>
      </c>
      <c r="M29" s="19" t="s">
        <v>21</v>
      </c>
      <c r="N29" s="19">
        <v>7</v>
      </c>
      <c r="O29" s="18">
        <f t="shared" si="0"/>
        <v>1.2857142857142858</v>
      </c>
    </row>
    <row r="30" spans="7:15" x14ac:dyDescent="0.45">
      <c r="G30" s="1">
        <v>7</v>
      </c>
      <c r="H30" t="str">
        <f t="shared" si="1"/>
        <v>215</v>
      </c>
      <c r="I30" s="58">
        <v>2</v>
      </c>
      <c r="J30" s="51">
        <v>15</v>
      </c>
      <c r="K30" s="19" t="s">
        <v>15</v>
      </c>
      <c r="L30" s="19">
        <v>13</v>
      </c>
      <c r="M30" s="19" t="s">
        <v>21</v>
      </c>
      <c r="N30" s="19">
        <v>10</v>
      </c>
      <c r="O30" s="18">
        <f t="shared" si="0"/>
        <v>1.3</v>
      </c>
    </row>
    <row r="31" spans="7:15" x14ac:dyDescent="0.45">
      <c r="G31" s="1">
        <v>8</v>
      </c>
      <c r="H31" t="str">
        <f t="shared" si="1"/>
        <v>213</v>
      </c>
      <c r="I31" s="58">
        <v>2</v>
      </c>
      <c r="J31" s="51">
        <v>13</v>
      </c>
      <c r="K31" s="19" t="s">
        <v>15</v>
      </c>
      <c r="L31" s="19">
        <v>12</v>
      </c>
      <c r="M31" s="19" t="s">
        <v>21</v>
      </c>
      <c r="N31" s="19">
        <v>9</v>
      </c>
      <c r="O31" s="18">
        <f t="shared" si="0"/>
        <v>1.3333333333333333</v>
      </c>
    </row>
    <row r="32" spans="7:15" x14ac:dyDescent="0.45">
      <c r="G32" s="1">
        <v>9</v>
      </c>
      <c r="H32" t="str">
        <f t="shared" si="1"/>
        <v>34</v>
      </c>
      <c r="I32" s="59">
        <v>3</v>
      </c>
      <c r="J32" s="52">
        <v>4</v>
      </c>
      <c r="K32" s="19" t="s">
        <v>15</v>
      </c>
      <c r="L32" s="19">
        <v>15</v>
      </c>
      <c r="M32" s="19" t="s">
        <v>21</v>
      </c>
      <c r="N32" s="19">
        <v>11</v>
      </c>
      <c r="O32" s="29">
        <f t="shared" si="0"/>
        <v>1.3636363636363635</v>
      </c>
    </row>
    <row r="33" spans="7:15" x14ac:dyDescent="0.45">
      <c r="G33" s="1">
        <v>10</v>
      </c>
      <c r="H33" t="str">
        <f t="shared" si="1"/>
        <v>312</v>
      </c>
      <c r="I33" s="59">
        <v>3</v>
      </c>
      <c r="J33" s="52">
        <v>12</v>
      </c>
      <c r="K33" s="19" t="s">
        <v>15</v>
      </c>
      <c r="L33" s="19">
        <v>18</v>
      </c>
      <c r="M33" s="19" t="s">
        <v>21</v>
      </c>
      <c r="N33" s="19">
        <v>13</v>
      </c>
      <c r="O33" s="29">
        <f t="shared" si="0"/>
        <v>1.3846153846153846</v>
      </c>
    </row>
    <row r="34" spans="7:15" x14ac:dyDescent="0.45">
      <c r="G34" s="1">
        <v>11</v>
      </c>
      <c r="H34" t="str">
        <f t="shared" si="1"/>
        <v>23</v>
      </c>
      <c r="I34" s="58">
        <v>2</v>
      </c>
      <c r="J34" s="51">
        <v>3</v>
      </c>
      <c r="K34" s="19" t="s">
        <v>15</v>
      </c>
      <c r="L34" s="19">
        <v>10</v>
      </c>
      <c r="M34" s="19" t="s">
        <v>21</v>
      </c>
      <c r="N34" s="19">
        <v>7</v>
      </c>
      <c r="O34" s="18">
        <f t="shared" si="0"/>
        <v>1.4285714285714286</v>
      </c>
    </row>
    <row r="35" spans="7:15" x14ac:dyDescent="0.45">
      <c r="G35" s="1">
        <v>1</v>
      </c>
      <c r="H35" t="str">
        <f t="shared" si="1"/>
        <v>317</v>
      </c>
      <c r="I35" s="59">
        <v>3</v>
      </c>
      <c r="J35" s="52">
        <v>17</v>
      </c>
      <c r="K35" s="19" t="s">
        <v>16</v>
      </c>
      <c r="L35" s="19">
        <v>14</v>
      </c>
      <c r="M35" s="19" t="s">
        <v>22</v>
      </c>
      <c r="N35" s="19">
        <v>13</v>
      </c>
      <c r="O35" s="29">
        <f t="shared" si="0"/>
        <v>1.0769230769230769</v>
      </c>
    </row>
    <row r="36" spans="7:15" x14ac:dyDescent="0.45">
      <c r="G36" s="1">
        <v>2</v>
      </c>
      <c r="H36" t="str">
        <f t="shared" si="1"/>
        <v>313</v>
      </c>
      <c r="I36" s="59">
        <v>3</v>
      </c>
      <c r="J36" s="52">
        <v>13</v>
      </c>
      <c r="K36" s="19" t="s">
        <v>16</v>
      </c>
      <c r="L36" s="19">
        <v>20</v>
      </c>
      <c r="M36" s="19" t="s">
        <v>22</v>
      </c>
      <c r="N36" s="19">
        <v>18</v>
      </c>
      <c r="O36" s="29">
        <f t="shared" si="0"/>
        <v>1.1111111111111112</v>
      </c>
    </row>
    <row r="37" spans="7:15" x14ac:dyDescent="0.45">
      <c r="G37" s="1">
        <v>3</v>
      </c>
      <c r="H37" t="str">
        <f t="shared" si="1"/>
        <v>111</v>
      </c>
      <c r="I37" s="57">
        <v>1</v>
      </c>
      <c r="J37" s="51">
        <v>11</v>
      </c>
      <c r="K37" s="19" t="s">
        <v>16</v>
      </c>
      <c r="L37" s="19">
        <v>18</v>
      </c>
      <c r="M37" s="19" t="s">
        <v>22</v>
      </c>
      <c r="N37" s="19">
        <v>16</v>
      </c>
      <c r="O37" s="18">
        <f t="shared" si="0"/>
        <v>1.125</v>
      </c>
    </row>
    <row r="38" spans="7:15" x14ac:dyDescent="0.45">
      <c r="G38" s="1">
        <v>4</v>
      </c>
      <c r="H38" t="str">
        <f t="shared" si="1"/>
        <v>27</v>
      </c>
      <c r="I38" s="58">
        <v>2</v>
      </c>
      <c r="J38" s="51">
        <v>7</v>
      </c>
      <c r="K38" s="19" t="s">
        <v>16</v>
      </c>
      <c r="L38" s="19">
        <v>17</v>
      </c>
      <c r="M38" s="19" t="s">
        <v>22</v>
      </c>
      <c r="N38" s="19">
        <v>15</v>
      </c>
      <c r="O38" s="18">
        <f t="shared" si="0"/>
        <v>1.1333333333333333</v>
      </c>
    </row>
    <row r="39" spans="7:15" x14ac:dyDescent="0.45">
      <c r="G39" s="1">
        <v>5</v>
      </c>
      <c r="H39" t="str">
        <f t="shared" si="1"/>
        <v>26</v>
      </c>
      <c r="I39" s="58">
        <v>2</v>
      </c>
      <c r="J39" s="51">
        <v>6</v>
      </c>
      <c r="K39" s="19" t="s">
        <v>16</v>
      </c>
      <c r="L39" s="19">
        <v>16</v>
      </c>
      <c r="M39" s="19" t="s">
        <v>22</v>
      </c>
      <c r="N39" s="19">
        <v>14</v>
      </c>
      <c r="O39" s="18">
        <f t="shared" si="0"/>
        <v>1.1428571428571428</v>
      </c>
    </row>
    <row r="40" spans="7:15" x14ac:dyDescent="0.45">
      <c r="G40" s="1">
        <v>6</v>
      </c>
      <c r="H40" t="str">
        <f t="shared" si="1"/>
        <v>35</v>
      </c>
      <c r="I40" s="59">
        <v>3</v>
      </c>
      <c r="J40" s="52">
        <v>5</v>
      </c>
      <c r="K40" s="19" t="s">
        <v>16</v>
      </c>
      <c r="L40" s="19">
        <v>16</v>
      </c>
      <c r="M40" s="19" t="s">
        <v>22</v>
      </c>
      <c r="N40" s="19">
        <v>14</v>
      </c>
      <c r="O40" s="29">
        <f t="shared" si="0"/>
        <v>1.1428571428571428</v>
      </c>
    </row>
    <row r="41" spans="7:15" x14ac:dyDescent="0.45">
      <c r="G41" s="1">
        <v>7</v>
      </c>
      <c r="H41" t="str">
        <f t="shared" si="1"/>
        <v>212</v>
      </c>
      <c r="I41" s="58">
        <v>2</v>
      </c>
      <c r="J41" s="51">
        <v>12</v>
      </c>
      <c r="K41" s="19" t="s">
        <v>16</v>
      </c>
      <c r="L41" s="19">
        <v>21</v>
      </c>
      <c r="M41" s="19" t="s">
        <v>22</v>
      </c>
      <c r="N41" s="19">
        <v>18</v>
      </c>
      <c r="O41" s="18">
        <f t="shared" si="0"/>
        <v>1.1666666666666667</v>
      </c>
    </row>
    <row r="42" spans="7:15" x14ac:dyDescent="0.45">
      <c r="G42" s="1">
        <v>8</v>
      </c>
      <c r="H42" t="str">
        <f t="shared" si="1"/>
        <v>13</v>
      </c>
      <c r="I42" s="57">
        <v>1</v>
      </c>
      <c r="J42" s="51">
        <v>3</v>
      </c>
      <c r="K42" s="19" t="s">
        <v>16</v>
      </c>
      <c r="L42" s="19">
        <v>27</v>
      </c>
      <c r="M42" s="19" t="s">
        <v>22</v>
      </c>
      <c r="N42" s="19">
        <v>23</v>
      </c>
      <c r="O42" s="18">
        <f t="shared" si="0"/>
        <v>1.173913043478261</v>
      </c>
    </row>
    <row r="43" spans="7:15" x14ac:dyDescent="0.45">
      <c r="G43" s="1">
        <v>9</v>
      </c>
      <c r="H43" t="str">
        <f t="shared" si="1"/>
        <v>21</v>
      </c>
      <c r="I43" s="58">
        <v>2</v>
      </c>
      <c r="J43" s="51">
        <v>1</v>
      </c>
      <c r="K43" s="19" t="s">
        <v>16</v>
      </c>
      <c r="L43" s="19">
        <v>19</v>
      </c>
      <c r="M43" s="19" t="s">
        <v>22</v>
      </c>
      <c r="N43" s="19">
        <v>16</v>
      </c>
      <c r="O43" s="18">
        <f t="shared" si="0"/>
        <v>1.1875</v>
      </c>
    </row>
    <row r="44" spans="7:15" x14ac:dyDescent="0.45">
      <c r="G44" s="1">
        <v>10</v>
      </c>
      <c r="H44" t="str">
        <f t="shared" si="1"/>
        <v>12</v>
      </c>
      <c r="I44" s="57">
        <v>1</v>
      </c>
      <c r="J44" s="51">
        <v>2</v>
      </c>
      <c r="K44" s="19" t="s">
        <v>16</v>
      </c>
      <c r="L44" s="19">
        <v>25</v>
      </c>
      <c r="M44" s="19" t="s">
        <v>22</v>
      </c>
      <c r="N44" s="19">
        <v>21</v>
      </c>
      <c r="O44" s="18">
        <f t="shared" si="0"/>
        <v>1.1904761904761905</v>
      </c>
    </row>
    <row r="45" spans="7:15" x14ac:dyDescent="0.45">
      <c r="G45" s="1">
        <v>11</v>
      </c>
      <c r="H45" t="str">
        <f t="shared" si="1"/>
        <v>15</v>
      </c>
      <c r="I45" s="57">
        <v>1</v>
      </c>
      <c r="J45" s="51">
        <v>5</v>
      </c>
      <c r="K45" s="19" t="s">
        <v>16</v>
      </c>
      <c r="L45" s="19">
        <v>12</v>
      </c>
      <c r="M45" s="19" t="s">
        <v>22</v>
      </c>
      <c r="N45" s="19">
        <v>9</v>
      </c>
      <c r="O45" s="18">
        <f t="shared" si="0"/>
        <v>1.3333333333333333</v>
      </c>
    </row>
  </sheetData>
  <autoFilter ref="G2:O45" xr:uid="{169563D7-A474-4959-8C4E-DFB909871663}"/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D54B-0D53-4800-96D0-D9EA0CAB85EC}">
  <dimension ref="A1:BB1039"/>
  <sheetViews>
    <sheetView zoomScaleNormal="100" workbookViewId="0">
      <selection activeCell="C6" sqref="C6:E6"/>
    </sheetView>
  </sheetViews>
  <sheetFormatPr defaultRowHeight="15" customHeight="1" outlineLevelCol="1" x14ac:dyDescent="0.45"/>
  <cols>
    <col min="1" max="1" width="24.265625" bestFit="1" customWidth="1"/>
    <col min="2" max="2" width="10.46484375" bestFit="1" customWidth="1"/>
    <col min="3" max="5" width="16.46484375" bestFit="1" customWidth="1"/>
    <col min="6" max="8" width="11.46484375" customWidth="1"/>
    <col min="11" max="11" width="23.265625" customWidth="1"/>
    <col min="12" max="12" width="7.9296875" customWidth="1"/>
    <col min="15" max="17" width="11.53125" style="8" customWidth="1"/>
    <col min="18" max="18" width="11.53125" style="30" customWidth="1"/>
    <col min="19" max="19" width="13.53125" customWidth="1"/>
    <col min="20" max="20" width="16.796875" bestFit="1" customWidth="1"/>
    <col min="22" max="22" width="12.73046875" customWidth="1"/>
    <col min="23" max="23" width="21" bestFit="1" customWidth="1"/>
    <col min="24" max="24" width="21.53125" bestFit="1" customWidth="1"/>
    <col min="25" max="25" width="18.06640625" customWidth="1"/>
    <col min="27" max="41" width="8.73046875" customWidth="1" outlineLevel="1"/>
    <col min="42" max="42" width="27.265625" customWidth="1"/>
  </cols>
  <sheetData>
    <row r="1" spans="1:54" ht="15" customHeight="1" x14ac:dyDescent="0.45">
      <c r="A1" s="80" t="s">
        <v>173</v>
      </c>
      <c r="B1" s="80"/>
      <c r="C1" s="80"/>
      <c r="F1" s="84" t="s">
        <v>132</v>
      </c>
      <c r="G1" s="84"/>
      <c r="H1" s="84"/>
      <c r="M1" t="s">
        <v>38</v>
      </c>
      <c r="N1" t="s">
        <v>11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</row>
    <row r="2" spans="1:54" ht="15" customHeight="1" x14ac:dyDescent="0.45">
      <c r="A2" s="80"/>
      <c r="B2" s="80"/>
      <c r="C2" s="80"/>
      <c r="F2" s="13" t="s">
        <v>96</v>
      </c>
      <c r="G2" s="13" t="s">
        <v>97</v>
      </c>
      <c r="H2" s="13" t="s">
        <v>98</v>
      </c>
      <c r="K2" s="62" t="s">
        <v>144</v>
      </c>
      <c r="L2" s="8"/>
      <c r="M2" s="2" t="s">
        <v>47</v>
      </c>
      <c r="N2" s="43">
        <v>12000</v>
      </c>
      <c r="O2" s="43">
        <v>10000</v>
      </c>
      <c r="P2" s="43">
        <v>8500</v>
      </c>
      <c r="Q2" s="43">
        <v>7500</v>
      </c>
      <c r="R2" s="43">
        <v>6000</v>
      </c>
      <c r="S2" s="43">
        <v>5000</v>
      </c>
      <c r="T2" s="43">
        <v>4000</v>
      </c>
      <c r="U2" s="43">
        <v>2000</v>
      </c>
      <c r="AP2" s="46" t="s">
        <v>168</v>
      </c>
    </row>
    <row r="3" spans="1:54" ht="15" customHeight="1" x14ac:dyDescent="0.45">
      <c r="A3" s="80"/>
      <c r="B3" s="80"/>
      <c r="C3" s="80"/>
      <c r="F3" s="61">
        <v>1500</v>
      </c>
      <c r="G3" s="61">
        <v>1300</v>
      </c>
      <c r="H3" s="61">
        <v>700</v>
      </c>
      <c r="J3" s="65" t="s">
        <v>155</v>
      </c>
      <c r="K3" s="63">
        <f>F23+F35+F47+F59+F71+F83+F95+F25+F37+F49+F61+F73+F85+F97+Y6</f>
        <v>587000000</v>
      </c>
      <c r="L3" s="60"/>
      <c r="M3" s="3" t="s">
        <v>48</v>
      </c>
      <c r="N3" s="43">
        <v>5000</v>
      </c>
      <c r="O3" s="43">
        <v>5200</v>
      </c>
      <c r="P3" s="43">
        <v>5400</v>
      </c>
      <c r="Q3" s="43">
        <v>5600</v>
      </c>
      <c r="R3" s="43">
        <v>6000</v>
      </c>
      <c r="S3" s="43">
        <v>6500</v>
      </c>
      <c r="T3" s="43">
        <v>7000</v>
      </c>
      <c r="U3" s="43">
        <v>7500</v>
      </c>
      <c r="AP3" t="b">
        <f>AND(AU8:BB25)</f>
        <v>1</v>
      </c>
      <c r="AQ3" s="64" t="s">
        <v>156</v>
      </c>
    </row>
    <row r="4" spans="1:54" ht="15" customHeight="1" x14ac:dyDescent="0.45">
      <c r="A4" t="s">
        <v>169</v>
      </c>
      <c r="B4" t="b">
        <f>AND(K7,V8,AP3)</f>
        <v>0</v>
      </c>
      <c r="C4" s="64" t="s">
        <v>156</v>
      </c>
      <c r="M4" s="4" t="s">
        <v>49</v>
      </c>
      <c r="N4" s="43">
        <v>3000</v>
      </c>
      <c r="O4" s="43">
        <v>4500</v>
      </c>
      <c r="P4" s="43">
        <v>7000</v>
      </c>
      <c r="Q4" s="43">
        <v>8000</v>
      </c>
      <c r="R4" s="43">
        <v>9000</v>
      </c>
      <c r="S4" s="43">
        <v>11000</v>
      </c>
      <c r="T4" s="43">
        <v>13000</v>
      </c>
      <c r="U4" s="43">
        <v>16000</v>
      </c>
    </row>
    <row r="5" spans="1:54" ht="15" customHeight="1" x14ac:dyDescent="0.45">
      <c r="K5" s="60"/>
      <c r="O5" s="8">
        <f>ROUNDUP(45*O2/10080/0.84,0)</f>
        <v>54</v>
      </c>
      <c r="P5" s="8">
        <f t="shared" ref="P5:T5" si="0">ROUNDUP(45*P2/10080/0.84,0)</f>
        <v>46</v>
      </c>
      <c r="Q5" s="8">
        <f t="shared" si="0"/>
        <v>40</v>
      </c>
      <c r="R5" s="8">
        <f t="shared" si="0"/>
        <v>32</v>
      </c>
      <c r="S5" s="8">
        <f t="shared" si="0"/>
        <v>27</v>
      </c>
      <c r="T5" s="8">
        <f t="shared" si="0"/>
        <v>22</v>
      </c>
      <c r="AU5" s="82" t="s">
        <v>165</v>
      </c>
      <c r="AV5" s="82"/>
      <c r="AW5" s="82"/>
      <c r="AX5" s="82"/>
      <c r="AY5" s="82"/>
      <c r="AZ5" s="82"/>
      <c r="BA5" s="82"/>
      <c r="BB5" s="82"/>
    </row>
    <row r="6" spans="1:54" ht="14.55" customHeight="1" x14ac:dyDescent="0.45">
      <c r="C6" s="87" t="s">
        <v>172</v>
      </c>
      <c r="D6" s="87"/>
      <c r="E6" s="87"/>
      <c r="F6" s="82" t="s">
        <v>131</v>
      </c>
      <c r="G6" s="82"/>
      <c r="H6" s="82"/>
      <c r="K6" t="s">
        <v>170</v>
      </c>
      <c r="O6" s="86" t="s">
        <v>139</v>
      </c>
      <c r="P6" s="86"/>
      <c r="Q6" s="86"/>
      <c r="R6" s="86"/>
      <c r="S6" s="86"/>
      <c r="T6" s="46" t="s">
        <v>131</v>
      </c>
      <c r="V6" s="81" t="s">
        <v>158</v>
      </c>
      <c r="X6" t="s">
        <v>142</v>
      </c>
      <c r="Y6" s="48">
        <f>SUM(_xlfn.ANCHORARRAY(Y8))</f>
        <v>0</v>
      </c>
      <c r="AB6" s="1" t="s">
        <v>166</v>
      </c>
      <c r="AC6" s="1" t="s">
        <v>167</v>
      </c>
      <c r="AD6" s="1" t="s">
        <v>166</v>
      </c>
      <c r="AE6" s="1" t="s">
        <v>167</v>
      </c>
      <c r="AF6" s="1" t="s">
        <v>166</v>
      </c>
      <c r="AG6" s="1" t="s">
        <v>167</v>
      </c>
      <c r="AH6" s="1" t="s">
        <v>166</v>
      </c>
      <c r="AI6" s="1" t="s">
        <v>167</v>
      </c>
      <c r="AJ6" s="1" t="s">
        <v>166</v>
      </c>
      <c r="AK6" s="1" t="s">
        <v>166</v>
      </c>
      <c r="AL6" s="1" t="s">
        <v>167</v>
      </c>
      <c r="AM6" s="1" t="s">
        <v>166</v>
      </c>
      <c r="AN6" s="1" t="s">
        <v>166</v>
      </c>
      <c r="AO6" s="1" t="s">
        <v>167</v>
      </c>
      <c r="AP6" s="81" t="s">
        <v>165</v>
      </c>
    </row>
    <row r="7" spans="1:54" ht="14.25" x14ac:dyDescent="0.45">
      <c r="B7" s="36" t="s">
        <v>0</v>
      </c>
      <c r="C7" s="36" t="s">
        <v>1</v>
      </c>
      <c r="D7" s="36" t="s">
        <v>2</v>
      </c>
      <c r="E7" s="36" t="s">
        <v>3</v>
      </c>
      <c r="F7" s="44" t="s">
        <v>134</v>
      </c>
      <c r="G7" s="44" t="s">
        <v>135</v>
      </c>
      <c r="H7" s="44" t="s">
        <v>136</v>
      </c>
      <c r="K7" t="b" cm="1">
        <f t="array" ref="K7">AND(F8:H8&lt;$F$3:$H$3,F20:H20&lt;$F$3:$H$3,F32:H32&lt;$F$3:$H$3,F44:H44&lt;$F$3:$H$3,F56:H56&lt;$F$3:$H$3,F68:H68&lt;$F$3:$H$3,F80:H80&lt;$F$3:$H$3,F92:H92&lt;$F$3:$H$3)</f>
        <v>1</v>
      </c>
      <c r="O7" s="39" t="s">
        <v>4</v>
      </c>
      <c r="P7" s="37" t="s">
        <v>5</v>
      </c>
      <c r="Q7" s="37" t="s">
        <v>6</v>
      </c>
      <c r="R7" s="37" t="s">
        <v>7</v>
      </c>
      <c r="S7" s="38" t="s">
        <v>171</v>
      </c>
      <c r="T7" s="46" t="s">
        <v>157</v>
      </c>
      <c r="V7" s="81"/>
      <c r="X7" s="1" t="s">
        <v>140</v>
      </c>
      <c r="Y7" t="s">
        <v>141</v>
      </c>
      <c r="AA7" t="s">
        <v>153</v>
      </c>
      <c r="AB7" t="s">
        <v>149</v>
      </c>
      <c r="AC7" t="s">
        <v>150</v>
      </c>
      <c r="AD7" t="s">
        <v>151</v>
      </c>
      <c r="AE7" t="s">
        <v>152</v>
      </c>
      <c r="AF7" t="s">
        <v>147</v>
      </c>
      <c r="AG7" t="s">
        <v>148</v>
      </c>
      <c r="AH7" t="s">
        <v>145</v>
      </c>
      <c r="AI7" t="s">
        <v>146</v>
      </c>
      <c r="AJ7" t="s">
        <v>159</v>
      </c>
      <c r="AK7" t="s">
        <v>160</v>
      </c>
      <c r="AL7" t="s">
        <v>161</v>
      </c>
      <c r="AM7" t="s">
        <v>163</v>
      </c>
      <c r="AN7" t="s">
        <v>162</v>
      </c>
      <c r="AO7" t="s">
        <v>164</v>
      </c>
      <c r="AP7" s="81"/>
      <c r="AR7" s="1" t="s">
        <v>7</v>
      </c>
      <c r="AU7" t="s">
        <v>11</v>
      </c>
      <c r="AV7" t="s">
        <v>30</v>
      </c>
      <c r="AW7" t="s">
        <v>31</v>
      </c>
      <c r="AX7" t="s">
        <v>32</v>
      </c>
      <c r="AY7" t="s">
        <v>33</v>
      </c>
      <c r="AZ7" t="s">
        <v>34</v>
      </c>
      <c r="BA7" t="s">
        <v>35</v>
      </c>
      <c r="BB7" t="s">
        <v>36</v>
      </c>
    </row>
    <row r="8" spans="1:54" ht="14.55" customHeight="1" x14ac:dyDescent="0.45">
      <c r="A8" s="85" t="s">
        <v>9</v>
      </c>
      <c r="B8" s="31" t="s">
        <v>10</v>
      </c>
      <c r="C8" s="43">
        <v>50</v>
      </c>
      <c r="D8" s="43">
        <v>35</v>
      </c>
      <c r="E8" s="43">
        <v>0</v>
      </c>
      <c r="F8" cm="1">
        <f t="array" ref="F8">SUM(C8:C19*data!$B$3:$B$14)</f>
        <v>1235.7</v>
      </c>
      <c r="G8" cm="1">
        <f t="array" ref="G8">SUM(D8:D19*data!$B$3:$B$14)</f>
        <v>996.90000000000009</v>
      </c>
      <c r="H8" cm="1">
        <f t="array" ref="H8">SUM(E8:E19*data!$B$3:$B$14)</f>
        <v>636.03000000000009</v>
      </c>
      <c r="I8" s="64" t="s">
        <v>156</v>
      </c>
      <c r="O8" s="43" t="s">
        <v>11</v>
      </c>
      <c r="P8" s="43">
        <v>1</v>
      </c>
      <c r="Q8" s="43">
        <v>1</v>
      </c>
      <c r="R8" s="43">
        <v>1</v>
      </c>
      <c r="S8" s="45"/>
      <c r="T8" t="b">
        <f>(S8+S9+S10)=N2</f>
        <v>0</v>
      </c>
      <c r="V8" t="b">
        <f>AND(T8:T1039)</f>
        <v>0</v>
      </c>
      <c r="W8" s="64" t="s">
        <v>156</v>
      </c>
      <c r="X8" s="1">
        <v>0</v>
      </c>
      <c r="Y8" s="48" cm="1">
        <f t="array" ref="Y8:Y1039">X8:X1039*50*13</f>
        <v>0</v>
      </c>
      <c r="AA8" s="1">
        <v>4</v>
      </c>
      <c r="AB8" s="1" t="s">
        <v>14</v>
      </c>
      <c r="AC8" s="1" t="s">
        <v>20</v>
      </c>
      <c r="AD8" s="1">
        <v>14</v>
      </c>
      <c r="AE8" s="1">
        <v>12</v>
      </c>
      <c r="AF8" s="1">
        <v>0.8</v>
      </c>
      <c r="AG8" s="1">
        <v>0.88</v>
      </c>
      <c r="AH8" s="1" cm="1">
        <f t="array" ref="AH8:AH1039">$S8:$S1039*AD8:AD1039/10080/AF8:AF1039</f>
        <v>0</v>
      </c>
      <c r="AI8" s="1" cm="1">
        <f t="array" ref="AI8:AI1039">$S8:$S1039*AE8:AE1039/10080/AG8:AG1039</f>
        <v>0</v>
      </c>
      <c r="AJ8" s="1">
        <f>SUMIFS(AH$8:AH$1039,$O$8:$O$1039,O8,$AB$8:$AB$1039,AB8,$R$8:$R$1039,R8,$AA$8:$AA$1039,"&lt;="&amp;AA8)</f>
        <v>0</v>
      </c>
      <c r="AK8" s="1">
        <f>C11</f>
        <v>50</v>
      </c>
      <c r="AL8" s="1">
        <f>C17</f>
        <v>0</v>
      </c>
      <c r="AM8" s="1">
        <f>MAX(0,AJ8-AK8)</f>
        <v>0</v>
      </c>
      <c r="AN8" s="1">
        <f>IF(AM8=0,AH8,IF(AM8&gt;=AH8,0,AH8-AM8))</f>
        <v>0</v>
      </c>
      <c r="AO8" s="1">
        <f>IF(AM8&gt;=AH8,AI8,AI8*AM8/AH8)</f>
        <v>0</v>
      </c>
      <c r="AP8" t="b" cm="1">
        <f t="array" ref="AP8">INDEX($AU$8:$BB$25,6*(R8-1)+MATCH(AB8,$AS$8:$AS$13,0),MATCH(O8,$AU$7:$BB$7,0))</f>
        <v>1</v>
      </c>
      <c r="AR8" s="1">
        <v>1</v>
      </c>
      <c r="AS8" s="1" t="s">
        <v>10</v>
      </c>
      <c r="AT8" s="1" t="s">
        <v>17</v>
      </c>
      <c r="AU8" t="b">
        <f>AND(SUMIFS($AN$8:$AN$1039,$O$8:$O$1039,AU7,$AB$8:$AB$1039,AS8,$R$8:$R$1039,AR8)&lt;=C8,SUMIFS($AO$8:$AO$1039,$O$8:$O$1039,AU7,$AB$8:$AB$1039,AS8,$R$8:$R$1039,AR8)&lt;=C14)</f>
        <v>1</v>
      </c>
      <c r="AV8" t="b">
        <f>AND(SUMIFS($AN$8:$AN$1039,$O$8:$O$1039,AV7,$AB$8:$AB$1039,AS8,$R$8:$R$1039,AR8)&lt;=C20,SUMIFS($AO$8:$AO$1039,$O$8:$O$1039,AV7,$AB$8:$AB$1039,AS8,$R$8:$R$1039,AR8)&lt;=C26)</f>
        <v>1</v>
      </c>
      <c r="AW8" t="b">
        <f>AND(SUMIFS($AN$8:$AN$1039,$O$8:$O$1039,AW7,$AB$8:$AB$1039,AS8,$R$8:$R$1039,AR8)&lt;=C32,SUMIFS($AO$8:$AO$1039,$O$8:$O$1039,AW7,$AB$8:$AB$1039,AS8,$R$8:$R$1039,AR8)&lt;=C38)</f>
        <v>1</v>
      </c>
      <c r="AX8" t="b">
        <f>AND(SUMIFS($AN$8:$AN$1039,$O$8:$O$1039,AX7,$AB$8:$AB$1039,AS8,$R$8:$R$1039,AR8)&lt;=C44,SUMIFS($AO$8:$AO$1039,$O$8:$O$1039,AX7,$AB$8:$AB$1039,AS8,$R$8:$R$1039,AR8)&lt;=C50)</f>
        <v>1</v>
      </c>
      <c r="AY8" t="b">
        <f>AND(SUMIFS($AN$8:$AN$1039,$O$8:$O$1039,AY7,$AB$8:$AB$1039,AS8,$R$8:$R$1039,AR8)&lt;=C56,SUMIFS($AO$8:$AO$1039,$O$8:$O$1039,AY7,$AB$8:$AB$1039,AS8,$R$8:$R$1039,AR8)&lt;=C62)</f>
        <v>1</v>
      </c>
      <c r="AZ8" t="b">
        <f>AND(SUMIFS($AN$8:$AN$1039,$O$8:$O$1039,AZ7,$AB$8:$AB$1039,AS8,$R$8:$R$1039,AR8)&lt;=C68,SUMIFS($AO$8:$AO$1039,$O$8:$O$1039,AZ7,$AB$8:$AB$1039,AS8,$R$8:$R$1039,AR8)&lt;=C74)</f>
        <v>1</v>
      </c>
      <c r="BA8" t="b">
        <f>AND(SUMIFS($AN$8:$AN$1039,$O$8:$O$1039,BA7,$AB$8:$AB$1039,AS8,$R$8:$R$1039,AR8)&lt;=C80,SUMIFS($AO$8:$AO$1039,$O$8:$O$1039,BA7,$AB$8:$AB$1039,AS8,$R$8:$R$1039,AR8)&lt;=C86)</f>
        <v>1</v>
      </c>
      <c r="BB8" t="b">
        <f>AND(SUMIFS($AN$8:$AN$1039,$O$8:$O$1039,BB7,$AB$8:$AB$1039,AS8,$R$8:$R$1039,AR8)&lt;=C92,SUMIFS($AO$8:$AO$1039,$O$8:$O$1039,BB7,$AB$8:$AB$1039,AS8,$R$8:$R$1039,AR8)&lt;=C98)</f>
        <v>1</v>
      </c>
    </row>
    <row r="9" spans="1:54" ht="14.55" customHeight="1" x14ac:dyDescent="0.45">
      <c r="A9" s="85"/>
      <c r="B9" s="31" t="s">
        <v>12</v>
      </c>
      <c r="C9" s="43">
        <v>25</v>
      </c>
      <c r="D9" s="43">
        <v>30</v>
      </c>
      <c r="E9" s="43">
        <v>0</v>
      </c>
      <c r="O9" s="43" t="s">
        <v>11</v>
      </c>
      <c r="P9" s="43">
        <v>1</v>
      </c>
      <c r="Q9" s="43">
        <v>1</v>
      </c>
      <c r="R9" s="43">
        <v>2</v>
      </c>
      <c r="S9" s="45"/>
      <c r="T9" t="b">
        <f>(S8+S9+S10)=N2</f>
        <v>0</v>
      </c>
      <c r="X9" s="1">
        <v>0</v>
      </c>
      <c r="Y9" s="48">
        <v>0</v>
      </c>
      <c r="AA9" s="1">
        <v>4</v>
      </c>
      <c r="AB9" s="1" t="s">
        <v>14</v>
      </c>
      <c r="AC9" s="1" t="s">
        <v>20</v>
      </c>
      <c r="AD9" s="1">
        <v>14</v>
      </c>
      <c r="AE9" s="1">
        <v>12</v>
      </c>
      <c r="AF9" s="1">
        <v>0.8</v>
      </c>
      <c r="AG9" s="1">
        <v>0.88</v>
      </c>
      <c r="AH9" s="1">
        <v>0</v>
      </c>
      <c r="AI9" s="1">
        <v>0</v>
      </c>
      <c r="AJ9" s="1">
        <f t="shared" ref="AJ9:AJ72" si="1">SUMIFS(AH$8:AH$1039,$O$8:$O$1039,O9,$AB$8:$AB$1039,AB9,$R$8:$R$1039,R9,$AA$8:$AA$1039,"&lt;="&amp;AA9)</f>
        <v>0</v>
      </c>
      <c r="AK9" s="1">
        <f>D11</f>
        <v>50</v>
      </c>
      <c r="AL9" s="1">
        <f>D17</f>
        <v>0</v>
      </c>
      <c r="AM9" s="1">
        <f t="shared" ref="AM9:AM72" si="2">MAX(0,AJ9-AK9)</f>
        <v>0</v>
      </c>
      <c r="AN9" s="1">
        <f t="shared" ref="AN9:AN72" si="3">IF(AM9=0,AH9,IF(AM9&gt;=AH9,0,AH9-AM9))</f>
        <v>0</v>
      </c>
      <c r="AO9" s="1">
        <f t="shared" ref="AO9:AO72" si="4">IF(AM9&gt;=AH9,AI9,AI9*AM9/AH9)</f>
        <v>0</v>
      </c>
      <c r="AP9" t="b" cm="1">
        <f t="array" ref="AP9">INDEX($AU$8:$BB$25,6*(R9-1)+MATCH(AB9,$AS$8:$AS$13,0),MATCH(O9,$AU$7:$BB$7,0))</f>
        <v>1</v>
      </c>
      <c r="AR9" s="1">
        <v>1</v>
      </c>
      <c r="AS9" s="1" t="s">
        <v>12</v>
      </c>
      <c r="AT9" s="1" t="s">
        <v>18</v>
      </c>
      <c r="AU9" t="b">
        <f>AND(SUMIFS($AN$8:$AN$1039,$O$8:$O$1039,AU7,$AB$8:$AB$1039,AS9,$R$8:$R$1039,AR9)&lt;=C9,SUMIFS($AO$8:$AO$1039,$O$8:$O$1039,AU7,$AB$8:$AB$1039,AS9,$R$8:$R$1039,AR9)&lt;=C15)</f>
        <v>1</v>
      </c>
      <c r="AV9" t="b">
        <f>AND(SUMIFS($AN$8:$AN$1039,$O$8:$O$1039,AV7,$AB$8:$AB$1039,AS9,$R$8:$R$1039,AR9)&lt;=C21,SUMIFS($AO$8:$AO$1039,$O$8:$O$1039,AV7,$AB$8:$AB$1039,AS9,$R$8:$R$1039,AR9)&lt;=C27)</f>
        <v>1</v>
      </c>
      <c r="AW9" t="b">
        <f>AND(SUMIFS($AN$8:$AN$1039,$O$8:$O$1039,AW7,$AB$8:$AB$1039,AS9,$R$8:$R$1039,AR9)&lt;=C33,SUMIFS($AO$8:$AO$1039,$O$8:$O$1039,AW7,$AB$8:$AB$1039,AS9,$R$8:$R$1039,AR9)&lt;=C39)</f>
        <v>1</v>
      </c>
      <c r="AX9" t="b">
        <f>AND(SUMIFS($AN$8:$AN$1039,$O$8:$O$1039,AX7,$AB$8:$AB$1039,AS9,$R$8:$R$1039,AR9)&lt;=C45,SUMIFS($AO$8:$AO$1039,$O$8:$O$1039,AX7,$AB$8:$AB$1039,AS9,$R$8:$R$1039,AR9)&lt;=C51)</f>
        <v>1</v>
      </c>
      <c r="AY9" t="b">
        <f>AND(SUMIFS($AN$8:$AN$1039,$O$8:$O$1039,AY7,$AB$8:$AB$1039,AS9,$R$8:$R$1039,AR9)&lt;=C57,SUMIFS($AO$8:$AO$1039,$O$8:$O$1039,AY7,$AB$8:$AB$1039,AS9,$R$8:$R$1039,AR9)&lt;=C63)</f>
        <v>1</v>
      </c>
      <c r="AZ9" t="b">
        <f>AND(SUMIFS($AN$8:$AN$1039,$O$8:$O$1039,AZ7,$AB$8:$AB$1039,AS9,$R$8:$R$1039,AR9)&lt;=C69,SUMIFS($AO$8:$AO$1039,$O$8:$O$1039,AZ7,$AB$8:$AB$1039,AS9,$R$8:$R$1039,AR9)&lt;=C75)</f>
        <v>1</v>
      </c>
      <c r="BA9" t="b">
        <f>AND(SUMIFS($AN$8:$AN$1039,$O$8:$O$1039,BA7,$AB$8:$AB$1039,AS9,$R$8:$R$1039,AR9)&lt;=C81,SUMIFS($AO$8:$AO$1039,$O$8:$O$1039,BA7,$AB$8:$AB$1039,AS9,$R$8:$R$1039,AR9)&lt;=C87)</f>
        <v>1</v>
      </c>
      <c r="BB9" t="b">
        <f>AND(SUMIFS($AN$8:$AN$1039,$O$8:$O$1039,BB7,$AB$8:$AB$1039,AS9,$R$8:$R$1039,AR9)&lt;=C93,SUMIFS($AO$8:$AO$1039,$O$8:$O$1039,BB7,$AB$8:$AB$1039,AS9,$R$8:$R$1039,AR9)&lt;=C99)</f>
        <v>1</v>
      </c>
    </row>
    <row r="10" spans="1:54" ht="14.55" customHeight="1" x14ac:dyDescent="0.45">
      <c r="A10" s="85"/>
      <c r="B10" s="31" t="s">
        <v>13</v>
      </c>
      <c r="C10" s="43">
        <v>0</v>
      </c>
      <c r="D10" s="43">
        <v>0</v>
      </c>
      <c r="E10" s="43">
        <v>40</v>
      </c>
      <c r="O10" s="43" t="s">
        <v>11</v>
      </c>
      <c r="P10" s="43">
        <v>1</v>
      </c>
      <c r="Q10" s="43">
        <v>1</v>
      </c>
      <c r="R10" s="43">
        <v>3</v>
      </c>
      <c r="S10" s="45"/>
      <c r="T10" t="b">
        <f>(S8+S9+S10)=N2</f>
        <v>0</v>
      </c>
      <c r="X10" s="1">
        <v>0</v>
      </c>
      <c r="Y10" s="48">
        <v>0</v>
      </c>
      <c r="AA10" s="1">
        <v>4</v>
      </c>
      <c r="AB10" s="1" t="s">
        <v>14</v>
      </c>
      <c r="AC10" s="1" t="s">
        <v>20</v>
      </c>
      <c r="AD10" s="1">
        <v>14</v>
      </c>
      <c r="AE10" s="1">
        <v>12</v>
      </c>
      <c r="AF10" s="1">
        <v>0.8</v>
      </c>
      <c r="AG10" s="1">
        <v>0.88</v>
      </c>
      <c r="AH10" s="1">
        <v>0</v>
      </c>
      <c r="AI10" s="1">
        <v>0</v>
      </c>
      <c r="AJ10" s="1">
        <f t="shared" si="1"/>
        <v>0</v>
      </c>
      <c r="AK10" s="1">
        <f>E11</f>
        <v>35</v>
      </c>
      <c r="AL10" s="1">
        <f>E17</f>
        <v>0</v>
      </c>
      <c r="AM10" s="1">
        <f t="shared" si="2"/>
        <v>0</v>
      </c>
      <c r="AN10" s="1">
        <f t="shared" si="3"/>
        <v>0</v>
      </c>
      <c r="AO10" s="1">
        <f t="shared" si="4"/>
        <v>0</v>
      </c>
      <c r="AP10" t="b" cm="1">
        <f t="array" ref="AP10">INDEX($AU$8:$BB$25,6*(R10-1)+MATCH(AB10,$AS$8:$AS$13,0),MATCH(O10,$AU$7:$BB$7,0))</f>
        <v>1</v>
      </c>
      <c r="AR10" s="1">
        <v>1</v>
      </c>
      <c r="AS10" s="1" t="s">
        <v>13</v>
      </c>
      <c r="AT10" s="1" t="s">
        <v>19</v>
      </c>
      <c r="AU10" t="b">
        <f>AND(SUMIFS($AN$8:$AN$1039,$O$8:$O$1039,AU7,$AB$8:$AB$1039,AS10,$R$8:$R$1039,AR10)&lt;=C10,SUMIFS($AO$8:$AO$1039,$O$8:$O$1039,AU7,$AB$8:$AB$1039,AS10,$R$8:$R$1039,AR10)&lt;=C16)</f>
        <v>1</v>
      </c>
      <c r="AV10" t="b">
        <f>AND(SUMIFS($AN$8:$AN$1039,$O$8:$O$1039,AV7,$AB$8:$AB$1039,AS10,$R$8:$R$1039,AR10)&lt;=C22,SUMIFS($AO$8:$AO$1039,$O$8:$O$1039,AV7,$AB$8:$AB$1039,AS10,$R$8:$R$1039,AR10)&lt;=C28)</f>
        <v>1</v>
      </c>
      <c r="AW10" t="b">
        <f>AND(SUMIFS($AN$8:$AN$1039,$O$8:$O$1039,AW7,$AB$8:$AB$1039,AS10,$R$8:$R$1039,AR10)&lt;=C34,SUMIFS($AO$8:$AO$1039,$O$8:$O$1039,AW7,$AB$8:$AB$1039,AS10,$R$8:$R$1039,AR10)&lt;=C40)</f>
        <v>1</v>
      </c>
      <c r="AX10" t="b">
        <f>AND(SUMIFS($AN$8:$AN$1039,$O$8:$O$1039,AX7,$AB$8:$AB$1039,AS10,$R$8:$R$1039,AR10)&lt;=C46,SUMIFS($AO$8:$AO$1039,$O$8:$O$1039,AX7,$AB$8:$AB$1039,AS10,$R$8:$R$1039,AR10)&lt;=C52)</f>
        <v>1</v>
      </c>
      <c r="AY10" t="b">
        <f>AND(SUMIFS($AN$8:$AN$1039,$O$8:$O$1039,AY7,$AB$8:$AB$1039,AS10,$R$8:$R$1039,AR10)&lt;=C58,SUMIFS($AO$8:$AO$1039,$O$8:$O$1039,AY7,$AB$8:$AB$1039,AS10,$R$8:$R$1039,AR10)&lt;=C64)</f>
        <v>1</v>
      </c>
      <c r="AZ10" t="b">
        <f>AND(SUMIFS($AN$8:$AN$1039,$O$8:$O$1039,AZ7,$AB$8:$AB$1039,AS10,$R$8:$R$1039,AR10)&lt;=C70,SUMIFS($AO$8:$AO$1039,$O$8:$O$1039,AZ7,$AB$8:$AB$1039,AS10,$R$8:$R$1039,AR10)&lt;=C76)</f>
        <v>1</v>
      </c>
      <c r="BA10" t="b">
        <f>AND(SUMIFS($AN$8:$AN$1039,$O$8:$O$1039,BA7,$AB$8:$AB$1039,AS10,$R$8:$R$1039,AR10)&lt;=C82,SUMIFS($AO$8:$AO$1039,$O$8:$O$1039,BA7,$AB$8:$AB$1039,AS10,$R$8:$R$1039,AR10)&lt;=C88)</f>
        <v>1</v>
      </c>
      <c r="BB10" t="b">
        <f>AND(SUMIFS($AN$8:$AN$1039,$O$8:$O$1039,BB7,$AB$8:$AB$1039,AS10,$R$8:$R$1039,AR10)&lt;=C94,SUMIFS($AO$8:$AO$1039,$O$8:$O$1039,BB7,$AB$8:$AB$1039,AS10,$R$8:$R$1039,AR10)&lt;=C100)</f>
        <v>1</v>
      </c>
    </row>
    <row r="11" spans="1:54" ht="14.55" customHeight="1" x14ac:dyDescent="0.45">
      <c r="A11" s="85"/>
      <c r="B11" s="31" t="s">
        <v>14</v>
      </c>
      <c r="C11" s="43">
        <v>50</v>
      </c>
      <c r="D11" s="43">
        <v>50</v>
      </c>
      <c r="E11" s="43">
        <v>35</v>
      </c>
      <c r="O11" s="43" t="s">
        <v>11</v>
      </c>
      <c r="P11" s="43">
        <v>1</v>
      </c>
      <c r="Q11" s="43">
        <v>2</v>
      </c>
      <c r="R11" s="43">
        <v>1</v>
      </c>
      <c r="S11" s="45"/>
      <c r="T11" t="b">
        <f>(S11+S12+S13)=N2</f>
        <v>0</v>
      </c>
      <c r="X11" s="1">
        <f>MAX(S8-S11,0)</f>
        <v>0</v>
      </c>
      <c r="Y11" s="48">
        <v>0</v>
      </c>
      <c r="AA11" s="1">
        <v>10</v>
      </c>
      <c r="AB11" s="1" t="s">
        <v>16</v>
      </c>
      <c r="AC11" s="1" t="s">
        <v>22</v>
      </c>
      <c r="AD11" s="1">
        <v>25</v>
      </c>
      <c r="AE11" s="1">
        <v>21</v>
      </c>
      <c r="AF11" s="1">
        <v>0.8</v>
      </c>
      <c r="AG11" s="1">
        <v>0.9</v>
      </c>
      <c r="AH11" s="1">
        <v>0</v>
      </c>
      <c r="AI11" s="1">
        <v>0</v>
      </c>
      <c r="AJ11" s="1">
        <f t="shared" si="1"/>
        <v>0</v>
      </c>
      <c r="AK11" s="1">
        <f>C13</f>
        <v>90</v>
      </c>
      <c r="AL11" s="1">
        <f>C19</f>
        <v>0</v>
      </c>
      <c r="AM11" s="1">
        <f t="shared" si="2"/>
        <v>0</v>
      </c>
      <c r="AN11" s="1">
        <f t="shared" si="3"/>
        <v>0</v>
      </c>
      <c r="AO11" s="1">
        <f t="shared" si="4"/>
        <v>0</v>
      </c>
      <c r="AP11" t="b" cm="1">
        <f t="array" ref="AP11">INDEX($AU$8:$BB$25,6*(R11-1)+MATCH(AB11,$AS$8:$AS$13,0),MATCH(O11,$AU$7:$BB$7,0))</f>
        <v>1</v>
      </c>
      <c r="AR11" s="1">
        <v>1</v>
      </c>
      <c r="AS11" s="1" t="s">
        <v>14</v>
      </c>
      <c r="AT11" s="1" t="s">
        <v>20</v>
      </c>
      <c r="AU11" t="b">
        <f>AND(SUMIFS($AN$8:$AN$1039,$O$8:$O$1039,AU7,$AB$8:$AB$1039,AS11,$R$8:$R$1039,AR11)&lt;=C11,SUMIFS($AO$8:$AO$1039,$O$8:$O$1039,AU7,$AB$8:$AB$1039,AS11,$R$8:$R$1039,AR11)&lt;=C17)</f>
        <v>1</v>
      </c>
      <c r="AV11" t="b">
        <f>AND(SUMIFS($AN$8:$AN$1039,$O$8:$O$1039,AV7,$AB$8:$AB$1039,AS11,$R$8:$R$1039,AR11)&lt;=C23,SUMIFS($AO$8:$AO$1039,$O$8:$O$1039,AV7,$AB$8:$AB$1039,AS11,$R$8:$R$1039,AR11)&lt;=C29)</f>
        <v>1</v>
      </c>
      <c r="AW11" t="b">
        <f>AND(SUMIFS($AN$8:$AN$1039,$O$8:$O$1039,AW7,$AB$8:$AB$1039,AS11,$R$8:$R$1039,AR11)&lt;=C35,SUMIFS($AO$8:$AO$1039,$O$8:$O$1039,AW7,$AB$8:$AB$1039,AS11,$R$8:$R$1039,AR11)&lt;=C41)</f>
        <v>1</v>
      </c>
      <c r="AX11" t="b">
        <f>AND(SUMIFS($AN$8:$AN$1039,$O$8:$O$1039,AX7,$AB$8:$AB$1039,AS11,$R$8:$R$1039,AR11)&lt;=C47,SUMIFS($AO$8:$AO$1039,$O$8:$O$1039,AX7,$AB$8:$AB$1039,AS11,$R$8:$R$1039,AR11)&lt;=C53)</f>
        <v>1</v>
      </c>
      <c r="AY11" t="b">
        <f>AND(SUMIFS($AN$8:$AN$1039,$O$8:$O$1039,AY7,$AB$8:$AB$1039,AS11,$R$8:$R$1039,AR11)&lt;=C59,SUMIFS($AO$8:$AO$1039,$O$8:$O$1039,AY7,$AB$8:$AB$1039,AS11,$R$8:$R$1039,AR11)&lt;=C65)</f>
        <v>1</v>
      </c>
      <c r="AZ11" t="b">
        <f>AND(SUMIFS($AN$8:$AN$1039,$O$8:$O$1039,AZ7,$AB$8:$AB$1039,AS11,$R$8:$R$1039,AR11)&lt;=C71,SUMIFS($AO$8:$AO$1039,$O$8:$O$1039,AZ7,$AB$8:$AB$1039,AS11,$R$8:$R$1039,AR11)&lt;=C77)</f>
        <v>1</v>
      </c>
      <c r="BA11" t="b">
        <f>AND(SUMIFS($AN$8:$AN$1039,$O$8:$O$1039,BA7,$AB$8:$AB$1039,AS11,$R$8:$R$1039,AR11)&lt;=C83,SUMIFS($AO$8:$AO$1039,$O$8:$O$1039,BA7,$AB$8:$AB$1039,AS11,$R$8:$R$1039,AR11)&lt;=C89)</f>
        <v>1</v>
      </c>
      <c r="BB11" t="b">
        <f>AND(SUMIFS($AN$8:$AN$1039,$O$8:$O$1039,BB7,$AB$8:$AB$1039,AS11,$R$8:$R$1039,AR11)&lt;=C95,SUMIFS($AO$8:$AO$1039,$O$8:$O$1039,BB7,$AB$8:$AB$1039,AS11,$R$8:$R$1039,AR11)&lt;=C101)</f>
        <v>1</v>
      </c>
    </row>
    <row r="12" spans="1:54" ht="14.55" customHeight="1" x14ac:dyDescent="0.45">
      <c r="A12" s="85"/>
      <c r="B12" s="31" t="s">
        <v>15</v>
      </c>
      <c r="C12" s="43">
        <v>40</v>
      </c>
      <c r="D12" s="43">
        <v>30</v>
      </c>
      <c r="E12" s="43">
        <v>16</v>
      </c>
      <c r="O12" s="43" t="s">
        <v>11</v>
      </c>
      <c r="P12" s="43">
        <v>1</v>
      </c>
      <c r="Q12" s="43">
        <v>2</v>
      </c>
      <c r="R12" s="43">
        <v>2</v>
      </c>
      <c r="S12" s="45"/>
      <c r="T12" t="b">
        <f>(S11+S12+S13)=N2</f>
        <v>0</v>
      </c>
      <c r="X12" s="1">
        <f t="shared" ref="X12:X40" si="5">MAX(S9-S12,0)</f>
        <v>0</v>
      </c>
      <c r="Y12" s="48">
        <v>0</v>
      </c>
      <c r="AA12" s="1">
        <v>10</v>
      </c>
      <c r="AB12" s="1" t="s">
        <v>16</v>
      </c>
      <c r="AC12" s="1" t="s">
        <v>22</v>
      </c>
      <c r="AD12" s="1">
        <v>25</v>
      </c>
      <c r="AE12" s="1">
        <v>21</v>
      </c>
      <c r="AF12" s="1">
        <v>0.8</v>
      </c>
      <c r="AG12" s="1">
        <v>0.9</v>
      </c>
      <c r="AH12" s="1">
        <v>0</v>
      </c>
      <c r="AI12" s="1">
        <v>0</v>
      </c>
      <c r="AJ12" s="1">
        <f t="shared" si="1"/>
        <v>0</v>
      </c>
      <c r="AK12" s="1">
        <f>D13</f>
        <v>60</v>
      </c>
      <c r="AL12" s="1">
        <f>D19</f>
        <v>0</v>
      </c>
      <c r="AM12" s="1">
        <f t="shared" si="2"/>
        <v>0</v>
      </c>
      <c r="AN12" s="1">
        <f t="shared" si="3"/>
        <v>0</v>
      </c>
      <c r="AO12" s="1">
        <f t="shared" si="4"/>
        <v>0</v>
      </c>
      <c r="AP12" t="b" cm="1">
        <f t="array" ref="AP12">INDEX($AU$8:$BB$25,6*(R12-1)+MATCH(AB12,$AS$8:$AS$13,0),MATCH(O12,$AU$7:$BB$7,0))</f>
        <v>1</v>
      </c>
      <c r="AR12" s="1">
        <v>1</v>
      </c>
      <c r="AS12" s="1" t="s">
        <v>15</v>
      </c>
      <c r="AT12" s="1" t="s">
        <v>21</v>
      </c>
      <c r="AU12" t="b">
        <f>AND(SUMIFS($AN$8:$AN$1039,$O$8:$O$1039,AU7,$AB$8:$AB$1039,AS12,$R$8:$R$1039,AR12)&lt;=C12,SUMIFS($AO$8:$AO$1039,$O$8:$O$1039,AU7,$AB$8:$AB$1039,AS12,$R$8:$R$1039,AR12)&lt;=C18)</f>
        <v>1</v>
      </c>
      <c r="AV12" t="b">
        <f>AND(SUMIFS($AN$8:$AN$1039,$O$8:$O$1039,AV7,$AB$8:$AB$1039,AS12,$R$8:$R$1039,AR12)&lt;=C24,SUMIFS($AO$8:$AO$1039,$O$8:$O$1039,AV7,$AB$8:$AB$1039,AS12,$R$8:$R$1039,AR12)&lt;=C30)</f>
        <v>1</v>
      </c>
      <c r="AW12" t="b">
        <f>AND(SUMIFS($AN$8:$AN$1039,$O$8:$O$1039,AW7,$AB$8:$AB$1039,AS12,$R$8:$R$1039,AR12)&lt;=C36,SUMIFS($AO$8:$AO$1039,$O$8:$O$1039,AW7,$AB$8:$AB$1039,AS12,$R$8:$R$1039,AR12)&lt;=C42)</f>
        <v>1</v>
      </c>
      <c r="AX12" t="b">
        <f>AND(SUMIFS($AN$8:$AN$1039,$O$8:$O$1039,AX7,$AB$8:$AB$1039,AS12,$R$8:$R$1039,AR12)&lt;=C48,SUMIFS($AO$8:$AO$1039,$O$8:$O$1039,AX7,$AB$8:$AB$1039,AS12,$R$8:$R$1039,AR12)&lt;=C54)</f>
        <v>1</v>
      </c>
      <c r="AY12" t="b">
        <f>AND(SUMIFS($AN$8:$AN$1039,$O$8:$O$1039,AY7,$AB$8:$AB$1039,AS12,$R$8:$R$1039,AR12)&lt;=C60,SUMIFS($AO$8:$AO$1039,$O$8:$O$1039,AY7,$AB$8:$AB$1039,AS12,$R$8:$R$1039,AR12)&lt;=C66)</f>
        <v>1</v>
      </c>
      <c r="AZ12" t="b">
        <f>AND(SUMIFS($AN$8:$AN$1039,$O$8:$O$1039,AZ7,$AB$8:$AB$1039,AS12,$R$8:$R$1039,AR12)&lt;=C72,SUMIFS($AO$8:$AO$1039,$O$8:$O$1039,AZ7,$AB$8:$AB$1039,AS12,$R$8:$R$1039,AR12)&lt;=C78)</f>
        <v>1</v>
      </c>
      <c r="BA12" t="b">
        <f>AND(SUMIFS($AN$8:$AN$1039,$O$8:$O$1039,BA7,$AB$8:$AB$1039,AS12,$R$8:$R$1039,AR12)&lt;=C84,SUMIFS($AO$8:$AO$1039,$O$8:$O$1039,BA7,$AB$8:$AB$1039,AS12,$R$8:$R$1039,AR12)&lt;=C90)</f>
        <v>1</v>
      </c>
      <c r="BB12" t="b">
        <f>AND(SUMIFS($AN$8:$AN$1039,$O$8:$O$1039,BB7,$AB$8:$AB$1039,AS12,$R$8:$R$1039,AR12)&lt;=C96,SUMIFS($AO$8:$AO$1039,$O$8:$O$1039,BB7,$AB$8:$AB$1039,AS12,$R$8:$R$1039,AR12)&lt;=C102)</f>
        <v>1</v>
      </c>
    </row>
    <row r="13" spans="1:54" ht="14.55" customHeight="1" x14ac:dyDescent="0.45">
      <c r="A13" s="85"/>
      <c r="B13" s="31" t="s">
        <v>16</v>
      </c>
      <c r="C13" s="43">
        <v>90</v>
      </c>
      <c r="D13" s="43">
        <v>60</v>
      </c>
      <c r="E13" s="43">
        <v>36</v>
      </c>
      <c r="O13" s="43" t="s">
        <v>11</v>
      </c>
      <c r="P13" s="43">
        <v>1</v>
      </c>
      <c r="Q13" s="43">
        <v>2</v>
      </c>
      <c r="R13" s="43">
        <v>3</v>
      </c>
      <c r="S13" s="45"/>
      <c r="T13" t="b">
        <f>(S11+S12+S13)=N2</f>
        <v>0</v>
      </c>
      <c r="X13" s="1">
        <f t="shared" si="5"/>
        <v>0</v>
      </c>
      <c r="Y13" s="48">
        <v>0</v>
      </c>
      <c r="AA13" s="1">
        <v>10</v>
      </c>
      <c r="AB13" s="1" t="s">
        <v>16</v>
      </c>
      <c r="AC13" s="1" t="s">
        <v>22</v>
      </c>
      <c r="AD13" s="1">
        <v>25</v>
      </c>
      <c r="AE13" s="1">
        <v>21</v>
      </c>
      <c r="AF13" s="1">
        <v>0.8</v>
      </c>
      <c r="AG13" s="1">
        <v>0.9</v>
      </c>
      <c r="AH13" s="1">
        <v>0</v>
      </c>
      <c r="AI13" s="1">
        <v>0</v>
      </c>
      <c r="AJ13" s="1">
        <f t="shared" si="1"/>
        <v>0</v>
      </c>
      <c r="AK13" s="1">
        <f>E13</f>
        <v>36</v>
      </c>
      <c r="AL13" s="1">
        <f>E19</f>
        <v>0</v>
      </c>
      <c r="AM13" s="1">
        <f t="shared" si="2"/>
        <v>0</v>
      </c>
      <c r="AN13" s="1">
        <f t="shared" si="3"/>
        <v>0</v>
      </c>
      <c r="AO13" s="1">
        <f t="shared" si="4"/>
        <v>0</v>
      </c>
      <c r="AP13" t="b" cm="1">
        <f t="array" ref="AP13">INDEX($AU$8:$BB$25,6*(R13-1)+MATCH(AB13,$AS$8:$AS$13,0),MATCH(O13,$AU$7:$BB$7,0))</f>
        <v>1</v>
      </c>
      <c r="AR13" s="1">
        <v>1</v>
      </c>
      <c r="AS13" s="1" t="s">
        <v>16</v>
      </c>
      <c r="AT13" s="1" t="s">
        <v>22</v>
      </c>
      <c r="AU13" t="b">
        <f>AND(SUMIFS($AN$8:$AN$1039,$O$8:$O$1039,AU7,$AB$8:$AB$1039,AS13,$R$8:$R$1039,AR13)&lt;=C13,SUMIFS($AO$8:$AO$1039,$O$8:$O$1039,AU7,$AB$8:$AB$1039,AS13,$R$8:$R$1039,AR13)&lt;=C19)</f>
        <v>1</v>
      </c>
      <c r="AV13" t="b">
        <f>AND(SUMIFS($AN$8:$AN$1039,$O$8:$O$1039,AV7,$AB$8:$AB$1039,AS13,$R$8:$R$1039,AR13)&lt;=C25,SUMIFS($AO$8:$AO$1039,$O$8:$O$1039,AV7,$AB$8:$AB$1039,AS13,$R$8:$R$1039,AR13)&lt;=C31)</f>
        <v>1</v>
      </c>
      <c r="AW13" t="b">
        <f>AND(SUMIFS($AN$8:$AN$1039,$O$8:$O$1039,AW7,$AB$8:$AB$1039,AS13,$R$8:$R$1039,AR13)&lt;=C37,SUMIFS($AO$8:$AO$1039,$O$8:$O$1039,AW7,$AB$8:$AB$1039,AS13,$R$8:$R$1039,AR13)&lt;=C43)</f>
        <v>1</v>
      </c>
      <c r="AX13" t="b">
        <f>AND(SUMIFS($AN$8:$AN$1039,$O$8:$O$1039,AX7,$AB$8:$AB$1039,AS13,$R$8:$R$1039,AR13)&lt;=C49,SUMIFS($AO$8:$AO$1039,$O$8:$O$1039,AX7,$AB$8:$AB$1039,AS13,$R$8:$R$1039,AR13)&lt;=C55)</f>
        <v>1</v>
      </c>
      <c r="AY13" t="b">
        <f>AND(SUMIFS($AN$8:$AN$1039,$O$8:$O$1039,AY7,$AB$8:$AB$1039,AS13,$R$8:$R$1039,AR13)&lt;=C61,SUMIFS($AO$8:$AO$1039,$O$8:$O$1039,AY7,$AB$8:$AB$1039,AS13,$R$8:$R$1039,AR13)&lt;=C67)</f>
        <v>1</v>
      </c>
      <c r="AZ13" t="b">
        <f>AND(SUMIFS($AN$8:$AN$1039,$O$8:$O$1039,AZ7,$AB$8:$AB$1039,AS13,$R$8:$R$1039,AR13)&lt;=C73,SUMIFS($AO$8:$AO$1039,$O$8:$O$1039,AZ7,$AB$8:$AB$1039,AS13,$R$8:$R$1039,AR13)&lt;=C79)</f>
        <v>1</v>
      </c>
      <c r="BA13" t="b">
        <f>AND(SUMIFS($AN$8:$AN$1039,$O$8:$O$1039,BA7,$AB$8:$AB$1039,AS13,$R$8:$R$1039,AR13)&lt;=C85,SUMIFS($AO$8:$AO$1039,$O$8:$O$1039,BA7,$AB$8:$AB$1039,AS13,$R$8:$R$1039,AR13)&lt;=C91)</f>
        <v>1</v>
      </c>
      <c r="BB13" t="b">
        <f>AND(SUMIFS($AN$8:$AN$1039,$O$8:$O$1039,BB7,$AB$8:$AB$1039,AS13,$R$8:$R$1039,AR13)&lt;=C97,SUMIFS($AO$8:$AO$1039,$O$8:$O$1039,BB7,$AB$8:$AB$1039,AS13,$R$8:$R$1039,AR13)&lt;=C103)</f>
        <v>1</v>
      </c>
    </row>
    <row r="14" spans="1:54" ht="14.55" customHeight="1" x14ac:dyDescent="0.45">
      <c r="A14" s="85"/>
      <c r="B14" s="31" t="s">
        <v>17</v>
      </c>
      <c r="C14" s="43">
        <v>0</v>
      </c>
      <c r="D14" s="43">
        <v>0</v>
      </c>
      <c r="E14" s="43">
        <v>0</v>
      </c>
      <c r="O14" s="43" t="s">
        <v>11</v>
      </c>
      <c r="P14" s="43">
        <v>1</v>
      </c>
      <c r="Q14" s="43">
        <v>3</v>
      </c>
      <c r="R14" s="43">
        <v>1</v>
      </c>
      <c r="S14" s="45"/>
      <c r="T14" t="b">
        <f>(S14+S15+S16)=N2</f>
        <v>0</v>
      </c>
      <c r="X14" s="1">
        <f t="shared" si="5"/>
        <v>0</v>
      </c>
      <c r="Y14" s="48">
        <v>0</v>
      </c>
      <c r="AA14" s="1">
        <v>8</v>
      </c>
      <c r="AB14" s="1" t="s">
        <v>16</v>
      </c>
      <c r="AC14" s="1" t="s">
        <v>22</v>
      </c>
      <c r="AD14" s="1">
        <v>27</v>
      </c>
      <c r="AE14" s="1">
        <v>23</v>
      </c>
      <c r="AF14" s="1">
        <v>0.8</v>
      </c>
      <c r="AG14" s="1">
        <v>0.9</v>
      </c>
      <c r="AH14" s="1">
        <v>0</v>
      </c>
      <c r="AI14" s="1">
        <v>0</v>
      </c>
      <c r="AJ14" s="1">
        <f t="shared" si="1"/>
        <v>0</v>
      </c>
      <c r="AK14" s="1">
        <f>C13</f>
        <v>90</v>
      </c>
      <c r="AL14" s="1">
        <f>C19</f>
        <v>0</v>
      </c>
      <c r="AM14" s="1">
        <f t="shared" si="2"/>
        <v>0</v>
      </c>
      <c r="AN14" s="1">
        <f t="shared" si="3"/>
        <v>0</v>
      </c>
      <c r="AO14" s="1">
        <f t="shared" si="4"/>
        <v>0</v>
      </c>
      <c r="AP14" t="b" cm="1">
        <f t="array" ref="AP14">INDEX($AU$8:$BB$25,6*(R14-1)+MATCH(AB14,$AS$8:$AS$13,0),MATCH(O14,$AU$7:$BB$7,0))</f>
        <v>1</v>
      </c>
      <c r="AR14" s="1">
        <v>2</v>
      </c>
      <c r="AS14" s="1" t="s">
        <v>10</v>
      </c>
      <c r="AT14" s="1" t="s">
        <v>17</v>
      </c>
      <c r="AU14" t="b">
        <f>AND(SUMIFS($AN$8:$AN$1039,$O$8:$O$1039,AU7,$AB$8:$AB$1039,AS14,$R$8:$R$1039,AR14)&lt;=D8,SUMIFS($AO$8:$AO$1039,$O$8:$O$1039,AU7,$AB$8:$AB$1039,AS14,$R$8:$R$1039,AR14)&lt;=D14)</f>
        <v>1</v>
      </c>
      <c r="AV14" t="b">
        <f>AND(SUMIFS($AN$8:$AN$1039,$O$8:$O$1039,AV7,$AB$8:$AB$1039,AS14,$R$8:$R$1039,AR14)&lt;=D20,SUMIFS($AO$8:$AO$1039,$O$8:$O$1039,AV7,$AB$8:$AB$1039,AS14,$R$8:$R$1039,AR14)&lt;=D26)</f>
        <v>1</v>
      </c>
      <c r="AW14" t="b">
        <f>AND(SUMIFS($AN$8:$AN$1039,$O$8:$O$1039,AW7,$AB$8:$AB$1039,AS14,$R$8:$R$1039,AR14)&lt;=D32,SUMIFS($AO$8:$AO$1039,$O$8:$O$1039,AW7,$AB$8:$AB$1039,AS14,$R$8:$R$1039,AR14)&lt;=D38)</f>
        <v>1</v>
      </c>
      <c r="AX14" t="b">
        <f>AND(SUMIFS($AN$8:$AN$1039,$O$8:$O$1039,AX7,$AB$8:$AB$1039,AS14,$R$8:$R$1039,AR14)&lt;=D44,SUMIFS($AO$8:$AO$1039,$O$8:$O$1039,AX7,$AB$8:$AB$1039,AS14,$R$8:$R$1039,AR14)&lt;=D50)</f>
        <v>1</v>
      </c>
      <c r="AY14" t="b">
        <f>AND(SUMIFS($AN$8:$AN$1039,$O$8:$O$1039,AY7,$AB$8:$AB$1039,AS14,$R$8:$R$1039,AR14)&lt;=D56,SUMIFS($AO$8:$AO$1039,$O$8:$O$1039,AY7,$AB$8:$AB$1039,AS14,$R$8:$R$1039,AR14)&lt;=D62)</f>
        <v>1</v>
      </c>
      <c r="AZ14" t="b">
        <f>AND(SUMIFS($AN$8:$AN$1039,$O$8:$O$1039,AZ7,$AB$8:$AB$1039,AS14,$R$8:$R$1039,AR14)&lt;=D68,SUMIFS($AO$8:$AO$1039,$O$8:$O$1039,AZ7,$AB$8:$AB$1039,AS14,$R$8:$R$1039,AR14)&lt;=D74)</f>
        <v>1</v>
      </c>
      <c r="BA14" t="b">
        <f>AND(SUMIFS($AN$8:$AN$1039,$O$8:$O$1039,BA7,$AB$8:$AB$1039,AS14,$R$8:$R$1039,AR14)&lt;=D80,SUMIFS($AO$8:$AO$1039,$O$8:$O$1039,BA7,$AB$8:$AB$1039,AS14,$R$8:$R$1039,AR14)&lt;=D86)</f>
        <v>1</v>
      </c>
      <c r="BB14" t="b">
        <f>AND(SUMIFS($AN$8:$AN$1039,$O$8:$O$1039,BB7,$AB$8:$AB$1039,AS14,$R$8:$R$1039,AR14)&lt;=D92,SUMIFS($AO$8:$AO$1039,$O$8:$O$1039,BB7,$AB$8:$AB$1039,AS14,$R$8:$R$1039,AR14)&lt;=D98)</f>
        <v>1</v>
      </c>
    </row>
    <row r="15" spans="1:54" ht="14.55" customHeight="1" x14ac:dyDescent="0.45">
      <c r="A15" s="85"/>
      <c r="B15" s="31" t="s">
        <v>18</v>
      </c>
      <c r="C15" s="43">
        <v>0</v>
      </c>
      <c r="D15" s="43">
        <v>0</v>
      </c>
      <c r="E15" s="43">
        <v>0</v>
      </c>
      <c r="O15" s="43" t="s">
        <v>11</v>
      </c>
      <c r="P15" s="43">
        <v>1</v>
      </c>
      <c r="Q15" s="43">
        <v>3</v>
      </c>
      <c r="R15" s="43">
        <v>2</v>
      </c>
      <c r="S15" s="45"/>
      <c r="T15" t="b">
        <f>(S14+S15+S16)=N2</f>
        <v>0</v>
      </c>
      <c r="X15" s="1">
        <f t="shared" si="5"/>
        <v>0</v>
      </c>
      <c r="Y15" s="48">
        <v>0</v>
      </c>
      <c r="AA15" s="1">
        <v>8</v>
      </c>
      <c r="AB15" s="1" t="s">
        <v>16</v>
      </c>
      <c r="AC15" s="1" t="s">
        <v>22</v>
      </c>
      <c r="AD15" s="1">
        <v>27</v>
      </c>
      <c r="AE15" s="1">
        <v>23</v>
      </c>
      <c r="AF15" s="1">
        <v>0.8</v>
      </c>
      <c r="AG15" s="1">
        <v>0.9</v>
      </c>
      <c r="AH15" s="1">
        <v>0</v>
      </c>
      <c r="AI15" s="1">
        <v>0</v>
      </c>
      <c r="AJ15" s="1">
        <f t="shared" si="1"/>
        <v>0</v>
      </c>
      <c r="AK15" s="1">
        <f>D13</f>
        <v>60</v>
      </c>
      <c r="AL15" s="1">
        <f>D19</f>
        <v>0</v>
      </c>
      <c r="AM15" s="1">
        <f t="shared" si="2"/>
        <v>0</v>
      </c>
      <c r="AN15" s="1">
        <f t="shared" si="3"/>
        <v>0</v>
      </c>
      <c r="AO15" s="1">
        <f t="shared" si="4"/>
        <v>0</v>
      </c>
      <c r="AP15" t="b" cm="1">
        <f t="array" ref="AP15">INDEX($AU$8:$BB$25,6*(R15-1)+MATCH(AB15,$AS$8:$AS$13,0),MATCH(O15,$AU$7:$BB$7,0))</f>
        <v>1</v>
      </c>
      <c r="AR15" s="1">
        <v>2</v>
      </c>
      <c r="AS15" s="1" t="s">
        <v>12</v>
      </c>
      <c r="AT15" s="1" t="s">
        <v>18</v>
      </c>
      <c r="AU15" t="b">
        <f>AND(SUMIFS($AN$8:$AN$1039,$O$8:$O$1039,AU7,$AB$8:$AB$1039,AS15,$R$8:$R$1039,AR15)&lt;=D9,SUMIFS($AO$8:$AO$1039,$O$8:$O$1039,AU7,$AB$8:$AB$1039,AS15,$R$8:$R$1039,AR15)&lt;=D15)</f>
        <v>1</v>
      </c>
      <c r="AV15" t="b">
        <f>AND(SUMIFS($AN$8:$AN$1039,$O$8:$O$1039,AV7,$AB$8:$AB$1039,AS15,$R$8:$R$1039,AR15)&lt;=D21,SUMIFS($AO$8:$AO$1039,$O$8:$O$1039,AV7,$AB$8:$AB$1039,AS15,$R$8:$R$1039,AR15)&lt;=D27)</f>
        <v>1</v>
      </c>
      <c r="AW15" t="b">
        <f>AND(SUMIFS($AN$8:$AN$1039,$O$8:$O$1039,AW7,$AB$8:$AB$1039,AS15,$R$8:$R$1039,AR15)&lt;=D33,SUMIFS($AO$8:$AO$1039,$O$8:$O$1039,AW7,$AB$8:$AB$1039,AS15,$R$8:$R$1039,AR15)&lt;=D39)</f>
        <v>1</v>
      </c>
      <c r="AX15" t="b">
        <f>AND(SUMIFS($AN$8:$AN$1039,$O$8:$O$1039,AX7,$AB$8:$AB$1039,AS15,$R$8:$R$1039,AR15)&lt;=D45,SUMIFS($AO$8:$AO$1039,$O$8:$O$1039,AX7,$AB$8:$AB$1039,AS15,$R$8:$R$1039,AR15)&lt;=D51)</f>
        <v>1</v>
      </c>
      <c r="AY15" t="b">
        <f>AND(SUMIFS($AN$8:$AN$1039,$O$8:$O$1039,AY7,$AB$8:$AB$1039,AS15,$R$8:$R$1039,AR15)&lt;=D57,SUMIFS($AO$8:$AO$1039,$O$8:$O$1039,AY7,$AB$8:$AB$1039,AS15,$R$8:$R$1039,AR15)&lt;=D63)</f>
        <v>1</v>
      </c>
      <c r="AZ15" t="b">
        <f>AND(SUMIFS($AN$8:$AN$1039,$O$8:$O$1039,AZ7,$AB$8:$AB$1039,AS15,$R$8:$R$1039,AR15)&lt;=D69,SUMIFS($AO$8:$AO$1039,$O$8:$O$1039,AZ7,$AB$8:$AB$1039,AS15,$R$8:$R$1039,AR15)&lt;=D75)</f>
        <v>1</v>
      </c>
      <c r="BA15" t="b">
        <f>AND(SUMIFS($AN$8:$AN$1039,$O$8:$O$1039,BA7,$AB$8:$AB$1039,AS15,$R$8:$R$1039,AR15)&lt;=D81,SUMIFS($AO$8:$AO$1039,$O$8:$O$1039,BA7,$AB$8:$AB$1039,AS15,$R$8:$R$1039,AR15)&lt;=D87)</f>
        <v>1</v>
      </c>
      <c r="BB15" t="b">
        <f>AND(SUMIFS($AN$8:$AN$1039,$O$8:$O$1039,BB7,$AB$8:$AB$1039,AS15,$R$8:$R$1039,AR15)&lt;=D93,SUMIFS($AO$8:$AO$1039,$O$8:$O$1039,BB7,$AB$8:$AB$1039,AS15,$R$8:$R$1039,AR15)&lt;=D99)</f>
        <v>1</v>
      </c>
    </row>
    <row r="16" spans="1:54" ht="14.55" customHeight="1" x14ac:dyDescent="0.45">
      <c r="A16" s="85"/>
      <c r="B16" s="31" t="s">
        <v>19</v>
      </c>
      <c r="C16" s="43">
        <v>0</v>
      </c>
      <c r="D16" s="43">
        <v>0</v>
      </c>
      <c r="E16" s="43">
        <v>0</v>
      </c>
      <c r="O16" s="43" t="s">
        <v>11</v>
      </c>
      <c r="P16" s="43">
        <v>1</v>
      </c>
      <c r="Q16" s="43">
        <v>3</v>
      </c>
      <c r="R16" s="43">
        <v>3</v>
      </c>
      <c r="S16" s="45"/>
      <c r="T16" t="b">
        <f>(S14+S15+S16)=N2</f>
        <v>0</v>
      </c>
      <c r="X16" s="1">
        <f t="shared" si="5"/>
        <v>0</v>
      </c>
      <c r="Y16" s="48">
        <v>0</v>
      </c>
      <c r="AA16" s="1">
        <v>8</v>
      </c>
      <c r="AB16" s="1" t="s">
        <v>16</v>
      </c>
      <c r="AC16" s="1" t="s">
        <v>22</v>
      </c>
      <c r="AD16" s="1">
        <v>27</v>
      </c>
      <c r="AE16" s="1">
        <v>23</v>
      </c>
      <c r="AF16" s="1">
        <v>0.8</v>
      </c>
      <c r="AG16" s="1">
        <v>0.9</v>
      </c>
      <c r="AH16" s="1">
        <v>0</v>
      </c>
      <c r="AI16" s="1">
        <v>0</v>
      </c>
      <c r="AJ16" s="1">
        <f t="shared" si="1"/>
        <v>0</v>
      </c>
      <c r="AK16" s="1">
        <f>E13</f>
        <v>36</v>
      </c>
      <c r="AL16" s="1">
        <f>E19</f>
        <v>0</v>
      </c>
      <c r="AM16" s="1">
        <f t="shared" si="2"/>
        <v>0</v>
      </c>
      <c r="AN16" s="1">
        <f t="shared" si="3"/>
        <v>0</v>
      </c>
      <c r="AO16" s="1">
        <f t="shared" si="4"/>
        <v>0</v>
      </c>
      <c r="AP16" t="b" cm="1">
        <f t="array" ref="AP16">INDEX($AU$8:$BB$25,6*(R16-1)+MATCH(AB16,$AS$8:$AS$13,0),MATCH(O16,$AU$7:$BB$7,0))</f>
        <v>1</v>
      </c>
      <c r="AR16" s="1">
        <v>2</v>
      </c>
      <c r="AS16" s="1" t="s">
        <v>13</v>
      </c>
      <c r="AT16" s="1" t="s">
        <v>19</v>
      </c>
      <c r="AU16" t="b">
        <f>AND(SUMIFS($AN$8:$AN$1039,$O$8:$O$1039,AU7,$AB$8:$AB$1039,AS16,$R$8:$R$1039,AR16)&lt;=D10,SUMIFS($AO$8:$AO$1039,$O$8:$O$1039,AU7,$AB$8:$AB$1039,AS16,$R$8:$R$1039,AR16)&lt;=D16)</f>
        <v>1</v>
      </c>
      <c r="AV16" t="b">
        <f>AND(SUMIFS($AN$8:$AN$1039,$O$8:$O$1039,AV7,$AB$8:$AB$1039,AS16,$R$8:$R$1039,AR16)&lt;=D22,SUMIFS($AO$8:$AO$1039,$O$8:$O$1039,AV7,$AB$8:$AB$1039,AS16,$R$8:$R$1039,AR16)&lt;=D28)</f>
        <v>1</v>
      </c>
      <c r="AW16" t="b">
        <f>AND(SUMIFS($AN$8:$AN$1039,$O$8:$O$1039,AW7,$AB$8:$AB$1039,AS16,$R$8:$R$1039,AR16)&lt;=D34,SUMIFS($AO$8:$AO$1039,$O$8:$O$1039,AW7,$AB$8:$AB$1039,AS16,$R$8:$R$1039,AR16)&lt;=D40)</f>
        <v>1</v>
      </c>
      <c r="AX16" t="b">
        <f>AND(SUMIFS($AN$8:$AN$1039,$O$8:$O$1039,AX7,$AB$8:$AB$1039,AS16,$R$8:$R$1039,AR16)&lt;=D46,SUMIFS($AO$8:$AO$1039,$O$8:$O$1039,AX7,$AB$8:$AB$1039,AS16,$R$8:$R$1039,AR16)&lt;=D52)</f>
        <v>1</v>
      </c>
      <c r="AY16" t="b">
        <f>AND(SUMIFS($AN$8:$AN$1039,$O$8:$O$1039,AY7,$AB$8:$AB$1039,AS16,$R$8:$R$1039,AR16)&lt;=D58,SUMIFS($AO$8:$AO$1039,$O$8:$O$1039,AY7,$AB$8:$AB$1039,AS16,$R$8:$R$1039,AR16)&lt;=D64)</f>
        <v>1</v>
      </c>
      <c r="AZ16" t="b">
        <f>AND(SUMIFS($AN$8:$AN$1039,$O$8:$O$1039,AZ7,$AB$8:$AB$1039,AS16,$R$8:$R$1039,AR16)&lt;=D70,SUMIFS($AO$8:$AO$1039,$O$8:$O$1039,AZ7,$AB$8:$AB$1039,AS16,$R$8:$R$1039,AR16)&lt;=D76)</f>
        <v>1</v>
      </c>
      <c r="BA16" t="b">
        <f>AND(SUMIFS($AN$8:$AN$1039,$O$8:$O$1039,BA7,$AB$8:$AB$1039,AS16,$R$8:$R$1039,AR16)&lt;=D82,SUMIFS($AO$8:$AO$1039,$O$8:$O$1039,BA7,$AB$8:$AB$1039,AS16,$R$8:$R$1039,AR16)&lt;=D88)</f>
        <v>1</v>
      </c>
      <c r="BB16" t="b">
        <f>AND(SUMIFS($AN$8:$AN$1039,$O$8:$O$1039,BB7,$AB$8:$AB$1039,AS16,$R$8:$R$1039,AR16)&lt;=D94,SUMIFS($AO$8:$AO$1039,$O$8:$O$1039,BB7,$AB$8:$AB$1039,AS16,$R$8:$R$1039,AR16)&lt;=D100)</f>
        <v>1</v>
      </c>
    </row>
    <row r="17" spans="1:54" ht="14.55" customHeight="1" x14ac:dyDescent="0.45">
      <c r="A17" s="85"/>
      <c r="B17" s="31" t="s">
        <v>20</v>
      </c>
      <c r="C17" s="43">
        <v>0</v>
      </c>
      <c r="D17" s="43">
        <v>0</v>
      </c>
      <c r="E17" s="43">
        <v>0</v>
      </c>
      <c r="O17" s="43" t="s">
        <v>11</v>
      </c>
      <c r="P17" s="43">
        <v>1</v>
      </c>
      <c r="Q17" s="43">
        <v>4</v>
      </c>
      <c r="R17" s="43">
        <v>1</v>
      </c>
      <c r="S17" s="45"/>
      <c r="T17" t="b">
        <f>(S17+S18+S19)=N2</f>
        <v>0</v>
      </c>
      <c r="X17" s="1">
        <f t="shared" si="5"/>
        <v>0</v>
      </c>
      <c r="Y17" s="48">
        <v>0</v>
      </c>
      <c r="AA17" s="1">
        <v>3</v>
      </c>
      <c r="AB17" s="1" t="s">
        <v>10</v>
      </c>
      <c r="AC17" s="1" t="s">
        <v>17</v>
      </c>
      <c r="AD17" s="1">
        <v>20</v>
      </c>
      <c r="AE17" s="1">
        <v>16</v>
      </c>
      <c r="AF17" s="1">
        <v>0.78</v>
      </c>
      <c r="AG17" s="1">
        <v>0.84</v>
      </c>
      <c r="AH17" s="1">
        <v>0</v>
      </c>
      <c r="AI17" s="1">
        <v>0</v>
      </c>
      <c r="AJ17" s="1">
        <f t="shared" si="1"/>
        <v>0</v>
      </c>
      <c r="AK17" s="1">
        <f>C8</f>
        <v>50</v>
      </c>
      <c r="AL17" s="1">
        <f>C14</f>
        <v>0</v>
      </c>
      <c r="AM17" s="1">
        <f t="shared" si="2"/>
        <v>0</v>
      </c>
      <c r="AN17" s="1">
        <f t="shared" si="3"/>
        <v>0</v>
      </c>
      <c r="AO17" s="1">
        <f t="shared" si="4"/>
        <v>0</v>
      </c>
      <c r="AP17" t="b" cm="1">
        <f t="array" ref="AP17">INDEX($AU$8:$BB$25,6*(R17-1)+MATCH(AB17,$AS$8:$AS$13,0),MATCH(O17,$AU$7:$BB$7,0))</f>
        <v>1</v>
      </c>
      <c r="AR17" s="1">
        <v>2</v>
      </c>
      <c r="AS17" s="1" t="s">
        <v>14</v>
      </c>
      <c r="AT17" s="1" t="s">
        <v>20</v>
      </c>
      <c r="AU17" t="b">
        <f>AND(SUMIFS($AN$8:$AN$1039,$O$8:$O$1039,AU7,$AB$8:$AB$1039,AS17,$R$8:$R$1039,AR17)&lt;=D11,SUMIFS($AO$8:$AO$1039,$O$8:$O$1039,AU7,$AB$8:$AB$1039,AS17,$R$8:$R$1039,AR17)&lt;=D17)</f>
        <v>1</v>
      </c>
      <c r="AV17" t="b">
        <f>AND(SUMIFS($AN$8:$AN$1039,$O$8:$O$1039,AV7,$AB$8:$AB$1039,AS17,$R$8:$R$1039,AR17)&lt;=D23,SUMIFS($AO$8:$AO$1039,$O$8:$O$1039,AV7,$AB$8:$AB$1039,AS17,$R$8:$R$1039,AR17)&lt;=D29)</f>
        <v>1</v>
      </c>
      <c r="AW17" t="b">
        <f>AND(SUMIFS($AN$8:$AN$1039,$O$8:$O$1039,AW7,$AB$8:$AB$1039,AS17,$R$8:$R$1039,AR17)&lt;=D35,SUMIFS($AO$8:$AO$1039,$O$8:$O$1039,AW7,$AB$8:$AB$1039,AS17,$R$8:$R$1039,AR17)&lt;=D41)</f>
        <v>1</v>
      </c>
      <c r="AX17" t="b">
        <f>AND(SUMIFS($AN$8:$AN$1039,$O$8:$O$1039,AX7,$AB$8:$AB$1039,AS17,$R$8:$R$1039,AR17)&lt;=D47,SUMIFS($AO$8:$AO$1039,$O$8:$O$1039,AX7,$AB$8:$AB$1039,AS17,$R$8:$R$1039,AR17)&lt;=D53)</f>
        <v>1</v>
      </c>
      <c r="AY17" t="b">
        <f>AND(SUMIFS($AN$8:$AN$1039,$O$8:$O$1039,AY7,$AB$8:$AB$1039,AS17,$R$8:$R$1039,AR17)&lt;=D59,SUMIFS($AO$8:$AO$1039,$O$8:$O$1039,AY7,$AB$8:$AB$1039,AS17,$R$8:$R$1039,AR17)&lt;=D65)</f>
        <v>1</v>
      </c>
      <c r="AZ17" t="b">
        <f>AND(SUMIFS($AN$8:$AN$1039,$O$8:$O$1039,AZ7,$AB$8:$AB$1039,AS17,$R$8:$R$1039,AR17)&lt;=D71,SUMIFS($AO$8:$AO$1039,$O$8:$O$1039,AZ7,$AB$8:$AB$1039,AS17,$R$8:$R$1039,AR17)&lt;=D77)</f>
        <v>1</v>
      </c>
      <c r="BA17" t="b">
        <f>AND(SUMIFS($AN$8:$AN$1039,$O$8:$O$1039,BA7,$AB$8:$AB$1039,AS17,$R$8:$R$1039,AR17)&lt;=D83,SUMIFS($AO$8:$AO$1039,$O$8:$O$1039,BA7,$AB$8:$AB$1039,AS17,$R$8:$R$1039,AR17)&lt;=D89)</f>
        <v>1</v>
      </c>
      <c r="BB17" t="b">
        <f>AND(SUMIFS($AN$8:$AN$1039,$O$8:$O$1039,BB7,$AB$8:$AB$1039,AS17,$R$8:$R$1039,AR17)&lt;=D95,SUMIFS($AO$8:$AO$1039,$O$8:$O$1039,BB7,$AB$8:$AB$1039,AS17,$R$8:$R$1039,AR17)&lt;=D101)</f>
        <v>1</v>
      </c>
    </row>
    <row r="18" spans="1:54" ht="14.55" customHeight="1" x14ac:dyDescent="0.45">
      <c r="A18" s="85"/>
      <c r="B18" s="31" t="s">
        <v>21</v>
      </c>
      <c r="C18" s="43">
        <v>0</v>
      </c>
      <c r="D18" s="43">
        <v>0</v>
      </c>
      <c r="E18" s="43">
        <v>0</v>
      </c>
      <c r="O18" s="43" t="s">
        <v>11</v>
      </c>
      <c r="P18" s="43">
        <v>1</v>
      </c>
      <c r="Q18" s="43">
        <v>4</v>
      </c>
      <c r="R18" s="43">
        <v>2</v>
      </c>
      <c r="S18" s="45"/>
      <c r="T18" t="b">
        <f>(S17+S18+S19)=N2</f>
        <v>0</v>
      </c>
      <c r="X18" s="1">
        <f t="shared" si="5"/>
        <v>0</v>
      </c>
      <c r="Y18" s="48">
        <v>0</v>
      </c>
      <c r="AA18" s="1">
        <v>3</v>
      </c>
      <c r="AB18" s="1" t="s">
        <v>10</v>
      </c>
      <c r="AC18" s="1" t="s">
        <v>17</v>
      </c>
      <c r="AD18" s="1">
        <v>20</v>
      </c>
      <c r="AE18" s="1">
        <v>16</v>
      </c>
      <c r="AF18" s="1">
        <v>0.78</v>
      </c>
      <c r="AG18" s="1">
        <v>0.84</v>
      </c>
      <c r="AH18" s="1">
        <v>0</v>
      </c>
      <c r="AI18" s="1">
        <v>0</v>
      </c>
      <c r="AJ18" s="1">
        <f t="shared" si="1"/>
        <v>0</v>
      </c>
      <c r="AK18" s="1">
        <f>D8</f>
        <v>35</v>
      </c>
      <c r="AL18" s="1">
        <f>D14</f>
        <v>0</v>
      </c>
      <c r="AM18" s="1">
        <f t="shared" si="2"/>
        <v>0</v>
      </c>
      <c r="AN18" s="1">
        <f t="shared" si="3"/>
        <v>0</v>
      </c>
      <c r="AO18" s="1">
        <f t="shared" si="4"/>
        <v>0</v>
      </c>
      <c r="AP18" t="b" cm="1">
        <f t="array" ref="AP18">INDEX($AU$8:$BB$25,6*(R18-1)+MATCH(AB18,$AS$8:$AS$13,0),MATCH(O18,$AU$7:$BB$7,0))</f>
        <v>1</v>
      </c>
      <c r="AR18" s="1">
        <v>2</v>
      </c>
      <c r="AS18" s="1" t="s">
        <v>15</v>
      </c>
      <c r="AT18" s="1" t="s">
        <v>21</v>
      </c>
      <c r="AU18" t="b">
        <f>AND(SUMIFS($AN$8:$AN$1039,$O$8:$O$1039,AU7,$AB$8:$AB$1039,AS18,$R$8:$R$1039,AR18)&lt;=D12,SUMIFS($AO$8:$AO$1039,$O$8:$O$1039,AU7,$AB$8:$AB$1039,AS18,$R$8:$R$1039,AR18)&lt;=D18)</f>
        <v>1</v>
      </c>
      <c r="AV18" t="b">
        <f>AND(SUMIFS($AN$8:$AN$1039,$O$8:$O$1039,AV7,$AB$8:$AB$1039,AS18,$R$8:$R$1039,AR18)&lt;=D24,SUMIFS($AO$8:$AO$1039,$O$8:$O$1039,AV7,$AB$8:$AB$1039,AS18,$R$8:$R$1039,AR18)&lt;=D30)</f>
        <v>1</v>
      </c>
      <c r="AW18" t="b">
        <f>AND(SUMIFS($AN$8:$AN$1039,$O$8:$O$1039,AW7,$AB$8:$AB$1039,AS18,$R$8:$R$1039,AR18)&lt;=D36,SUMIFS($AO$8:$AO$1039,$O$8:$O$1039,AW7,$AB$8:$AB$1039,AS18,$R$8:$R$1039,AR18)&lt;=D42)</f>
        <v>1</v>
      </c>
      <c r="AX18" t="b">
        <f>AND(SUMIFS($AN$8:$AN$1039,$O$8:$O$1039,AX7,$AB$8:$AB$1039,AS18,$R$8:$R$1039,AR18)&lt;=D48,SUMIFS($AO$8:$AO$1039,$O$8:$O$1039,AX7,$AB$8:$AB$1039,AS18,$R$8:$R$1039,AR18)&lt;=D54)</f>
        <v>1</v>
      </c>
      <c r="AY18" t="b">
        <f>AND(SUMIFS($AN$8:$AN$1039,$O$8:$O$1039,AY7,$AB$8:$AB$1039,AS18,$R$8:$R$1039,AR18)&lt;=D60,SUMIFS($AO$8:$AO$1039,$O$8:$O$1039,AY7,$AB$8:$AB$1039,AS18,$R$8:$R$1039,AR18)&lt;=D66)</f>
        <v>1</v>
      </c>
      <c r="AZ18" t="b">
        <f>AND(SUMIFS($AN$8:$AN$1039,$O$8:$O$1039,AZ7,$AB$8:$AB$1039,AS18,$R$8:$R$1039,AR18)&lt;=D72,SUMIFS($AO$8:$AO$1039,$O$8:$O$1039,AZ7,$AB$8:$AB$1039,AS18,$R$8:$R$1039,AR18)&lt;=D78)</f>
        <v>1</v>
      </c>
      <c r="BA18" t="b">
        <f>AND(SUMIFS($AN$8:$AN$1039,$O$8:$O$1039,BA7,$AB$8:$AB$1039,AS18,$R$8:$R$1039,AR18)&lt;=D84,SUMIFS($AO$8:$AO$1039,$O$8:$O$1039,BA7,$AB$8:$AB$1039,AS18,$R$8:$R$1039,AR18)&lt;=D90)</f>
        <v>1</v>
      </c>
      <c r="BB18" t="b">
        <f>AND(SUMIFS($AN$8:$AN$1039,$O$8:$O$1039,BB7,$AB$8:$AB$1039,AS18,$R$8:$R$1039,AR18)&lt;=D96,SUMIFS($AO$8:$AO$1039,$O$8:$O$1039,BB7,$AB$8:$AB$1039,AS18,$R$8:$R$1039,AR18)&lt;=D102)</f>
        <v>1</v>
      </c>
    </row>
    <row r="19" spans="1:54" ht="14.55" customHeight="1" x14ac:dyDescent="0.45">
      <c r="A19" s="85"/>
      <c r="B19" s="31" t="s">
        <v>22</v>
      </c>
      <c r="C19" s="43">
        <v>0</v>
      </c>
      <c r="D19" s="43">
        <v>0</v>
      </c>
      <c r="E19" s="43">
        <v>0</v>
      </c>
      <c r="F19" s="44" t="s">
        <v>134</v>
      </c>
      <c r="G19" s="44" t="s">
        <v>135</v>
      </c>
      <c r="H19" s="44" t="s">
        <v>136</v>
      </c>
      <c r="O19" s="43" t="s">
        <v>11</v>
      </c>
      <c r="P19" s="43">
        <v>1</v>
      </c>
      <c r="Q19" s="43">
        <v>4</v>
      </c>
      <c r="R19" s="43">
        <v>3</v>
      </c>
      <c r="S19" s="45"/>
      <c r="T19" t="b">
        <f>(S17+S18+S19)=N2</f>
        <v>0</v>
      </c>
      <c r="X19" s="1">
        <f t="shared" si="5"/>
        <v>0</v>
      </c>
      <c r="Y19" s="48">
        <v>0</v>
      </c>
      <c r="AA19" s="1">
        <v>3</v>
      </c>
      <c r="AB19" s="1" t="s">
        <v>10</v>
      </c>
      <c r="AC19" s="1" t="s">
        <v>17</v>
      </c>
      <c r="AD19" s="1">
        <v>20</v>
      </c>
      <c r="AE19" s="1">
        <v>16</v>
      </c>
      <c r="AF19" s="1">
        <v>0.78</v>
      </c>
      <c r="AG19" s="1">
        <v>0.84</v>
      </c>
      <c r="AH19" s="1">
        <v>0</v>
      </c>
      <c r="AI19" s="1">
        <v>0</v>
      </c>
      <c r="AJ19" s="1">
        <f t="shared" si="1"/>
        <v>0</v>
      </c>
      <c r="AK19" s="1">
        <f>E8</f>
        <v>0</v>
      </c>
      <c r="AL19" s="1">
        <f>E14</f>
        <v>0</v>
      </c>
      <c r="AM19" s="1">
        <f t="shared" si="2"/>
        <v>0</v>
      </c>
      <c r="AN19" s="1">
        <f t="shared" si="3"/>
        <v>0</v>
      </c>
      <c r="AO19" s="1">
        <f t="shared" si="4"/>
        <v>0</v>
      </c>
      <c r="AP19" t="b" cm="1">
        <f t="array" ref="AP19">INDEX($AU$8:$BB$25,6*(R19-1)+MATCH(AB19,$AS$8:$AS$13,0),MATCH(O19,$AU$7:$BB$7,0))</f>
        <v>1</v>
      </c>
      <c r="AR19" s="1">
        <v>2</v>
      </c>
      <c r="AS19" s="1" t="s">
        <v>16</v>
      </c>
      <c r="AT19" s="1" t="s">
        <v>22</v>
      </c>
      <c r="AU19" t="b">
        <f>AND(SUMIFS($AN$8:$AN$1039,$O$8:$O$1039,AU7,$AB$8:$AB$1039,AS19,$R$8:$R$1039,AR19)&lt;=D13,SUMIFS($AO$8:$AO$1039,$O$8:$O$1039,AU7,$AB$8:$AB$1039,AS19,$R$8:$R$1039,AR19)&lt;=D19)</f>
        <v>1</v>
      </c>
      <c r="AV19" t="b">
        <f>AND(SUMIFS($AN$8:$AN$1039,$O$8:$O$1039,AV7,$AB$8:$AB$1039,AS19,$R$8:$R$1039,AR19)&lt;=D25,SUMIFS($AO$8:$AO$1039,$O$8:$O$1039,AV7,$AB$8:$AB$1039,AS19,$R$8:$R$1039,AR19)&lt;=D31)</f>
        <v>1</v>
      </c>
      <c r="AW19" t="b">
        <f>AND(SUMIFS($AN$8:$AN$1039,$O$8:$O$1039,AW7,$AB$8:$AB$1039,AS19,$R$8:$R$1039,AR19)&lt;=D37,SUMIFS($AO$8:$AO$1039,$O$8:$O$1039,AW7,$AB$8:$AB$1039,AS19,$R$8:$R$1039,AR19)&lt;=D43)</f>
        <v>1</v>
      </c>
      <c r="AX19" t="b">
        <f>AND(SUMIFS($AN$8:$AN$1039,$O$8:$O$1039,AX7,$AB$8:$AB$1039,AS19,$R$8:$R$1039,AR19)&lt;=D49,SUMIFS($AO$8:$AO$1039,$O$8:$O$1039,AX7,$AB$8:$AB$1039,AS19,$R$8:$R$1039,AR19)&lt;=D55)</f>
        <v>1</v>
      </c>
      <c r="AY19" t="b">
        <f>AND(SUMIFS($AN$8:$AN$1039,$O$8:$O$1039,AY7,$AB$8:$AB$1039,AS19,$R$8:$R$1039,AR19)&lt;=D61,SUMIFS($AO$8:$AO$1039,$O$8:$O$1039,AY7,$AB$8:$AB$1039,AS19,$R$8:$R$1039,AR19)&lt;=D67)</f>
        <v>1</v>
      </c>
      <c r="AZ19" t="b">
        <f>AND(SUMIFS($AN$8:$AN$1039,$O$8:$O$1039,AZ7,$AB$8:$AB$1039,AS19,$R$8:$R$1039,AR19)&lt;=D73,SUMIFS($AO$8:$AO$1039,$O$8:$O$1039,AZ7,$AB$8:$AB$1039,AS19,$R$8:$R$1039,AR19)&lt;=D79)</f>
        <v>1</v>
      </c>
      <c r="BA19" t="b">
        <f>AND(SUMIFS($AN$8:$AN$1039,$O$8:$O$1039,BA7,$AB$8:$AB$1039,AS19,$R$8:$R$1039,AR19)&lt;=D85,SUMIFS($AO$8:$AO$1039,$O$8:$O$1039,BA7,$AB$8:$AB$1039,AS19,$R$8:$R$1039,AR19)&lt;=D91)</f>
        <v>1</v>
      </c>
      <c r="BB19" t="b">
        <f>AND(SUMIFS($AN$8:$AN$1039,$O$8:$O$1039,BB7,$AB$8:$AB$1039,AS19,$R$8:$R$1039,AR19)&lt;=D97,SUMIFS($AO$8:$AO$1039,$O$8:$O$1039,BB7,$AB$8:$AB$1039,AS19,$R$8:$R$1039,AR19)&lt;=D103)</f>
        <v>1</v>
      </c>
    </row>
    <row r="20" spans="1:54" ht="14.25" x14ac:dyDescent="0.45">
      <c r="A20" s="85" t="s">
        <v>23</v>
      </c>
      <c r="B20" s="31" t="s">
        <v>10</v>
      </c>
      <c r="C20" s="45"/>
      <c r="D20" s="45"/>
      <c r="E20" s="45"/>
      <c r="F20" cm="1">
        <f t="array" ref="F20">SUM(C20:C31*data!$B$3:$B$14)</f>
        <v>0</v>
      </c>
      <c r="G20" cm="1">
        <f t="array" ref="G20">SUM(D20:D31*data!$B$3:$B$14)</f>
        <v>0</v>
      </c>
      <c r="H20" cm="1">
        <f t="array" ref="H20">SUM(E20:E31*data!$B$3:$B$14)</f>
        <v>0</v>
      </c>
      <c r="I20" s="64" t="s">
        <v>156</v>
      </c>
      <c r="O20" s="43" t="s">
        <v>11</v>
      </c>
      <c r="P20" s="43">
        <v>1</v>
      </c>
      <c r="Q20" s="43">
        <v>5</v>
      </c>
      <c r="R20" s="43">
        <v>1</v>
      </c>
      <c r="S20" s="45"/>
      <c r="T20" t="b">
        <f>(S20+S21+S22)=N2</f>
        <v>0</v>
      </c>
      <c r="X20" s="1">
        <f t="shared" si="5"/>
        <v>0</v>
      </c>
      <c r="Y20" s="48">
        <v>0</v>
      </c>
      <c r="AA20" s="1">
        <v>11</v>
      </c>
      <c r="AB20" s="1" t="s">
        <v>16</v>
      </c>
      <c r="AC20" s="1" t="s">
        <v>22</v>
      </c>
      <c r="AD20" s="1">
        <v>12</v>
      </c>
      <c r="AE20" s="1">
        <v>9</v>
      </c>
      <c r="AF20" s="1">
        <v>0.8</v>
      </c>
      <c r="AG20" s="1">
        <v>0.9</v>
      </c>
      <c r="AH20" s="1">
        <v>0</v>
      </c>
      <c r="AI20" s="1">
        <v>0</v>
      </c>
      <c r="AJ20" s="1">
        <f t="shared" si="1"/>
        <v>0</v>
      </c>
      <c r="AK20" s="1">
        <f>C13</f>
        <v>90</v>
      </c>
      <c r="AL20" s="1">
        <f>C19</f>
        <v>0</v>
      </c>
      <c r="AM20" s="1">
        <f t="shared" si="2"/>
        <v>0</v>
      </c>
      <c r="AN20" s="1">
        <f t="shared" si="3"/>
        <v>0</v>
      </c>
      <c r="AO20" s="1">
        <f t="shared" si="4"/>
        <v>0</v>
      </c>
      <c r="AP20" t="b" cm="1">
        <f t="array" ref="AP20">INDEX($AU$8:$BB$25,6*(R20-1)+MATCH(AB20,$AS$8:$AS$13,0),MATCH(O20,$AU$7:$BB$7,0))</f>
        <v>1</v>
      </c>
      <c r="AR20" s="1">
        <v>3</v>
      </c>
      <c r="AS20" s="1" t="s">
        <v>10</v>
      </c>
      <c r="AT20" s="1" t="s">
        <v>17</v>
      </c>
      <c r="AU20" t="b">
        <f>AND(SUMIFS($AN$8:$AN$1039,$O$8:$O$1039,AU7,$AB$8:$AB$1039,AS20,$R$8:$R$1039,AR20)&lt;=E8,SUMIFS($AO$8:$AO$1039,$O$8:$O$1039,AU7,$AB$8:$AB$1039,AS20,$R$8:$R$1039,AR20)&lt;=E14)</f>
        <v>1</v>
      </c>
      <c r="AV20" t="b">
        <f>AND(SUMIFS($AN$8:$AN$1039,$O$8:$O$1039,AV7,$AB$8:$AB$1039,AS20,$R$8:$R$1039,AR20)&lt;=E20,SUMIFS($AO$8:$AO$1039,$O$8:$O$1039,AV7,$AB$8:$AB$1039,AS20,$R$8:$R$1039,AR20)&lt;=E26)</f>
        <v>1</v>
      </c>
      <c r="AW20" t="b">
        <f>AND(SUMIFS($AN$8:$AN$1039,$O$8:$O$1039,AW7,$AB$8:$AB$1039,AS20,$R$8:$R$1039,AR20)&lt;=E32,SUMIFS($AO$8:$AO$1039,$O$8:$O$1039,AW7,$AB$8:$AB$1039,AS20,$R$8:$R$1039,AR20)&lt;=E38)</f>
        <v>1</v>
      </c>
      <c r="AX20" t="b">
        <f>AND(SUMIFS($AN$8:$AN$1039,$O$8:$O$1039,AX7,$AB$8:$AB$1039,AS20,$R$8:$R$1039,AR20)&lt;=E44,SUMIFS($AO$8:$AO$1039,$O$8:$O$1039,AX7,$AB$8:$AB$1039,AS20,$R$8:$R$1039,AR20)&lt;=E50)</f>
        <v>1</v>
      </c>
      <c r="AY20" t="b">
        <f>AND(SUMIFS($AN$8:$AN$1039,$O$8:$O$1039,AY7,$AB$8:$AB$1039,AS20,$R$8:$R$1039,AR20)&lt;=E56,SUMIFS($AO$8:$AO$1039,$O$8:$O$1039,AY7,$AB$8:$AB$1039,AS20,$R$8:$R$1039,AR20)&lt;=E62)</f>
        <v>1</v>
      </c>
      <c r="AZ20" t="b">
        <f>AND(SUMIFS($AN$8:$AN$1039,$O$8:$O$1039,AZ7,$AB$8:$AB$1039,AS20,$R$8:$R$1039,AR20)&lt;=E68,SUMIFS($AO$8:$AO$1039,$O$8:$O$1039,AZ7,$AB$8:$AB$1039,AS20,$R$8:$R$1039,AR20)&lt;=E74)</f>
        <v>1</v>
      </c>
      <c r="BA20" t="b">
        <f>AND(SUMIFS($AN$8:$AN$1039,$O$8:$O$1039,BA7,$AB$8:$AB$1039,AS20,$R$8:$R$1039,AR20)&lt;=E80,SUMIFS($AO$8:$AO$1039,$O$8:$O$1039,BA7,$AB$8:$AB$1039,AS20,$R$8:$R$1039,AR20)&lt;=E86)</f>
        <v>1</v>
      </c>
      <c r="BB20" t="b">
        <f>AND(SUMIFS($AN$8:$AN$1039,$O$8:$O$1039,BB7,$AB$8:$AB$1039,AS20,$R$8:$R$1039,AR20)&lt;=E92,SUMIFS($AO$8:$AO$1039,$O$8:$O$1039,BB7,$AB$8:$AB$1039,AS20,$R$8:$R$1039,AR20)&lt;=E98)</f>
        <v>1</v>
      </c>
    </row>
    <row r="21" spans="1:54" ht="14.55" customHeight="1" x14ac:dyDescent="0.45">
      <c r="A21" s="85"/>
      <c r="B21" s="31" t="s">
        <v>12</v>
      </c>
      <c r="C21" s="45"/>
      <c r="D21" s="45"/>
      <c r="E21" s="45"/>
      <c r="I21" s="64"/>
      <c r="O21" s="43" t="s">
        <v>11</v>
      </c>
      <c r="P21" s="43">
        <v>1</v>
      </c>
      <c r="Q21" s="43">
        <v>5</v>
      </c>
      <c r="R21" s="43">
        <v>2</v>
      </c>
      <c r="S21" s="45"/>
      <c r="T21" t="b">
        <f>(S20+S21+S22)=N2</f>
        <v>0</v>
      </c>
      <c r="X21" s="1">
        <f t="shared" si="5"/>
        <v>0</v>
      </c>
      <c r="Y21" s="48">
        <v>0</v>
      </c>
      <c r="AA21" s="1">
        <v>11</v>
      </c>
      <c r="AB21" s="1" t="s">
        <v>16</v>
      </c>
      <c r="AC21" s="1" t="s">
        <v>22</v>
      </c>
      <c r="AD21" s="1">
        <v>12</v>
      </c>
      <c r="AE21" s="1">
        <v>9</v>
      </c>
      <c r="AF21" s="1">
        <v>0.8</v>
      </c>
      <c r="AG21" s="1">
        <v>0.9</v>
      </c>
      <c r="AH21" s="1">
        <v>0</v>
      </c>
      <c r="AI21" s="1">
        <v>0</v>
      </c>
      <c r="AJ21" s="1">
        <f t="shared" si="1"/>
        <v>0</v>
      </c>
      <c r="AK21" s="1">
        <f>D13</f>
        <v>60</v>
      </c>
      <c r="AL21" s="1">
        <f>D19</f>
        <v>0</v>
      </c>
      <c r="AM21" s="1">
        <f t="shared" si="2"/>
        <v>0</v>
      </c>
      <c r="AN21" s="1">
        <f t="shared" si="3"/>
        <v>0</v>
      </c>
      <c r="AO21" s="1">
        <f t="shared" si="4"/>
        <v>0</v>
      </c>
      <c r="AP21" t="b" cm="1">
        <f t="array" ref="AP21">INDEX($AU$8:$BB$25,6*(R21-1)+MATCH(AB21,$AS$8:$AS$13,0),MATCH(O21,$AU$7:$BB$7,0))</f>
        <v>1</v>
      </c>
      <c r="AR21" s="1">
        <v>3</v>
      </c>
      <c r="AS21" s="1" t="s">
        <v>12</v>
      </c>
      <c r="AT21" s="1" t="s">
        <v>18</v>
      </c>
      <c r="AU21" t="b">
        <f>AND(SUMIFS($AN$8:$AN$1039,$O$8:$O$1039,AU7,$AB$8:$AB$1039,AS21,$R$8:$R$1039,AR21)&lt;=E9,SUMIFS($AO$8:$AO$1039,$O$8:$O$1039,AU7,$AB$8:$AB$1039,AS21,$R$8:$R$1039,AR21)&lt;=E15)</f>
        <v>1</v>
      </c>
      <c r="AV21" t="b">
        <f>AND(SUMIFS($AN$8:$AN$1039,$O$8:$O$1039,AV7,$AB$8:$AB$1039,AS21,$R$8:$R$1039,AR21)&lt;=E21,SUMIFS($AO$8:$AO$1039,$O$8:$O$1039,AV7,$AB$8:$AB$1039,AS21,$R$8:$R$1039,AR21)&lt;=E27)</f>
        <v>1</v>
      </c>
      <c r="AW21" t="b">
        <f>AND(SUMIFS($AN$8:$AN$1039,$O$8:$O$1039,AW7,$AB$8:$AB$1039,AS21,$R$8:$R$1039,AR21)&lt;=E33,SUMIFS($AO$8:$AO$1039,$O$8:$O$1039,AW7,$AB$8:$AB$1039,AS21,$R$8:$R$1039,AR21)&lt;=E39)</f>
        <v>1</v>
      </c>
      <c r="AX21" t="b">
        <f>AND(SUMIFS($AN$8:$AN$1039,$O$8:$O$1039,AX7,$AB$8:$AB$1039,AS21,$R$8:$R$1039,AR21)&lt;=E45,SUMIFS($AO$8:$AO$1039,$O$8:$O$1039,AX7,$AB$8:$AB$1039,AS21,$R$8:$R$1039,AR21)&lt;=E51)</f>
        <v>1</v>
      </c>
      <c r="AY21" t="b">
        <f>AND(SUMIFS($AN$8:$AN$1039,$O$8:$O$1039,AY7,$AB$8:$AB$1039,AS21,$R$8:$R$1039,AR21)&lt;=E57,SUMIFS($AO$8:$AO$1039,$O$8:$O$1039,AY7,$AB$8:$AB$1039,AS21,$R$8:$R$1039,AR21)&lt;=E63)</f>
        <v>1</v>
      </c>
      <c r="AZ21" t="b">
        <f>AND(SUMIFS($AN$8:$AN$1039,$O$8:$O$1039,AZ7,$AB$8:$AB$1039,AS21,$R$8:$R$1039,AR21)&lt;=E69,SUMIFS($AO$8:$AO$1039,$O$8:$O$1039,AZ7,$AB$8:$AB$1039,AS21,$R$8:$R$1039,AR21)&lt;=E75)</f>
        <v>1</v>
      </c>
      <c r="BA21" t="b">
        <f>AND(SUMIFS($AN$8:$AN$1039,$O$8:$O$1039,BA7,$AB$8:$AB$1039,AS21,$R$8:$R$1039,AR21)&lt;=E81,SUMIFS($AO$8:$AO$1039,$O$8:$O$1039,BA7,$AB$8:$AB$1039,AS21,$R$8:$R$1039,AR21)&lt;=E87)</f>
        <v>1</v>
      </c>
      <c r="BB21" t="b">
        <f>AND(SUMIFS($AN$8:$AN$1039,$O$8:$O$1039,BB7,$AB$8:$AB$1039,AS21,$R$8:$R$1039,AR21)&lt;=E93,SUMIFS($AO$8:$AO$1039,$O$8:$O$1039,BB7,$AB$8:$AB$1039,AS21,$R$8:$R$1039,AR21)&lt;=E99)</f>
        <v>1</v>
      </c>
    </row>
    <row r="22" spans="1:54" ht="14.55" customHeight="1" x14ac:dyDescent="0.45">
      <c r="A22" s="85"/>
      <c r="B22" s="31" t="s">
        <v>13</v>
      </c>
      <c r="C22" s="45"/>
      <c r="D22" s="45"/>
      <c r="E22" s="45"/>
      <c r="F22" s="84" t="s">
        <v>137</v>
      </c>
      <c r="G22" s="84"/>
      <c r="I22" s="64"/>
      <c r="O22" s="43" t="s">
        <v>11</v>
      </c>
      <c r="P22" s="43">
        <v>1</v>
      </c>
      <c r="Q22" s="43">
        <v>5</v>
      </c>
      <c r="R22" s="43">
        <v>3</v>
      </c>
      <c r="S22" s="45"/>
      <c r="T22" t="b">
        <f>(S20+S21+S22)=N2</f>
        <v>0</v>
      </c>
      <c r="X22" s="1">
        <f t="shared" si="5"/>
        <v>0</v>
      </c>
      <c r="Y22" s="48">
        <v>0</v>
      </c>
      <c r="AA22" s="1">
        <v>11</v>
      </c>
      <c r="AB22" s="1" t="s">
        <v>16</v>
      </c>
      <c r="AC22" s="1" t="s">
        <v>22</v>
      </c>
      <c r="AD22" s="1">
        <v>12</v>
      </c>
      <c r="AE22" s="1">
        <v>9</v>
      </c>
      <c r="AF22" s="1">
        <v>0.8</v>
      </c>
      <c r="AG22" s="1">
        <v>0.9</v>
      </c>
      <c r="AH22" s="1">
        <v>0</v>
      </c>
      <c r="AI22" s="1">
        <v>0</v>
      </c>
      <c r="AJ22" s="1">
        <f t="shared" si="1"/>
        <v>0</v>
      </c>
      <c r="AK22" s="1">
        <f>E13</f>
        <v>36</v>
      </c>
      <c r="AL22" s="1">
        <f>E19</f>
        <v>0</v>
      </c>
      <c r="AM22" s="1">
        <f t="shared" si="2"/>
        <v>0</v>
      </c>
      <c r="AN22" s="1">
        <f t="shared" si="3"/>
        <v>0</v>
      </c>
      <c r="AO22" s="1">
        <f t="shared" si="4"/>
        <v>0</v>
      </c>
      <c r="AP22" t="b" cm="1">
        <f t="array" ref="AP22">INDEX($AU$8:$BB$25,6*(R22-1)+MATCH(AB22,$AS$8:$AS$13,0),MATCH(O22,$AU$7:$BB$7,0))</f>
        <v>1</v>
      </c>
      <c r="AR22" s="1">
        <v>3</v>
      </c>
      <c r="AS22" s="1" t="s">
        <v>13</v>
      </c>
      <c r="AT22" s="1" t="s">
        <v>19</v>
      </c>
      <c r="AU22" t="b">
        <f>AND(SUMIFS($AN$8:$AN$1039,$O$8:$O$1039,AU7,$AB$8:$AB$1039,AS22,$R$8:$R$1039,AR22)&lt;=E10,SUMIFS($AO$8:$AO$1039,$O$8:$O$1039,AU7,$AB$8:$AB$1039,AS22,$R$8:$R$1039,AR22)&lt;=E16)</f>
        <v>1</v>
      </c>
      <c r="AV22" t="b">
        <f>AND(SUMIFS($AN$8:$AN$1039,$O$8:$O$1039,AV7,$AB$8:$AB$1039,AS22,$R$8:$R$1039,AR22)&lt;=E22,SUMIFS($AO$8:$AO$1039,$O$8:$O$1039,AV7,$AB$8:$AB$1039,AS22,$R$8:$R$1039,AR22)&lt;=E28)</f>
        <v>1</v>
      </c>
      <c r="AW22" t="b">
        <f>AND(SUMIFS($AN$8:$AN$1039,$O$8:$O$1039,AW7,$AB$8:$AB$1039,AS22,$R$8:$R$1039,AR22)&lt;=E34,SUMIFS($AO$8:$AO$1039,$O$8:$O$1039,AW7,$AB$8:$AB$1039,AS22,$R$8:$R$1039,AR22)&lt;=E40)</f>
        <v>1</v>
      </c>
      <c r="AX22" t="b">
        <f>AND(SUMIFS($AN$8:$AN$1039,$O$8:$O$1039,AX7,$AB$8:$AB$1039,AS22,$R$8:$R$1039,AR22)&lt;=E46,SUMIFS($AO$8:$AO$1039,$O$8:$O$1039,AX7,$AB$8:$AB$1039,AS22,$R$8:$R$1039,AR22)&lt;=E52)</f>
        <v>1</v>
      </c>
      <c r="AY22" t="b">
        <f>AND(SUMIFS($AN$8:$AN$1039,$O$8:$O$1039,AY7,$AB$8:$AB$1039,AS22,$R$8:$R$1039,AR22)&lt;=E58,SUMIFS($AO$8:$AO$1039,$O$8:$O$1039,AY7,$AB$8:$AB$1039,AS22,$R$8:$R$1039,AR22)&lt;=E64)</f>
        <v>1</v>
      </c>
      <c r="AZ22" t="b">
        <f>AND(SUMIFS($AN$8:$AN$1039,$O$8:$O$1039,AZ7,$AB$8:$AB$1039,AS22,$R$8:$R$1039,AR22)&lt;=E70,SUMIFS($AO$8:$AO$1039,$O$8:$O$1039,AZ7,$AB$8:$AB$1039,AS22,$R$8:$R$1039,AR22)&lt;=E76)</f>
        <v>1</v>
      </c>
      <c r="BA22" t="b">
        <f>AND(SUMIFS($AN$8:$AN$1039,$O$8:$O$1039,BA7,$AB$8:$AB$1039,AS22,$R$8:$R$1039,AR22)&lt;=E82,SUMIFS($AO$8:$AO$1039,$O$8:$O$1039,BA7,$AB$8:$AB$1039,AS22,$R$8:$R$1039,AR22)&lt;=E88)</f>
        <v>1</v>
      </c>
      <c r="BB22" t="b">
        <f>AND(SUMIFS($AN$8:$AN$1039,$O$8:$O$1039,BB7,$AB$8:$AB$1039,AS22,$R$8:$R$1039,AR22)&lt;=E94,SUMIFS($AO$8:$AO$1039,$O$8:$O$1039,BB7,$AB$8:$AB$1039,AS22,$R$8:$R$1039,AR22)&lt;=E100)</f>
        <v>1</v>
      </c>
    </row>
    <row r="23" spans="1:54" ht="14.55" customHeight="1" x14ac:dyDescent="0.45">
      <c r="A23" s="85"/>
      <c r="B23" s="31" t="s">
        <v>14</v>
      </c>
      <c r="C23" s="45"/>
      <c r="D23" s="45"/>
      <c r="E23" s="45"/>
      <c r="F23" s="83" cm="1">
        <f t="array" ref="F23">SUM(
     _xlfn.BYROW(
           IF(C20:E31-C8:E19&gt;0, C20:E31-C8:E19, 0),
           _xleta.SUM)
     *data!$C$3:$C$14
)</f>
        <v>0</v>
      </c>
      <c r="G23" s="83"/>
      <c r="I23" s="64"/>
      <c r="O23" s="43" t="s">
        <v>11</v>
      </c>
      <c r="P23" s="43">
        <v>1</v>
      </c>
      <c r="Q23" s="43">
        <v>6</v>
      </c>
      <c r="R23" s="43">
        <v>1</v>
      </c>
      <c r="S23" s="45"/>
      <c r="T23" t="b">
        <f>(S23+S24+S25)=N2</f>
        <v>0</v>
      </c>
      <c r="X23" s="1">
        <f t="shared" si="5"/>
        <v>0</v>
      </c>
      <c r="Y23" s="48">
        <v>0</v>
      </c>
      <c r="AA23" s="1">
        <v>7</v>
      </c>
      <c r="AB23" s="1" t="s">
        <v>14</v>
      </c>
      <c r="AC23" s="1" t="s">
        <v>20</v>
      </c>
      <c r="AD23" s="1">
        <v>27</v>
      </c>
      <c r="AE23" s="1">
        <v>21</v>
      </c>
      <c r="AF23" s="1">
        <v>0.8</v>
      </c>
      <c r="AG23" s="1">
        <v>0.88</v>
      </c>
      <c r="AH23" s="1">
        <v>0</v>
      </c>
      <c r="AI23" s="1">
        <v>0</v>
      </c>
      <c r="AJ23" s="1">
        <f t="shared" si="1"/>
        <v>0</v>
      </c>
      <c r="AK23" s="1">
        <f>C11</f>
        <v>50</v>
      </c>
      <c r="AL23" s="1">
        <f>C17</f>
        <v>0</v>
      </c>
      <c r="AM23" s="1">
        <f t="shared" si="2"/>
        <v>0</v>
      </c>
      <c r="AN23" s="1">
        <f t="shared" si="3"/>
        <v>0</v>
      </c>
      <c r="AO23" s="1">
        <f t="shared" si="4"/>
        <v>0</v>
      </c>
      <c r="AP23" t="b" cm="1">
        <f t="array" ref="AP23">INDEX($AU$8:$BB$25,6*(R23-1)+MATCH(AB23,$AS$8:$AS$13,0),MATCH(O23,$AU$7:$BB$7,0))</f>
        <v>1</v>
      </c>
      <c r="AR23" s="1">
        <v>3</v>
      </c>
      <c r="AS23" s="1" t="s">
        <v>14</v>
      </c>
      <c r="AT23" s="1" t="s">
        <v>20</v>
      </c>
      <c r="AU23" t="b">
        <f>AND(SUMIFS($AN$8:$AN$1039,$O$8:$O$1039,AU7,$AB$8:$AB$1039,AS23,$R$8:$R$1039,AR23)&lt;=E11,SUMIFS($AO$8:$AO$1039,$O$8:$O$1039,AU7,$AB$8:$AB$1039,AS23,$R$8:$R$1039,AR23)&lt;=E17)</f>
        <v>1</v>
      </c>
      <c r="AV23" t="b">
        <f>AND(SUMIFS($AN$8:$AN$1039,$O$8:$O$1039,AV7,$AB$8:$AB$1039,AS23,$R$8:$R$1039,AR23)&lt;=E23,SUMIFS($AO$8:$AO$1039,$O$8:$O$1039,AV7,$AB$8:$AB$1039,AS23,$R$8:$R$1039,AR23)&lt;=E29)</f>
        <v>1</v>
      </c>
      <c r="AW23" t="b">
        <f>AND(SUMIFS($AN$8:$AN$1039,$O$8:$O$1039,AW7,$AB$8:$AB$1039,AS23,$R$8:$R$1039,AR23)&lt;=E35,SUMIFS($AO$8:$AO$1039,$O$8:$O$1039,AW7,$AB$8:$AB$1039,AS23,$R$8:$R$1039,AR23)&lt;=E41)</f>
        <v>1</v>
      </c>
      <c r="AX23" t="b">
        <f>AND(SUMIFS($AN$8:$AN$1039,$O$8:$O$1039,AX7,$AB$8:$AB$1039,AS23,$R$8:$R$1039,AR23)&lt;=E47,SUMIFS($AO$8:$AO$1039,$O$8:$O$1039,AX7,$AB$8:$AB$1039,AS23,$R$8:$R$1039,AR23)&lt;=E53)</f>
        <v>1</v>
      </c>
      <c r="AY23" t="b">
        <f>AND(SUMIFS($AN$8:$AN$1039,$O$8:$O$1039,AY7,$AB$8:$AB$1039,AS23,$R$8:$R$1039,AR23)&lt;=E59,SUMIFS($AO$8:$AO$1039,$O$8:$O$1039,AY7,$AB$8:$AB$1039,AS23,$R$8:$R$1039,AR23)&lt;=E65)</f>
        <v>1</v>
      </c>
      <c r="AZ23" t="b">
        <f>AND(SUMIFS($AN$8:$AN$1039,$O$8:$O$1039,AZ7,$AB$8:$AB$1039,AS23,$R$8:$R$1039,AR23)&lt;=E71,SUMIFS($AO$8:$AO$1039,$O$8:$O$1039,AZ7,$AB$8:$AB$1039,AS23,$R$8:$R$1039,AR23)&lt;=E77)</f>
        <v>1</v>
      </c>
      <c r="BA23" t="b">
        <f>AND(SUMIFS($AN$8:$AN$1039,$O$8:$O$1039,BA7,$AB$8:$AB$1039,AS23,$R$8:$R$1039,AR23)&lt;=E83,SUMIFS($AO$8:$AO$1039,$O$8:$O$1039,BA7,$AB$8:$AB$1039,AS23,$R$8:$R$1039,AR23)&lt;=E89)</f>
        <v>1</v>
      </c>
      <c r="BB23" t="b">
        <f>AND(SUMIFS($AN$8:$AN$1039,$O$8:$O$1039,BB7,$AB$8:$AB$1039,AS23,$R$8:$R$1039,AR23)&lt;=E95,SUMIFS($AO$8:$AO$1039,$O$8:$O$1039,BB7,$AB$8:$AB$1039,AS23,$R$8:$R$1039,AR23)&lt;=E101)</f>
        <v>1</v>
      </c>
    </row>
    <row r="24" spans="1:54" ht="14.55" customHeight="1" x14ac:dyDescent="0.45">
      <c r="A24" s="85"/>
      <c r="B24" s="31" t="s">
        <v>15</v>
      </c>
      <c r="C24" s="45"/>
      <c r="D24" s="45"/>
      <c r="E24" s="45"/>
      <c r="F24" s="84" t="s">
        <v>138</v>
      </c>
      <c r="G24" s="84"/>
      <c r="I24" s="64"/>
      <c r="O24" s="43" t="s">
        <v>11</v>
      </c>
      <c r="P24" s="43">
        <v>1</v>
      </c>
      <c r="Q24" s="43">
        <v>6</v>
      </c>
      <c r="R24" s="43">
        <v>2</v>
      </c>
      <c r="S24" s="45"/>
      <c r="T24" t="b">
        <f>(S23+S24+S25)=N2</f>
        <v>0</v>
      </c>
      <c r="X24" s="1">
        <f t="shared" si="5"/>
        <v>0</v>
      </c>
      <c r="Y24" s="48">
        <v>0</v>
      </c>
      <c r="AA24" s="1">
        <v>7</v>
      </c>
      <c r="AB24" s="1" t="s">
        <v>14</v>
      </c>
      <c r="AC24" s="1" t="s">
        <v>20</v>
      </c>
      <c r="AD24" s="1">
        <v>27</v>
      </c>
      <c r="AE24" s="1">
        <v>21</v>
      </c>
      <c r="AF24" s="1">
        <v>0.8</v>
      </c>
      <c r="AG24" s="1">
        <v>0.88</v>
      </c>
      <c r="AH24" s="1">
        <v>0</v>
      </c>
      <c r="AI24" s="1">
        <v>0</v>
      </c>
      <c r="AJ24" s="1">
        <f t="shared" si="1"/>
        <v>0</v>
      </c>
      <c r="AK24" s="1">
        <f>D11</f>
        <v>50</v>
      </c>
      <c r="AL24" s="1">
        <f>D17</f>
        <v>0</v>
      </c>
      <c r="AM24" s="1">
        <f t="shared" si="2"/>
        <v>0</v>
      </c>
      <c r="AN24" s="1">
        <f t="shared" si="3"/>
        <v>0</v>
      </c>
      <c r="AO24" s="1">
        <f t="shared" si="4"/>
        <v>0</v>
      </c>
      <c r="AP24" t="b" cm="1">
        <f t="array" ref="AP24">INDEX($AU$8:$BB$25,6*(R24-1)+MATCH(AB24,$AS$8:$AS$13,0),MATCH(O24,$AU$7:$BB$7,0))</f>
        <v>1</v>
      </c>
      <c r="AR24" s="1">
        <v>3</v>
      </c>
      <c r="AS24" s="1" t="s">
        <v>15</v>
      </c>
      <c r="AT24" s="1" t="s">
        <v>21</v>
      </c>
      <c r="AU24" t="b">
        <f>AND(SUMIFS($AN$8:$AN$1039,$O$8:$O$1039,AU7,$AB$8:$AB$1039,AS24,$R$8:$R$1039,AR24)&lt;=E12,SUMIFS($AO$8:$AO$1039,$O$8:$O$1039,AU7,$AB$8:$AB$1039,AS24,$R$8:$R$1039,AR24)&lt;=E18)</f>
        <v>1</v>
      </c>
      <c r="AV24" t="b">
        <f>AND(SUMIFS($AN$8:$AN$1039,$O$8:$O$1039,AV7,$AB$8:$AB$1039,AS24,$R$8:$R$1039,AR24)&lt;=E24,SUMIFS($AO$8:$AO$1039,$O$8:$O$1039,AV7,$AB$8:$AB$1039,AS24,$R$8:$R$1039,AR24)&lt;=E30)</f>
        <v>1</v>
      </c>
      <c r="AW24" t="b">
        <f>AND(SUMIFS($AN$8:$AN$1039,$O$8:$O$1039,AW7,$AB$8:$AB$1039,AS24,$R$8:$R$1039,AR24)&lt;=E36,SUMIFS($AO$8:$AO$1039,$O$8:$O$1039,AW7,$AB$8:$AB$1039,AS24,$R$8:$R$1039,AR24)&lt;=E42)</f>
        <v>1</v>
      </c>
      <c r="AX24" t="b">
        <f>AND(SUMIFS($AN$8:$AN$1039,$O$8:$O$1039,AX7,$AB$8:$AB$1039,AS24,$R$8:$R$1039,AR24)&lt;=E48,SUMIFS($AO$8:$AO$1039,$O$8:$O$1039,AX7,$AB$8:$AB$1039,AS24,$R$8:$R$1039,AR24)&lt;=E54)</f>
        <v>1</v>
      </c>
      <c r="AY24" t="b">
        <f>AND(SUMIFS($AN$8:$AN$1039,$O$8:$O$1039,AY7,$AB$8:$AB$1039,AS24,$R$8:$R$1039,AR24)&lt;=E60,SUMIFS($AO$8:$AO$1039,$O$8:$O$1039,AY7,$AB$8:$AB$1039,AS24,$R$8:$R$1039,AR24)&lt;=E66)</f>
        <v>1</v>
      </c>
      <c r="AZ24" t="b">
        <f>AND(SUMIFS($AN$8:$AN$1039,$O$8:$O$1039,AZ7,$AB$8:$AB$1039,AS24,$R$8:$R$1039,AR24)&lt;=E72,SUMIFS($AO$8:$AO$1039,$O$8:$O$1039,AZ7,$AB$8:$AB$1039,AS24,$R$8:$R$1039,AR24)&lt;=E78)</f>
        <v>1</v>
      </c>
      <c r="BA24" t="b">
        <f>AND(SUMIFS($AN$8:$AN$1039,$O$8:$O$1039,BA7,$AB$8:$AB$1039,AS24,$R$8:$R$1039,AR24)&lt;=E84,SUMIFS($AO$8:$AO$1039,$O$8:$O$1039,BA7,$AB$8:$AB$1039,AS24,$R$8:$R$1039,AR24)&lt;=E90)</f>
        <v>1</v>
      </c>
      <c r="BB24" t="b">
        <f>AND(SUMIFS($AN$8:$AN$1039,$O$8:$O$1039,BB7,$AB$8:$AB$1039,AS24,$R$8:$R$1039,AR24)&lt;=E96,SUMIFS($AO$8:$AO$1039,$O$8:$O$1039,BB7,$AB$8:$AB$1039,AS24,$R$8:$R$1039,AR24)&lt;=E102)</f>
        <v>1</v>
      </c>
    </row>
    <row r="25" spans="1:54" ht="14.55" customHeight="1" x14ac:dyDescent="0.45">
      <c r="A25" s="85"/>
      <c r="B25" s="31" t="s">
        <v>16</v>
      </c>
      <c r="C25" s="45"/>
      <c r="D25" s="45"/>
      <c r="E25" s="45"/>
      <c r="F25" s="83" cm="1">
        <f t="array" ref="F25">SUM(
     _xlfn.BYROW(
           IF(C20:E31-C8:E19&lt;0, C20:E31-C8:E19, 0),
           _xleta.SUM)
     * -1000000
)</f>
        <v>587000000</v>
      </c>
      <c r="G25" s="83"/>
      <c r="I25" s="64"/>
      <c r="O25" s="43" t="s">
        <v>11</v>
      </c>
      <c r="P25" s="43">
        <v>1</v>
      </c>
      <c r="Q25" s="43">
        <v>6</v>
      </c>
      <c r="R25" s="43">
        <v>3</v>
      </c>
      <c r="S25" s="45"/>
      <c r="T25" t="b">
        <f>(S23+S24+S25)=N2</f>
        <v>0</v>
      </c>
      <c r="X25" s="1">
        <f t="shared" si="5"/>
        <v>0</v>
      </c>
      <c r="Y25" s="48">
        <v>0</v>
      </c>
      <c r="AA25" s="1">
        <v>7</v>
      </c>
      <c r="AB25" s="1" t="s">
        <v>14</v>
      </c>
      <c r="AC25" s="1" t="s">
        <v>20</v>
      </c>
      <c r="AD25" s="1">
        <v>27</v>
      </c>
      <c r="AE25" s="1">
        <v>21</v>
      </c>
      <c r="AF25" s="1">
        <v>0.8</v>
      </c>
      <c r="AG25" s="1">
        <v>0.88</v>
      </c>
      <c r="AH25" s="1">
        <v>0</v>
      </c>
      <c r="AI25" s="1">
        <v>0</v>
      </c>
      <c r="AJ25" s="1">
        <f t="shared" si="1"/>
        <v>0</v>
      </c>
      <c r="AK25" s="1">
        <f>E11</f>
        <v>35</v>
      </c>
      <c r="AL25" s="1">
        <f>E17</f>
        <v>0</v>
      </c>
      <c r="AM25" s="1">
        <f t="shared" si="2"/>
        <v>0</v>
      </c>
      <c r="AN25" s="1">
        <f t="shared" si="3"/>
        <v>0</v>
      </c>
      <c r="AO25" s="1">
        <f t="shared" si="4"/>
        <v>0</v>
      </c>
      <c r="AP25" t="b" cm="1">
        <f t="array" ref="AP25">INDEX($AU$8:$BB$25,6*(R25-1)+MATCH(AB25,$AS$8:$AS$13,0),MATCH(O25,$AU$7:$BB$7,0))</f>
        <v>1</v>
      </c>
      <c r="AR25" s="1">
        <v>3</v>
      </c>
      <c r="AS25" s="1" t="s">
        <v>16</v>
      </c>
      <c r="AT25" s="1" t="s">
        <v>22</v>
      </c>
      <c r="AU25" t="b">
        <f>AND(SUMIFS($AN$8:$AN$1039,$O$8:$O$1039,AU7,$AB$8:$AB$1039,AS25,$R$8:$R$1039,AR25)&lt;=E13,SUMIFS($AO$8:$AO$1039,$O$8:$O$1039,AU7,$AB$8:$AB$1039,AS25,$R$8:$R$1039,AR25)&lt;=E19)</f>
        <v>1</v>
      </c>
      <c r="AV25" t="b">
        <f>AND(SUMIFS($AN$8:$AN$1039,$O$8:$O$1039,AV7,$AB$8:$AB$1039,AS25,$R$8:$R$1039,AR25)&lt;=E25,SUMIFS($AO$8:$AO$1039,$O$8:$O$1039,AV7,$AB$8:$AB$1039,AS25,$R$8:$R$1039,AR25)&lt;=E31)</f>
        <v>1</v>
      </c>
      <c r="AW25" t="b">
        <f>AND(SUMIFS($AN$8:$AN$1039,$O$8:$O$1039,AW7,$AB$8:$AB$1039,AS25,$R$8:$R$1039,AR25)&lt;=E37,SUMIFS($AO$8:$AO$1039,$O$8:$O$1039,AW7,$AB$8:$AB$1039,AS25,$R$8:$R$1039,AR25)&lt;=E43)</f>
        <v>1</v>
      </c>
      <c r="AX25" t="b">
        <f>AND(SUMIFS($AN$8:$AN$1039,$O$8:$O$1039,AX7,$AB$8:$AB$1039,AS25,$R$8:$R$1039,AR25)&lt;=E49,SUMIFS($AO$8:$AO$1039,$O$8:$O$1039,AX7,$AB$8:$AB$1039,AS25,$R$8:$R$1039,AR25)&lt;=E55)</f>
        <v>1</v>
      </c>
      <c r="AY25" t="b">
        <f>AND(SUMIFS($AN$8:$AN$1039,$O$8:$O$1039,AY7,$AB$8:$AB$1039,AS25,$R$8:$R$1039,AR25)&lt;=E61,SUMIFS($AO$8:$AO$1039,$O$8:$O$1039,AY7,$AB$8:$AB$1039,AS25,$R$8:$R$1039,AR25)&lt;=E67)</f>
        <v>1</v>
      </c>
      <c r="AZ25" t="b">
        <f>AND(SUMIFS($AN$8:$AN$1039,$O$8:$O$1039,AZ7,$AB$8:$AB$1039,AS25,$R$8:$R$1039,AR25)&lt;=E73,SUMIFS($AO$8:$AO$1039,$O$8:$O$1039,AZ7,$AB$8:$AB$1039,AS25,$R$8:$R$1039,AR25)&lt;=E79)</f>
        <v>1</v>
      </c>
      <c r="BA25" t="b">
        <f>AND(SUMIFS($AN$8:$AN$1039,$O$8:$O$1039,BA7,$AB$8:$AB$1039,AS25,$R$8:$R$1039,AR25)&lt;=E85,SUMIFS($AO$8:$AO$1039,$O$8:$O$1039,BA7,$AB$8:$AB$1039,AS25,$R$8:$R$1039,AR25)&lt;=E91)</f>
        <v>1</v>
      </c>
      <c r="BB25" t="b">
        <f>AND(SUMIFS($AN$8:$AN$1039,$O$8:$O$1039,BB7,$AB$8:$AB$1039,AS25,$R$8:$R$1039,AR25)&lt;=E97,SUMIFS($AO$8:$AO$1039,$O$8:$O$1039,BB7,$AB$8:$AB$1039,AS25,$R$8:$R$1039,AR25)&lt;=E103)</f>
        <v>1</v>
      </c>
    </row>
    <row r="26" spans="1:54" ht="14.55" customHeight="1" x14ac:dyDescent="0.45">
      <c r="A26" s="85"/>
      <c r="B26" s="31" t="s">
        <v>17</v>
      </c>
      <c r="C26" s="45"/>
      <c r="D26" s="45"/>
      <c r="E26" s="45"/>
      <c r="I26" s="64"/>
      <c r="O26" s="43" t="s">
        <v>11</v>
      </c>
      <c r="P26" s="43">
        <v>1</v>
      </c>
      <c r="Q26" s="43">
        <v>7</v>
      </c>
      <c r="R26" s="43">
        <v>1</v>
      </c>
      <c r="S26" s="45"/>
      <c r="T26" t="b">
        <f>(S26+S27+S28)=N2</f>
        <v>0</v>
      </c>
      <c r="X26" s="1">
        <f t="shared" si="5"/>
        <v>0</v>
      </c>
      <c r="Y26" s="48">
        <v>0</v>
      </c>
      <c r="AA26" s="1">
        <v>9</v>
      </c>
      <c r="AB26" s="1" t="s">
        <v>14</v>
      </c>
      <c r="AC26" s="1" t="s">
        <v>20</v>
      </c>
      <c r="AD26" s="1">
        <v>17</v>
      </c>
      <c r="AE26" s="1">
        <v>13</v>
      </c>
      <c r="AF26" s="1">
        <v>0.8</v>
      </c>
      <c r="AG26" s="1">
        <v>0.88</v>
      </c>
      <c r="AH26" s="1">
        <v>0</v>
      </c>
      <c r="AI26" s="1">
        <v>0</v>
      </c>
      <c r="AJ26" s="1">
        <f t="shared" si="1"/>
        <v>0</v>
      </c>
      <c r="AK26" s="1">
        <f>C11</f>
        <v>50</v>
      </c>
      <c r="AL26" s="1">
        <f>C17</f>
        <v>0</v>
      </c>
      <c r="AM26" s="1">
        <f t="shared" si="2"/>
        <v>0</v>
      </c>
      <c r="AN26" s="1">
        <f t="shared" si="3"/>
        <v>0</v>
      </c>
      <c r="AO26" s="1">
        <f t="shared" si="4"/>
        <v>0</v>
      </c>
      <c r="AP26" t="b" cm="1">
        <f t="array" ref="AP26">INDEX($AU$8:$BB$25,6*(R26-1)+MATCH(AB26,$AS$8:$AS$13,0),MATCH(O26,$AU$7:$BB$7,0))</f>
        <v>1</v>
      </c>
    </row>
    <row r="27" spans="1:54" ht="14.55" customHeight="1" x14ac:dyDescent="0.45">
      <c r="A27" s="85"/>
      <c r="B27" s="31" t="s">
        <v>18</v>
      </c>
      <c r="C27" s="45"/>
      <c r="D27" s="45"/>
      <c r="E27" s="45"/>
      <c r="I27" s="64"/>
      <c r="O27" s="43" t="s">
        <v>11</v>
      </c>
      <c r="P27" s="43">
        <v>1</v>
      </c>
      <c r="Q27" s="43">
        <v>7</v>
      </c>
      <c r="R27" s="43">
        <v>2</v>
      </c>
      <c r="S27" s="45"/>
      <c r="T27" t="b">
        <f>(S26+S27+S28)=N2</f>
        <v>0</v>
      </c>
      <c r="X27" s="1">
        <f t="shared" si="5"/>
        <v>0</v>
      </c>
      <c r="Y27" s="48">
        <v>0</v>
      </c>
      <c r="AA27" s="1">
        <v>9</v>
      </c>
      <c r="AB27" s="1" t="s">
        <v>14</v>
      </c>
      <c r="AC27" s="1" t="s">
        <v>20</v>
      </c>
      <c r="AD27" s="1">
        <v>17</v>
      </c>
      <c r="AE27" s="1">
        <v>13</v>
      </c>
      <c r="AF27" s="1">
        <v>0.8</v>
      </c>
      <c r="AG27" s="1">
        <v>0.88</v>
      </c>
      <c r="AH27" s="1">
        <v>0</v>
      </c>
      <c r="AI27" s="1">
        <v>0</v>
      </c>
      <c r="AJ27" s="1">
        <f t="shared" si="1"/>
        <v>0</v>
      </c>
      <c r="AK27" s="1">
        <f>D11</f>
        <v>50</v>
      </c>
      <c r="AL27" s="1">
        <f>D17</f>
        <v>0</v>
      </c>
      <c r="AM27" s="1">
        <f t="shared" si="2"/>
        <v>0</v>
      </c>
      <c r="AN27" s="1">
        <f t="shared" si="3"/>
        <v>0</v>
      </c>
      <c r="AO27" s="1">
        <f t="shared" si="4"/>
        <v>0</v>
      </c>
      <c r="AP27" t="b" cm="1">
        <f t="array" ref="AP27">INDEX($AU$8:$BB$25,6*(R27-1)+MATCH(AB27,$AS$8:$AS$13,0),MATCH(O27,$AU$7:$BB$7,0))</f>
        <v>1</v>
      </c>
    </row>
    <row r="28" spans="1:54" ht="14.55" customHeight="1" x14ac:dyDescent="0.45">
      <c r="A28" s="85"/>
      <c r="B28" s="31" t="s">
        <v>19</v>
      </c>
      <c r="C28" s="45"/>
      <c r="D28" s="45"/>
      <c r="E28" s="45"/>
      <c r="I28" s="64"/>
      <c r="J28">
        <f>4/16</f>
        <v>0.25</v>
      </c>
      <c r="O28" s="43" t="s">
        <v>11</v>
      </c>
      <c r="P28" s="43">
        <v>1</v>
      </c>
      <c r="Q28" s="43">
        <v>7</v>
      </c>
      <c r="R28" s="43">
        <v>3</v>
      </c>
      <c r="S28" s="45"/>
      <c r="T28" t="b">
        <f>(S26+S27+S28)=N2</f>
        <v>0</v>
      </c>
      <c r="X28" s="1">
        <f t="shared" si="5"/>
        <v>0</v>
      </c>
      <c r="Y28" s="48">
        <v>0</v>
      </c>
      <c r="AA28" s="1">
        <v>9</v>
      </c>
      <c r="AB28" s="1" t="s">
        <v>14</v>
      </c>
      <c r="AC28" s="1" t="s">
        <v>20</v>
      </c>
      <c r="AD28" s="1">
        <v>17</v>
      </c>
      <c r="AE28" s="1">
        <v>13</v>
      </c>
      <c r="AF28" s="1">
        <v>0.8</v>
      </c>
      <c r="AG28" s="1">
        <v>0.88</v>
      </c>
      <c r="AH28" s="1">
        <v>0</v>
      </c>
      <c r="AI28" s="1">
        <v>0</v>
      </c>
      <c r="AJ28" s="1">
        <f t="shared" si="1"/>
        <v>0</v>
      </c>
      <c r="AK28" s="1">
        <f>E11</f>
        <v>35</v>
      </c>
      <c r="AL28" s="1">
        <f>E17</f>
        <v>0</v>
      </c>
      <c r="AM28" s="1">
        <f t="shared" si="2"/>
        <v>0</v>
      </c>
      <c r="AN28" s="1">
        <f t="shared" si="3"/>
        <v>0</v>
      </c>
      <c r="AO28" s="1">
        <f t="shared" si="4"/>
        <v>0</v>
      </c>
      <c r="AP28" t="b" cm="1">
        <f t="array" ref="AP28">INDEX($AU$8:$BB$25,6*(R28-1)+MATCH(AB28,$AS$8:$AS$13,0),MATCH(O28,$AU$7:$BB$7,0))</f>
        <v>1</v>
      </c>
    </row>
    <row r="29" spans="1:54" ht="14.55" customHeight="1" x14ac:dyDescent="0.45">
      <c r="A29" s="85"/>
      <c r="B29" s="31" t="s">
        <v>20</v>
      </c>
      <c r="C29" s="45"/>
      <c r="D29" s="45"/>
      <c r="E29" s="45"/>
      <c r="I29" s="64"/>
      <c r="O29" s="43" t="s">
        <v>11</v>
      </c>
      <c r="P29" s="43">
        <v>1</v>
      </c>
      <c r="Q29" s="43">
        <v>8</v>
      </c>
      <c r="R29" s="43">
        <v>1</v>
      </c>
      <c r="S29" s="45"/>
      <c r="T29" t="b">
        <f>(S29+S30+S31)=N2</f>
        <v>0</v>
      </c>
      <c r="X29" s="1">
        <f t="shared" si="5"/>
        <v>0</v>
      </c>
      <c r="Y29" s="48">
        <v>0</v>
      </c>
      <c r="AA29" s="1">
        <v>1</v>
      </c>
      <c r="AB29" s="1" t="s">
        <v>10</v>
      </c>
      <c r="AC29" s="1" t="s">
        <v>17</v>
      </c>
      <c r="AD29" s="1">
        <v>18</v>
      </c>
      <c r="AE29" s="1">
        <v>16</v>
      </c>
      <c r="AF29" s="1">
        <v>0.78</v>
      </c>
      <c r="AG29" s="1">
        <v>0.84</v>
      </c>
      <c r="AH29" s="1">
        <v>0</v>
      </c>
      <c r="AI29" s="1">
        <v>0</v>
      </c>
      <c r="AJ29" s="1">
        <f t="shared" si="1"/>
        <v>0</v>
      </c>
      <c r="AK29" s="1">
        <f>C8</f>
        <v>50</v>
      </c>
      <c r="AL29" s="1">
        <f>C14</f>
        <v>0</v>
      </c>
      <c r="AM29" s="1">
        <f t="shared" si="2"/>
        <v>0</v>
      </c>
      <c r="AN29" s="1">
        <f t="shared" si="3"/>
        <v>0</v>
      </c>
      <c r="AO29" s="1">
        <f t="shared" si="4"/>
        <v>0</v>
      </c>
      <c r="AP29" t="b" cm="1">
        <f t="array" ref="AP29">INDEX($AU$8:$BB$25,6*(R29-1)+MATCH(AB29,$AS$8:$AS$13,0),MATCH(O29,$AU$7:$BB$7,0))</f>
        <v>1</v>
      </c>
    </row>
    <row r="30" spans="1:54" ht="14.55" customHeight="1" x14ac:dyDescent="0.45">
      <c r="A30" s="85"/>
      <c r="B30" s="31" t="s">
        <v>21</v>
      </c>
      <c r="C30" s="45"/>
      <c r="D30" s="45"/>
      <c r="E30" s="45"/>
      <c r="I30" s="64"/>
      <c r="O30" s="43" t="s">
        <v>11</v>
      </c>
      <c r="P30" s="43">
        <v>1</v>
      </c>
      <c r="Q30" s="43">
        <v>8</v>
      </c>
      <c r="R30" s="43">
        <v>2</v>
      </c>
      <c r="S30" s="45"/>
      <c r="T30" t="b">
        <f>(S29+S30+S31)=N2</f>
        <v>0</v>
      </c>
      <c r="X30" s="1">
        <f t="shared" si="5"/>
        <v>0</v>
      </c>
      <c r="Y30" s="48">
        <v>0</v>
      </c>
      <c r="AA30" s="1">
        <v>1</v>
      </c>
      <c r="AB30" s="1" t="s">
        <v>10</v>
      </c>
      <c r="AC30" s="1" t="s">
        <v>17</v>
      </c>
      <c r="AD30" s="1">
        <v>18</v>
      </c>
      <c r="AE30" s="1">
        <v>16</v>
      </c>
      <c r="AF30" s="1">
        <v>0.78</v>
      </c>
      <c r="AG30" s="1">
        <v>0.84</v>
      </c>
      <c r="AH30" s="1">
        <v>0</v>
      </c>
      <c r="AI30" s="1">
        <v>0</v>
      </c>
      <c r="AJ30" s="1">
        <f t="shared" si="1"/>
        <v>0</v>
      </c>
      <c r="AK30" s="1">
        <f>D8</f>
        <v>35</v>
      </c>
      <c r="AL30" s="1">
        <f>D14</f>
        <v>0</v>
      </c>
      <c r="AM30" s="1">
        <f t="shared" si="2"/>
        <v>0</v>
      </c>
      <c r="AN30" s="1">
        <f t="shared" si="3"/>
        <v>0</v>
      </c>
      <c r="AO30" s="1">
        <f t="shared" si="4"/>
        <v>0</v>
      </c>
      <c r="AP30" t="b" cm="1">
        <f t="array" ref="AP30">INDEX($AU$8:$BB$25,6*(R30-1)+MATCH(AB30,$AS$8:$AS$13,0),MATCH(O30,$AU$7:$BB$7,0))</f>
        <v>1</v>
      </c>
    </row>
    <row r="31" spans="1:54" ht="14.55" customHeight="1" x14ac:dyDescent="0.45">
      <c r="A31" s="85"/>
      <c r="B31" s="31" t="s">
        <v>22</v>
      </c>
      <c r="C31" s="45"/>
      <c r="D31" s="45"/>
      <c r="E31" s="45"/>
      <c r="F31" s="44" t="s">
        <v>134</v>
      </c>
      <c r="G31" s="44" t="s">
        <v>135</v>
      </c>
      <c r="H31" s="44" t="s">
        <v>136</v>
      </c>
      <c r="I31" s="64"/>
      <c r="O31" s="43" t="s">
        <v>11</v>
      </c>
      <c r="P31" s="43">
        <v>1</v>
      </c>
      <c r="Q31" s="43">
        <v>8</v>
      </c>
      <c r="R31" s="43">
        <v>3</v>
      </c>
      <c r="S31" s="45"/>
      <c r="T31" t="b">
        <f>(S29+S30+S31)=N2</f>
        <v>0</v>
      </c>
      <c r="X31" s="1">
        <f t="shared" si="5"/>
        <v>0</v>
      </c>
      <c r="Y31" s="48">
        <v>0</v>
      </c>
      <c r="AA31" s="1">
        <v>1</v>
      </c>
      <c r="AB31" s="1" t="s">
        <v>10</v>
      </c>
      <c r="AC31" s="1" t="s">
        <v>17</v>
      </c>
      <c r="AD31" s="1">
        <v>18</v>
      </c>
      <c r="AE31" s="1">
        <v>16</v>
      </c>
      <c r="AF31" s="1">
        <v>0.78</v>
      </c>
      <c r="AG31" s="1">
        <v>0.84</v>
      </c>
      <c r="AH31" s="1">
        <v>0</v>
      </c>
      <c r="AI31" s="1">
        <v>0</v>
      </c>
      <c r="AJ31" s="1">
        <f t="shared" si="1"/>
        <v>0</v>
      </c>
      <c r="AK31" s="1">
        <f>E8</f>
        <v>0</v>
      </c>
      <c r="AL31" s="1">
        <f>E14</f>
        <v>0</v>
      </c>
      <c r="AM31" s="1">
        <f t="shared" si="2"/>
        <v>0</v>
      </c>
      <c r="AN31" s="1">
        <f t="shared" si="3"/>
        <v>0</v>
      </c>
      <c r="AO31" s="1">
        <f t="shared" si="4"/>
        <v>0</v>
      </c>
      <c r="AP31" t="b" cm="1">
        <f t="array" ref="AP31">INDEX($AU$8:$BB$25,6*(R31-1)+MATCH(AB31,$AS$8:$AS$13,0),MATCH(O31,$AU$7:$BB$7,0))</f>
        <v>1</v>
      </c>
    </row>
    <row r="32" spans="1:54" ht="14.25" x14ac:dyDescent="0.45">
      <c r="A32" s="85" t="s">
        <v>24</v>
      </c>
      <c r="B32" s="31" t="s">
        <v>10</v>
      </c>
      <c r="C32" s="45"/>
      <c r="D32" s="45"/>
      <c r="E32" s="45"/>
      <c r="F32" cm="1">
        <f t="array" ref="F32">SUM(C32:C43*data!$B$3:$B$14)</f>
        <v>0</v>
      </c>
      <c r="G32" cm="1">
        <f t="array" ref="G32">SUM(D32:D43*data!$B$3:$B$14)</f>
        <v>0</v>
      </c>
      <c r="H32" cm="1">
        <f t="array" ref="H32">SUM(E32:E43*data!$B$3:$B$14)</f>
        <v>0</v>
      </c>
      <c r="I32" s="64" t="s">
        <v>156</v>
      </c>
      <c r="O32" s="43" t="s">
        <v>11</v>
      </c>
      <c r="P32" s="43">
        <v>1</v>
      </c>
      <c r="Q32" s="43">
        <v>9</v>
      </c>
      <c r="R32" s="43">
        <v>1</v>
      </c>
      <c r="S32" s="45"/>
      <c r="T32" t="b">
        <f>(S32+S33+S34)=N2</f>
        <v>0</v>
      </c>
      <c r="X32" s="1">
        <f t="shared" si="5"/>
        <v>0</v>
      </c>
      <c r="Y32" s="48">
        <v>0</v>
      </c>
      <c r="AA32" s="1">
        <v>2</v>
      </c>
      <c r="AB32" s="1" t="s">
        <v>10</v>
      </c>
      <c r="AC32" s="1" t="s">
        <v>17</v>
      </c>
      <c r="AD32" s="1">
        <v>16</v>
      </c>
      <c r="AE32" s="1">
        <v>13</v>
      </c>
      <c r="AF32" s="1">
        <v>0.78</v>
      </c>
      <c r="AG32" s="1">
        <v>0.84</v>
      </c>
      <c r="AH32" s="1">
        <v>0</v>
      </c>
      <c r="AI32" s="1">
        <v>0</v>
      </c>
      <c r="AJ32" s="1">
        <f t="shared" si="1"/>
        <v>0</v>
      </c>
      <c r="AK32" s="1">
        <f>C8</f>
        <v>50</v>
      </c>
      <c r="AL32" s="1">
        <f>C14</f>
        <v>0</v>
      </c>
      <c r="AM32" s="1">
        <f t="shared" si="2"/>
        <v>0</v>
      </c>
      <c r="AN32" s="1">
        <f t="shared" si="3"/>
        <v>0</v>
      </c>
      <c r="AO32" s="1">
        <f t="shared" si="4"/>
        <v>0</v>
      </c>
      <c r="AP32" t="b" cm="1">
        <f t="array" ref="AP32">INDEX($AU$8:$BB$25,6*(R32-1)+MATCH(AB32,$AS$8:$AS$13,0),MATCH(O32,$AU$7:$BB$7,0))</f>
        <v>1</v>
      </c>
    </row>
    <row r="33" spans="1:42" ht="14.55" customHeight="1" x14ac:dyDescent="0.45">
      <c r="A33" s="85"/>
      <c r="B33" s="31" t="s">
        <v>12</v>
      </c>
      <c r="C33" s="45"/>
      <c r="D33" s="45"/>
      <c r="E33" s="45"/>
      <c r="I33" s="64"/>
      <c r="O33" s="43" t="s">
        <v>11</v>
      </c>
      <c r="P33" s="43">
        <v>1</v>
      </c>
      <c r="Q33" s="43">
        <v>9</v>
      </c>
      <c r="R33" s="43">
        <v>2</v>
      </c>
      <c r="S33" s="45"/>
      <c r="T33" t="b">
        <f>(S32+S33+S34)=N2</f>
        <v>0</v>
      </c>
      <c r="X33" s="1">
        <f t="shared" si="5"/>
        <v>0</v>
      </c>
      <c r="Y33" s="48">
        <v>0</v>
      </c>
      <c r="AA33" s="1">
        <v>2</v>
      </c>
      <c r="AB33" s="1" t="s">
        <v>10</v>
      </c>
      <c r="AC33" s="1" t="s">
        <v>17</v>
      </c>
      <c r="AD33" s="1">
        <v>16</v>
      </c>
      <c r="AE33" s="1">
        <v>13</v>
      </c>
      <c r="AF33" s="1">
        <v>0.78</v>
      </c>
      <c r="AG33" s="1">
        <v>0.84</v>
      </c>
      <c r="AH33" s="1">
        <v>0</v>
      </c>
      <c r="AI33" s="1">
        <v>0</v>
      </c>
      <c r="AJ33" s="1">
        <f t="shared" si="1"/>
        <v>0</v>
      </c>
      <c r="AK33" s="1">
        <f>D8</f>
        <v>35</v>
      </c>
      <c r="AL33" s="1">
        <f>D14</f>
        <v>0</v>
      </c>
      <c r="AM33" s="1">
        <f t="shared" si="2"/>
        <v>0</v>
      </c>
      <c r="AN33" s="1">
        <f t="shared" si="3"/>
        <v>0</v>
      </c>
      <c r="AO33" s="1">
        <f t="shared" si="4"/>
        <v>0</v>
      </c>
      <c r="AP33" t="b" cm="1">
        <f t="array" ref="AP33">INDEX($AU$8:$BB$25,6*(R33-1)+MATCH(AB33,$AS$8:$AS$13,0),MATCH(O33,$AU$7:$BB$7,0))</f>
        <v>1</v>
      </c>
    </row>
    <row r="34" spans="1:42" ht="14.55" customHeight="1" x14ac:dyDescent="0.45">
      <c r="A34" s="85"/>
      <c r="B34" s="31" t="s">
        <v>13</v>
      </c>
      <c r="C34" s="45"/>
      <c r="D34" s="45"/>
      <c r="E34" s="45"/>
      <c r="F34" s="84" t="s">
        <v>137</v>
      </c>
      <c r="G34" s="84"/>
      <c r="I34" s="64"/>
      <c r="O34" s="43" t="s">
        <v>11</v>
      </c>
      <c r="P34" s="43">
        <v>1</v>
      </c>
      <c r="Q34" s="43">
        <v>9</v>
      </c>
      <c r="R34" s="43">
        <v>3</v>
      </c>
      <c r="S34" s="45"/>
      <c r="T34" t="b">
        <f>(S32+S33+S34)=N2</f>
        <v>0</v>
      </c>
      <c r="X34" s="1">
        <f t="shared" si="5"/>
        <v>0</v>
      </c>
      <c r="Y34" s="48">
        <v>0</v>
      </c>
      <c r="AA34" s="1">
        <v>2</v>
      </c>
      <c r="AB34" s="1" t="s">
        <v>10</v>
      </c>
      <c r="AC34" s="1" t="s">
        <v>17</v>
      </c>
      <c r="AD34" s="1">
        <v>16</v>
      </c>
      <c r="AE34" s="1">
        <v>13</v>
      </c>
      <c r="AF34" s="1">
        <v>0.78</v>
      </c>
      <c r="AG34" s="1">
        <v>0.84</v>
      </c>
      <c r="AH34" s="1">
        <v>0</v>
      </c>
      <c r="AI34" s="1">
        <v>0</v>
      </c>
      <c r="AJ34" s="1">
        <f t="shared" si="1"/>
        <v>0</v>
      </c>
      <c r="AK34" s="1">
        <f>E8</f>
        <v>0</v>
      </c>
      <c r="AL34" s="1">
        <f>E14</f>
        <v>0</v>
      </c>
      <c r="AM34" s="1">
        <f t="shared" si="2"/>
        <v>0</v>
      </c>
      <c r="AN34" s="1">
        <f t="shared" si="3"/>
        <v>0</v>
      </c>
      <c r="AO34" s="1">
        <f t="shared" si="4"/>
        <v>0</v>
      </c>
      <c r="AP34" t="b" cm="1">
        <f t="array" ref="AP34">INDEX($AU$8:$BB$25,6*(R34-1)+MATCH(AB34,$AS$8:$AS$13,0),MATCH(O34,$AU$7:$BB$7,0))</f>
        <v>1</v>
      </c>
    </row>
    <row r="35" spans="1:42" ht="14.55" customHeight="1" x14ac:dyDescent="0.45">
      <c r="A35" s="85"/>
      <c r="B35" s="31" t="s">
        <v>14</v>
      </c>
      <c r="C35" s="45"/>
      <c r="D35" s="45"/>
      <c r="E35" s="45"/>
      <c r="F35" s="83" cm="1">
        <f t="array" ref="F35">SUM(
     _xlfn.BYROW(
           IF(C32:E43-C20:E31&gt;0, C32:E43-C20:E31, 0),
           _xleta.SUM)
     *data!$C$3:$C$14
)</f>
        <v>0</v>
      </c>
      <c r="G35" s="83"/>
      <c r="I35" s="64"/>
      <c r="O35" s="43" t="s">
        <v>11</v>
      </c>
      <c r="P35" s="43">
        <v>1</v>
      </c>
      <c r="Q35" s="43">
        <v>10</v>
      </c>
      <c r="R35" s="43">
        <v>1</v>
      </c>
      <c r="S35" s="45"/>
      <c r="T35" t="b">
        <f>(S35+S36+S37)=N2</f>
        <v>0</v>
      </c>
      <c r="X35" s="1">
        <f t="shared" si="5"/>
        <v>0</v>
      </c>
      <c r="Y35" s="48">
        <v>0</v>
      </c>
      <c r="AA35" s="1">
        <v>6</v>
      </c>
      <c r="AB35" s="1" t="s">
        <v>14</v>
      </c>
      <c r="AC35" s="1" t="s">
        <v>20</v>
      </c>
      <c r="AD35" s="1">
        <v>14</v>
      </c>
      <c r="AE35" s="1">
        <v>11</v>
      </c>
      <c r="AF35" s="1">
        <v>0.8</v>
      </c>
      <c r="AG35" s="1">
        <v>0.88</v>
      </c>
      <c r="AH35" s="1">
        <v>0</v>
      </c>
      <c r="AI35" s="1">
        <v>0</v>
      </c>
      <c r="AJ35" s="1">
        <f t="shared" si="1"/>
        <v>0</v>
      </c>
      <c r="AK35" s="1">
        <f>C11</f>
        <v>50</v>
      </c>
      <c r="AL35" s="1">
        <f>C17</f>
        <v>0</v>
      </c>
      <c r="AM35" s="1">
        <f t="shared" si="2"/>
        <v>0</v>
      </c>
      <c r="AN35" s="1">
        <f t="shared" si="3"/>
        <v>0</v>
      </c>
      <c r="AO35" s="1">
        <f t="shared" si="4"/>
        <v>0</v>
      </c>
      <c r="AP35" t="b" cm="1">
        <f t="array" ref="AP35">INDEX($AU$8:$BB$25,6*(R35-1)+MATCH(AB35,$AS$8:$AS$13,0),MATCH(O35,$AU$7:$BB$7,0))</f>
        <v>1</v>
      </c>
    </row>
    <row r="36" spans="1:42" ht="14.55" customHeight="1" x14ac:dyDescent="0.45">
      <c r="A36" s="85"/>
      <c r="B36" s="31" t="s">
        <v>15</v>
      </c>
      <c r="C36" s="45"/>
      <c r="D36" s="45"/>
      <c r="E36" s="45"/>
      <c r="F36" s="84" t="s">
        <v>138</v>
      </c>
      <c r="G36" s="84"/>
      <c r="I36" s="64"/>
      <c r="O36" s="43" t="s">
        <v>11</v>
      </c>
      <c r="P36" s="43">
        <v>1</v>
      </c>
      <c r="Q36" s="43">
        <v>10</v>
      </c>
      <c r="R36" s="43">
        <v>2</v>
      </c>
      <c r="S36" s="45"/>
      <c r="T36" t="b">
        <f>(S35+S36+S37)=N2</f>
        <v>0</v>
      </c>
      <c r="X36" s="1">
        <f t="shared" si="5"/>
        <v>0</v>
      </c>
      <c r="Y36" s="48">
        <v>0</v>
      </c>
      <c r="AA36" s="1">
        <v>6</v>
      </c>
      <c r="AB36" s="1" t="s">
        <v>14</v>
      </c>
      <c r="AC36" s="1" t="s">
        <v>20</v>
      </c>
      <c r="AD36" s="1">
        <v>14</v>
      </c>
      <c r="AE36" s="1">
        <v>11</v>
      </c>
      <c r="AF36" s="1">
        <v>0.8</v>
      </c>
      <c r="AG36" s="1">
        <v>0.88</v>
      </c>
      <c r="AH36" s="1">
        <v>0</v>
      </c>
      <c r="AI36" s="1">
        <v>0</v>
      </c>
      <c r="AJ36" s="1">
        <f t="shared" si="1"/>
        <v>0</v>
      </c>
      <c r="AK36" s="1">
        <f>D11</f>
        <v>50</v>
      </c>
      <c r="AL36" s="1">
        <f>D17</f>
        <v>0</v>
      </c>
      <c r="AM36" s="1">
        <f t="shared" si="2"/>
        <v>0</v>
      </c>
      <c r="AN36" s="1">
        <f t="shared" si="3"/>
        <v>0</v>
      </c>
      <c r="AO36" s="1">
        <f t="shared" si="4"/>
        <v>0</v>
      </c>
      <c r="AP36" t="b" cm="1">
        <f t="array" ref="AP36">INDEX($AU$8:$BB$25,6*(R36-1)+MATCH(AB36,$AS$8:$AS$13,0),MATCH(O36,$AU$7:$BB$7,0))</f>
        <v>1</v>
      </c>
    </row>
    <row r="37" spans="1:42" ht="14.55" customHeight="1" x14ac:dyDescent="0.45">
      <c r="A37" s="85"/>
      <c r="B37" s="31" t="s">
        <v>16</v>
      </c>
      <c r="C37" s="45"/>
      <c r="D37" s="45"/>
      <c r="E37" s="45"/>
      <c r="F37" s="83" cm="1">
        <f t="array" ref="F37">SUM(
     _xlfn.BYROW(
           IF(C32:E43-C20:E31&lt;0, C32:E43-C20:E31, 0),
           _xleta.SUM)
     * -1000000
)</f>
        <v>0</v>
      </c>
      <c r="G37" s="83"/>
      <c r="I37" s="64"/>
      <c r="O37" s="43" t="s">
        <v>11</v>
      </c>
      <c r="P37" s="43">
        <v>1</v>
      </c>
      <c r="Q37" s="43">
        <v>10</v>
      </c>
      <c r="R37" s="43">
        <v>3</v>
      </c>
      <c r="S37" s="45"/>
      <c r="T37" t="b">
        <f>(S35+S36+S37)=N2</f>
        <v>0</v>
      </c>
      <c r="X37" s="1">
        <f t="shared" si="5"/>
        <v>0</v>
      </c>
      <c r="Y37" s="48">
        <v>0</v>
      </c>
      <c r="AA37" s="1">
        <v>6</v>
      </c>
      <c r="AB37" s="1" t="s">
        <v>14</v>
      </c>
      <c r="AC37" s="1" t="s">
        <v>20</v>
      </c>
      <c r="AD37" s="1">
        <v>14</v>
      </c>
      <c r="AE37" s="1">
        <v>11</v>
      </c>
      <c r="AF37" s="1">
        <v>0.8</v>
      </c>
      <c r="AG37" s="1">
        <v>0.88</v>
      </c>
      <c r="AH37" s="1">
        <v>0</v>
      </c>
      <c r="AI37" s="1">
        <v>0</v>
      </c>
      <c r="AJ37" s="1">
        <f t="shared" si="1"/>
        <v>0</v>
      </c>
      <c r="AK37" s="1">
        <f>E11</f>
        <v>35</v>
      </c>
      <c r="AL37" s="1">
        <f>E17</f>
        <v>0</v>
      </c>
      <c r="AM37" s="1">
        <f t="shared" si="2"/>
        <v>0</v>
      </c>
      <c r="AN37" s="1">
        <f t="shared" si="3"/>
        <v>0</v>
      </c>
      <c r="AO37" s="1">
        <f t="shared" si="4"/>
        <v>0</v>
      </c>
      <c r="AP37" t="b" cm="1">
        <f t="array" ref="AP37">INDEX($AU$8:$BB$25,6*(R37-1)+MATCH(AB37,$AS$8:$AS$13,0),MATCH(O37,$AU$7:$BB$7,0))</f>
        <v>1</v>
      </c>
    </row>
    <row r="38" spans="1:42" ht="14.55" customHeight="1" x14ac:dyDescent="0.45">
      <c r="A38" s="85"/>
      <c r="B38" s="31" t="s">
        <v>17</v>
      </c>
      <c r="C38" s="45"/>
      <c r="D38" s="45"/>
      <c r="E38" s="45"/>
      <c r="I38" s="64"/>
      <c r="O38" s="43" t="s">
        <v>11</v>
      </c>
      <c r="P38" s="43">
        <v>1</v>
      </c>
      <c r="Q38" s="43">
        <v>11</v>
      </c>
      <c r="R38" s="43">
        <v>1</v>
      </c>
      <c r="S38" s="45"/>
      <c r="T38" t="b">
        <f>(S38+S39+S40)=N2</f>
        <v>0</v>
      </c>
      <c r="X38" s="1">
        <f t="shared" si="5"/>
        <v>0</v>
      </c>
      <c r="Y38" s="48">
        <v>0</v>
      </c>
      <c r="AA38" s="1">
        <v>3</v>
      </c>
      <c r="AB38" s="1" t="s">
        <v>16</v>
      </c>
      <c r="AC38" s="1" t="s">
        <v>22</v>
      </c>
      <c r="AD38" s="1">
        <v>18</v>
      </c>
      <c r="AE38" s="1">
        <v>16</v>
      </c>
      <c r="AF38" s="1">
        <v>0.8</v>
      </c>
      <c r="AG38" s="1">
        <v>0.9</v>
      </c>
      <c r="AH38" s="1">
        <v>0</v>
      </c>
      <c r="AI38" s="1">
        <v>0</v>
      </c>
      <c r="AJ38" s="1">
        <f t="shared" si="1"/>
        <v>0</v>
      </c>
      <c r="AK38" s="1">
        <f>C13</f>
        <v>90</v>
      </c>
      <c r="AL38" s="1">
        <f>C19</f>
        <v>0</v>
      </c>
      <c r="AM38" s="1">
        <f t="shared" si="2"/>
        <v>0</v>
      </c>
      <c r="AN38" s="1">
        <f t="shared" si="3"/>
        <v>0</v>
      </c>
      <c r="AO38" s="1">
        <f t="shared" si="4"/>
        <v>0</v>
      </c>
      <c r="AP38" t="b" cm="1">
        <f t="array" ref="AP38">INDEX($AU$8:$BB$25,6*(R38-1)+MATCH(AB38,$AS$8:$AS$13,0),MATCH(O38,$AU$7:$BB$7,0))</f>
        <v>1</v>
      </c>
    </row>
    <row r="39" spans="1:42" ht="14.55" customHeight="1" x14ac:dyDescent="0.45">
      <c r="A39" s="85"/>
      <c r="B39" s="31" t="s">
        <v>18</v>
      </c>
      <c r="C39" s="45"/>
      <c r="D39" s="45"/>
      <c r="E39" s="45"/>
      <c r="I39" s="64"/>
      <c r="O39" s="43" t="s">
        <v>11</v>
      </c>
      <c r="P39" s="43">
        <v>1</v>
      </c>
      <c r="Q39" s="43">
        <v>11</v>
      </c>
      <c r="R39" s="43">
        <v>2</v>
      </c>
      <c r="S39" s="45"/>
      <c r="T39" t="b">
        <f>(S38+S39+S40)=N2</f>
        <v>0</v>
      </c>
      <c r="X39" s="1">
        <f t="shared" si="5"/>
        <v>0</v>
      </c>
      <c r="Y39" s="48">
        <v>0</v>
      </c>
      <c r="AA39" s="1">
        <v>3</v>
      </c>
      <c r="AB39" s="1" t="s">
        <v>16</v>
      </c>
      <c r="AC39" s="1" t="s">
        <v>22</v>
      </c>
      <c r="AD39" s="1">
        <v>18</v>
      </c>
      <c r="AE39" s="1">
        <v>16</v>
      </c>
      <c r="AF39" s="1">
        <v>0.8</v>
      </c>
      <c r="AG39" s="1">
        <v>0.9</v>
      </c>
      <c r="AH39" s="1">
        <v>0</v>
      </c>
      <c r="AI39" s="1">
        <v>0</v>
      </c>
      <c r="AJ39" s="1">
        <f t="shared" si="1"/>
        <v>0</v>
      </c>
      <c r="AK39" s="1">
        <f>D13</f>
        <v>60</v>
      </c>
      <c r="AL39" s="1">
        <f>D19</f>
        <v>0</v>
      </c>
      <c r="AM39" s="1">
        <f t="shared" si="2"/>
        <v>0</v>
      </c>
      <c r="AN39" s="1">
        <f t="shared" si="3"/>
        <v>0</v>
      </c>
      <c r="AO39" s="1">
        <f t="shared" si="4"/>
        <v>0</v>
      </c>
      <c r="AP39" t="b" cm="1">
        <f t="array" ref="AP39">INDEX($AU$8:$BB$25,6*(R39-1)+MATCH(AB39,$AS$8:$AS$13,0),MATCH(O39,$AU$7:$BB$7,0))</f>
        <v>1</v>
      </c>
    </row>
    <row r="40" spans="1:42" ht="14.55" customHeight="1" x14ac:dyDescent="0.45">
      <c r="A40" s="85"/>
      <c r="B40" s="31" t="s">
        <v>19</v>
      </c>
      <c r="C40" s="45"/>
      <c r="D40" s="45"/>
      <c r="E40" s="45"/>
      <c r="I40" s="64"/>
      <c r="O40" s="43" t="s">
        <v>11</v>
      </c>
      <c r="P40" s="43">
        <v>1</v>
      </c>
      <c r="Q40" s="43">
        <v>11</v>
      </c>
      <c r="R40" s="43">
        <v>3</v>
      </c>
      <c r="S40" s="45"/>
      <c r="T40" t="b">
        <f>(S38+S39+S40)=N2</f>
        <v>0</v>
      </c>
      <c r="X40" s="1">
        <f t="shared" si="5"/>
        <v>0</v>
      </c>
      <c r="Y40" s="48">
        <v>0</v>
      </c>
      <c r="AA40" s="1">
        <v>3</v>
      </c>
      <c r="AB40" s="1" t="s">
        <v>16</v>
      </c>
      <c r="AC40" s="1" t="s">
        <v>22</v>
      </c>
      <c r="AD40" s="1">
        <v>18</v>
      </c>
      <c r="AE40" s="1">
        <v>16</v>
      </c>
      <c r="AF40" s="1">
        <v>0.8</v>
      </c>
      <c r="AG40" s="1">
        <v>0.9</v>
      </c>
      <c r="AH40" s="1">
        <v>0</v>
      </c>
      <c r="AI40" s="1">
        <v>0</v>
      </c>
      <c r="AJ40" s="1">
        <f t="shared" si="1"/>
        <v>0</v>
      </c>
      <c r="AK40" s="1">
        <f>E13</f>
        <v>36</v>
      </c>
      <c r="AL40" s="1">
        <f>E19</f>
        <v>0</v>
      </c>
      <c r="AM40" s="1">
        <f t="shared" si="2"/>
        <v>0</v>
      </c>
      <c r="AN40" s="1">
        <f t="shared" si="3"/>
        <v>0</v>
      </c>
      <c r="AO40" s="1">
        <f t="shared" si="4"/>
        <v>0</v>
      </c>
      <c r="AP40" t="b" cm="1">
        <f t="array" ref="AP40">INDEX($AU$8:$BB$25,6*(R40-1)+MATCH(AB40,$AS$8:$AS$13,0),MATCH(O40,$AU$7:$BB$7,0))</f>
        <v>1</v>
      </c>
    </row>
    <row r="41" spans="1:42" ht="14.55" customHeight="1" x14ac:dyDescent="0.45">
      <c r="A41" s="85"/>
      <c r="B41" s="31" t="s">
        <v>20</v>
      </c>
      <c r="C41" s="45"/>
      <c r="D41" s="45"/>
      <c r="E41" s="45"/>
      <c r="I41" s="64"/>
      <c r="O41" s="43" t="s">
        <v>11</v>
      </c>
      <c r="P41" s="43">
        <v>2</v>
      </c>
      <c r="Q41" s="43">
        <v>1</v>
      </c>
      <c r="R41" s="43">
        <v>1</v>
      </c>
      <c r="S41" s="45"/>
      <c r="T41" t="b">
        <f>(S41+S42+S43)=N3</f>
        <v>0</v>
      </c>
      <c r="X41" s="1">
        <v>0</v>
      </c>
      <c r="Y41" s="48">
        <v>0</v>
      </c>
      <c r="AA41" s="1">
        <v>9</v>
      </c>
      <c r="AB41" s="1" t="s">
        <v>16</v>
      </c>
      <c r="AC41" s="1" t="s">
        <v>22</v>
      </c>
      <c r="AD41" s="1">
        <v>19</v>
      </c>
      <c r="AE41" s="1">
        <v>16</v>
      </c>
      <c r="AF41" s="1">
        <v>0.8</v>
      </c>
      <c r="AG41" s="1">
        <v>0.9</v>
      </c>
      <c r="AH41" s="1">
        <v>0</v>
      </c>
      <c r="AI41" s="1">
        <v>0</v>
      </c>
      <c r="AJ41" s="1">
        <f t="shared" si="1"/>
        <v>0</v>
      </c>
      <c r="AK41" s="1">
        <f>C13</f>
        <v>90</v>
      </c>
      <c r="AL41" s="1">
        <f>C19</f>
        <v>0</v>
      </c>
      <c r="AM41" s="1">
        <f t="shared" si="2"/>
        <v>0</v>
      </c>
      <c r="AN41" s="1">
        <f t="shared" si="3"/>
        <v>0</v>
      </c>
      <c r="AO41" s="1">
        <f t="shared" si="4"/>
        <v>0</v>
      </c>
      <c r="AP41" t="b" cm="1">
        <f t="array" ref="AP41">INDEX($AU$8:$BB$25,6*(R41-1)+MATCH(AB41,$AS$8:$AS$13,0),MATCH(O41,$AU$7:$BB$7,0))</f>
        <v>1</v>
      </c>
    </row>
    <row r="42" spans="1:42" ht="14.55" customHeight="1" x14ac:dyDescent="0.45">
      <c r="A42" s="85"/>
      <c r="B42" s="31" t="s">
        <v>21</v>
      </c>
      <c r="C42" s="45"/>
      <c r="D42" s="45"/>
      <c r="E42" s="45"/>
      <c r="I42" s="64"/>
      <c r="O42" s="43" t="s">
        <v>11</v>
      </c>
      <c r="P42" s="43">
        <v>2</v>
      </c>
      <c r="Q42" s="43">
        <v>1</v>
      </c>
      <c r="R42" s="43">
        <v>2</v>
      </c>
      <c r="S42" s="45"/>
      <c r="T42" t="b">
        <f>(S41+S42+S43)=N3</f>
        <v>0</v>
      </c>
      <c r="X42" s="1">
        <v>0</v>
      </c>
      <c r="Y42" s="48">
        <v>0</v>
      </c>
      <c r="AA42" s="1">
        <v>9</v>
      </c>
      <c r="AB42" s="1" t="s">
        <v>16</v>
      </c>
      <c r="AC42" s="1" t="s">
        <v>22</v>
      </c>
      <c r="AD42" s="1">
        <v>19</v>
      </c>
      <c r="AE42" s="1">
        <v>16</v>
      </c>
      <c r="AF42" s="1">
        <v>0.8</v>
      </c>
      <c r="AG42" s="1">
        <v>0.9</v>
      </c>
      <c r="AH42" s="1">
        <v>0</v>
      </c>
      <c r="AI42" s="1">
        <v>0</v>
      </c>
      <c r="AJ42" s="1">
        <f t="shared" si="1"/>
        <v>0</v>
      </c>
      <c r="AK42" s="1">
        <f>D13</f>
        <v>60</v>
      </c>
      <c r="AL42" s="1">
        <f>D19</f>
        <v>0</v>
      </c>
      <c r="AM42" s="1">
        <f t="shared" si="2"/>
        <v>0</v>
      </c>
      <c r="AN42" s="1">
        <f t="shared" si="3"/>
        <v>0</v>
      </c>
      <c r="AO42" s="1">
        <f t="shared" si="4"/>
        <v>0</v>
      </c>
      <c r="AP42" t="b" cm="1">
        <f t="array" ref="AP42">INDEX($AU$8:$BB$25,6*(R42-1)+MATCH(AB42,$AS$8:$AS$13,0),MATCH(O42,$AU$7:$BB$7,0))</f>
        <v>1</v>
      </c>
    </row>
    <row r="43" spans="1:42" ht="14.55" customHeight="1" x14ac:dyDescent="0.45">
      <c r="A43" s="85"/>
      <c r="B43" s="31" t="s">
        <v>22</v>
      </c>
      <c r="C43" s="45"/>
      <c r="D43" s="45"/>
      <c r="E43" s="45"/>
      <c r="F43" s="44" t="s">
        <v>134</v>
      </c>
      <c r="G43" s="44" t="s">
        <v>135</v>
      </c>
      <c r="H43" s="44" t="s">
        <v>136</v>
      </c>
      <c r="I43" s="64"/>
      <c r="O43" s="43" t="s">
        <v>11</v>
      </c>
      <c r="P43" s="43">
        <v>2</v>
      </c>
      <c r="Q43" s="43">
        <v>1</v>
      </c>
      <c r="R43" s="43">
        <v>3</v>
      </c>
      <c r="S43" s="45"/>
      <c r="T43" t="b">
        <f>(S41+S42+S43)=N3</f>
        <v>0</v>
      </c>
      <c r="X43" s="1">
        <v>0</v>
      </c>
      <c r="Y43" s="48">
        <v>0</v>
      </c>
      <c r="AA43" s="1">
        <v>9</v>
      </c>
      <c r="AB43" s="1" t="s">
        <v>16</v>
      </c>
      <c r="AC43" s="1" t="s">
        <v>22</v>
      </c>
      <c r="AD43" s="1">
        <v>19</v>
      </c>
      <c r="AE43" s="1">
        <v>16</v>
      </c>
      <c r="AF43" s="1">
        <v>0.8</v>
      </c>
      <c r="AG43" s="1">
        <v>0.9</v>
      </c>
      <c r="AH43" s="1">
        <v>0</v>
      </c>
      <c r="AI43" s="1">
        <v>0</v>
      </c>
      <c r="AJ43" s="1">
        <f t="shared" si="1"/>
        <v>0</v>
      </c>
      <c r="AK43" s="1">
        <f>E13</f>
        <v>36</v>
      </c>
      <c r="AL43" s="1">
        <f>E19</f>
        <v>0</v>
      </c>
      <c r="AM43" s="1">
        <f t="shared" si="2"/>
        <v>0</v>
      </c>
      <c r="AN43" s="1">
        <f t="shared" si="3"/>
        <v>0</v>
      </c>
      <c r="AO43" s="1">
        <f t="shared" si="4"/>
        <v>0</v>
      </c>
      <c r="AP43" t="b" cm="1">
        <f t="array" ref="AP43">INDEX($AU$8:$BB$25,6*(R43-1)+MATCH(AB43,$AS$8:$AS$13,0),MATCH(O43,$AU$7:$BB$7,0))</f>
        <v>1</v>
      </c>
    </row>
    <row r="44" spans="1:42" ht="14.25" x14ac:dyDescent="0.45">
      <c r="A44" s="85" t="s">
        <v>25</v>
      </c>
      <c r="B44" s="31" t="s">
        <v>10</v>
      </c>
      <c r="C44" s="45"/>
      <c r="D44" s="45"/>
      <c r="E44" s="45"/>
      <c r="F44" cm="1">
        <f t="array" ref="F44">SUM(C44:C55*data!$B$3:$B$14)</f>
        <v>0</v>
      </c>
      <c r="G44" cm="1">
        <f t="array" ref="G44">SUM(D44:D55*data!$B$3:$B$14)</f>
        <v>0</v>
      </c>
      <c r="H44" cm="1">
        <f t="array" ref="H44">SUM(E44:E55*data!$B$3:$B$14)</f>
        <v>0</v>
      </c>
      <c r="I44" s="64" t="s">
        <v>156</v>
      </c>
      <c r="O44" s="43" t="s">
        <v>11</v>
      </c>
      <c r="P44" s="43">
        <v>2</v>
      </c>
      <c r="Q44" s="43">
        <v>2</v>
      </c>
      <c r="R44" s="43">
        <v>1</v>
      </c>
      <c r="S44" s="45"/>
      <c r="T44" t="b">
        <f>(S44+S45+S46)=N3</f>
        <v>0</v>
      </c>
      <c r="X44" s="1">
        <f t="shared" ref="X44:X85" si="6">MAX(S41-S44,0)</f>
        <v>0</v>
      </c>
      <c r="Y44" s="48">
        <v>0</v>
      </c>
      <c r="AA44" s="1">
        <v>1</v>
      </c>
      <c r="AB44" s="1" t="s">
        <v>12</v>
      </c>
      <c r="AC44" s="1" t="s">
        <v>18</v>
      </c>
      <c r="AD44" s="1">
        <v>20</v>
      </c>
      <c r="AE44" s="1">
        <v>18</v>
      </c>
      <c r="AF44" s="1">
        <v>0.76</v>
      </c>
      <c r="AG44" s="1">
        <v>0.81</v>
      </c>
      <c r="AH44" s="1">
        <v>0</v>
      </c>
      <c r="AI44" s="1">
        <v>0</v>
      </c>
      <c r="AJ44" s="1">
        <f t="shared" si="1"/>
        <v>0</v>
      </c>
      <c r="AK44" s="1">
        <f>C9</f>
        <v>25</v>
      </c>
      <c r="AL44" s="1">
        <f>C15</f>
        <v>0</v>
      </c>
      <c r="AM44" s="1">
        <f t="shared" si="2"/>
        <v>0</v>
      </c>
      <c r="AN44" s="1">
        <f t="shared" si="3"/>
        <v>0</v>
      </c>
      <c r="AO44" s="1">
        <f t="shared" si="4"/>
        <v>0</v>
      </c>
      <c r="AP44" t="b" cm="1">
        <f t="array" ref="AP44">INDEX($AU$8:$BB$25,6*(R44-1)+MATCH(AB44,$AS$8:$AS$13,0),MATCH(O44,$AU$7:$BB$7,0))</f>
        <v>1</v>
      </c>
    </row>
    <row r="45" spans="1:42" ht="14.55" customHeight="1" x14ac:dyDescent="0.45">
      <c r="A45" s="85"/>
      <c r="B45" s="31" t="s">
        <v>12</v>
      </c>
      <c r="C45" s="45"/>
      <c r="D45" s="45"/>
      <c r="E45" s="45"/>
      <c r="I45" s="64"/>
      <c r="O45" s="43" t="s">
        <v>11</v>
      </c>
      <c r="P45" s="43">
        <v>2</v>
      </c>
      <c r="Q45" s="43">
        <v>2</v>
      </c>
      <c r="R45" s="43">
        <v>2</v>
      </c>
      <c r="S45" s="45"/>
      <c r="T45" t="b">
        <f>(S44+S45+S46)=N3</f>
        <v>0</v>
      </c>
      <c r="X45" s="1">
        <f t="shared" si="6"/>
        <v>0</v>
      </c>
      <c r="Y45" s="48">
        <v>0</v>
      </c>
      <c r="AA45" s="1">
        <v>1</v>
      </c>
      <c r="AB45" s="1" t="s">
        <v>12</v>
      </c>
      <c r="AC45" s="1" t="s">
        <v>18</v>
      </c>
      <c r="AD45" s="1">
        <v>20</v>
      </c>
      <c r="AE45" s="1">
        <v>18</v>
      </c>
      <c r="AF45" s="1">
        <v>0.76</v>
      </c>
      <c r="AG45" s="1">
        <v>0.81</v>
      </c>
      <c r="AH45" s="1">
        <v>0</v>
      </c>
      <c r="AI45" s="1">
        <v>0</v>
      </c>
      <c r="AJ45" s="1">
        <f t="shared" si="1"/>
        <v>0</v>
      </c>
      <c r="AK45" s="1">
        <f>D9</f>
        <v>30</v>
      </c>
      <c r="AL45" s="1">
        <f>D15</f>
        <v>0</v>
      </c>
      <c r="AM45" s="1">
        <f t="shared" si="2"/>
        <v>0</v>
      </c>
      <c r="AN45" s="1">
        <f t="shared" si="3"/>
        <v>0</v>
      </c>
      <c r="AO45" s="1">
        <f t="shared" si="4"/>
        <v>0</v>
      </c>
      <c r="AP45" t="b" cm="1">
        <f t="array" ref="AP45">INDEX($AU$8:$BB$25,6*(R45-1)+MATCH(AB45,$AS$8:$AS$13,0),MATCH(O45,$AU$7:$BB$7,0))</f>
        <v>1</v>
      </c>
    </row>
    <row r="46" spans="1:42" ht="14.55" customHeight="1" x14ac:dyDescent="0.45">
      <c r="A46" s="85"/>
      <c r="B46" s="31" t="s">
        <v>13</v>
      </c>
      <c r="C46" s="45"/>
      <c r="D46" s="45"/>
      <c r="E46" s="45"/>
      <c r="F46" s="84" t="s">
        <v>137</v>
      </c>
      <c r="G46" s="84"/>
      <c r="I46" s="64"/>
      <c r="O46" s="43" t="s">
        <v>11</v>
      </c>
      <c r="P46" s="43">
        <v>2</v>
      </c>
      <c r="Q46" s="43">
        <v>2</v>
      </c>
      <c r="R46" s="43">
        <v>3</v>
      </c>
      <c r="S46" s="45"/>
      <c r="T46" t="b">
        <f>(S44+S45+S46)=N3</f>
        <v>0</v>
      </c>
      <c r="X46" s="1">
        <f t="shared" si="6"/>
        <v>0</v>
      </c>
      <c r="Y46" s="48">
        <v>0</v>
      </c>
      <c r="AA46" s="1">
        <v>1</v>
      </c>
      <c r="AB46" s="1" t="s">
        <v>12</v>
      </c>
      <c r="AC46" s="1" t="s">
        <v>18</v>
      </c>
      <c r="AD46" s="1">
        <v>20</v>
      </c>
      <c r="AE46" s="1">
        <v>18</v>
      </c>
      <c r="AF46" s="1">
        <v>0.76</v>
      </c>
      <c r="AG46" s="1">
        <v>0.81</v>
      </c>
      <c r="AH46" s="1">
        <v>0</v>
      </c>
      <c r="AI46" s="1">
        <v>0</v>
      </c>
      <c r="AJ46" s="1">
        <f t="shared" si="1"/>
        <v>0</v>
      </c>
      <c r="AK46" s="1">
        <f>E9</f>
        <v>0</v>
      </c>
      <c r="AL46" s="1">
        <f>E15</f>
        <v>0</v>
      </c>
      <c r="AM46" s="1">
        <f t="shared" si="2"/>
        <v>0</v>
      </c>
      <c r="AN46" s="1">
        <f t="shared" si="3"/>
        <v>0</v>
      </c>
      <c r="AO46" s="1">
        <f t="shared" si="4"/>
        <v>0</v>
      </c>
      <c r="AP46" t="b" cm="1">
        <f t="array" ref="AP46">INDEX($AU$8:$BB$25,6*(R46-1)+MATCH(AB46,$AS$8:$AS$13,0),MATCH(O46,$AU$7:$BB$7,0))</f>
        <v>1</v>
      </c>
    </row>
    <row r="47" spans="1:42" ht="14.55" customHeight="1" x14ac:dyDescent="0.45">
      <c r="A47" s="85"/>
      <c r="B47" s="31" t="s">
        <v>14</v>
      </c>
      <c r="C47" s="45"/>
      <c r="D47" s="45"/>
      <c r="E47" s="45"/>
      <c r="F47" s="83" cm="1">
        <f t="array" ref="F47">SUM(
     _xlfn.BYROW(
           IF(C44:E55-C32:E43&gt;0, C44:E55-C32:E43, 0),
           _xleta.SUM)
     *data!$C$3:$C$14
)</f>
        <v>0</v>
      </c>
      <c r="G47" s="83"/>
      <c r="I47" s="64"/>
      <c r="O47" s="43" t="s">
        <v>11</v>
      </c>
      <c r="P47" s="43">
        <v>2</v>
      </c>
      <c r="Q47" s="43">
        <v>3</v>
      </c>
      <c r="R47" s="43">
        <v>1</v>
      </c>
      <c r="S47" s="45"/>
      <c r="T47" t="b">
        <f>(S47+S48+S49)=N3</f>
        <v>0</v>
      </c>
      <c r="X47" s="1">
        <f t="shared" si="6"/>
        <v>0</v>
      </c>
      <c r="Y47" s="48">
        <v>0</v>
      </c>
      <c r="AA47" s="1">
        <v>11</v>
      </c>
      <c r="AB47" s="1" t="s">
        <v>15</v>
      </c>
      <c r="AC47" s="1" t="s">
        <v>21</v>
      </c>
      <c r="AD47" s="1">
        <v>10</v>
      </c>
      <c r="AE47" s="1">
        <v>7</v>
      </c>
      <c r="AF47" s="1">
        <v>0.76</v>
      </c>
      <c r="AG47" s="1">
        <v>0.84</v>
      </c>
      <c r="AH47" s="1">
        <v>0</v>
      </c>
      <c r="AI47" s="1">
        <v>0</v>
      </c>
      <c r="AJ47" s="1">
        <f t="shared" si="1"/>
        <v>0</v>
      </c>
      <c r="AK47" s="1">
        <f>C12</f>
        <v>40</v>
      </c>
      <c r="AL47" s="1">
        <f>C18</f>
        <v>0</v>
      </c>
      <c r="AM47" s="1">
        <f t="shared" si="2"/>
        <v>0</v>
      </c>
      <c r="AN47" s="1">
        <f t="shared" si="3"/>
        <v>0</v>
      </c>
      <c r="AO47" s="1">
        <f t="shared" si="4"/>
        <v>0</v>
      </c>
      <c r="AP47" t="b" cm="1">
        <f t="array" ref="AP47">INDEX($AU$8:$BB$25,6*(R47-1)+MATCH(AB47,$AS$8:$AS$13,0),MATCH(O47,$AU$7:$BB$7,0))</f>
        <v>1</v>
      </c>
    </row>
    <row r="48" spans="1:42" ht="14.55" customHeight="1" x14ac:dyDescent="0.45">
      <c r="A48" s="85"/>
      <c r="B48" s="31" t="s">
        <v>15</v>
      </c>
      <c r="C48" s="45"/>
      <c r="D48" s="45"/>
      <c r="E48" s="45"/>
      <c r="F48" s="84" t="s">
        <v>138</v>
      </c>
      <c r="G48" s="84"/>
      <c r="I48" s="64"/>
      <c r="O48" s="43" t="s">
        <v>11</v>
      </c>
      <c r="P48" s="43">
        <v>2</v>
      </c>
      <c r="Q48" s="43">
        <v>3</v>
      </c>
      <c r="R48" s="43">
        <v>2</v>
      </c>
      <c r="S48" s="45"/>
      <c r="T48" t="b">
        <f>(S47+S48+S49)=N3</f>
        <v>0</v>
      </c>
      <c r="X48" s="1">
        <f t="shared" si="6"/>
        <v>0</v>
      </c>
      <c r="Y48" s="48">
        <v>0</v>
      </c>
      <c r="AA48" s="1">
        <v>11</v>
      </c>
      <c r="AB48" s="1" t="s">
        <v>15</v>
      </c>
      <c r="AC48" s="1" t="s">
        <v>21</v>
      </c>
      <c r="AD48" s="1">
        <v>10</v>
      </c>
      <c r="AE48" s="1">
        <v>7</v>
      </c>
      <c r="AF48" s="1">
        <v>0.76</v>
      </c>
      <c r="AG48" s="1">
        <v>0.84</v>
      </c>
      <c r="AH48" s="1">
        <v>0</v>
      </c>
      <c r="AI48" s="1">
        <v>0</v>
      </c>
      <c r="AJ48" s="1">
        <f t="shared" si="1"/>
        <v>0</v>
      </c>
      <c r="AK48" s="1">
        <f>D12</f>
        <v>30</v>
      </c>
      <c r="AL48" s="1">
        <f>D18</f>
        <v>0</v>
      </c>
      <c r="AM48" s="1">
        <f t="shared" si="2"/>
        <v>0</v>
      </c>
      <c r="AN48" s="1">
        <f t="shared" si="3"/>
        <v>0</v>
      </c>
      <c r="AO48" s="1">
        <f t="shared" si="4"/>
        <v>0</v>
      </c>
      <c r="AP48" t="b" cm="1">
        <f t="array" ref="AP48">INDEX($AU$8:$BB$25,6*(R48-1)+MATCH(AB48,$AS$8:$AS$13,0),MATCH(O48,$AU$7:$BB$7,0))</f>
        <v>1</v>
      </c>
    </row>
    <row r="49" spans="1:42" ht="14.55" customHeight="1" x14ac:dyDescent="0.45">
      <c r="A49" s="85"/>
      <c r="B49" s="31" t="s">
        <v>16</v>
      </c>
      <c r="C49" s="45"/>
      <c r="D49" s="45"/>
      <c r="E49" s="45"/>
      <c r="F49" s="83" cm="1">
        <f t="array" ref="F49">SUM(
     _xlfn.BYROW(
           IF(C44:E55-C32:E43&lt;0, C44:E55-C32:E43, 0),
           _xleta.SUM)
     * -1000000
)</f>
        <v>0</v>
      </c>
      <c r="G49" s="83"/>
      <c r="I49" s="64"/>
      <c r="O49" s="43" t="s">
        <v>11</v>
      </c>
      <c r="P49" s="43">
        <v>2</v>
      </c>
      <c r="Q49" s="43">
        <v>3</v>
      </c>
      <c r="R49" s="43">
        <v>3</v>
      </c>
      <c r="S49" s="45"/>
      <c r="T49" t="b">
        <f>(S47+S48+S49)=N3</f>
        <v>0</v>
      </c>
      <c r="X49" s="1">
        <f t="shared" si="6"/>
        <v>0</v>
      </c>
      <c r="Y49" s="48">
        <v>0</v>
      </c>
      <c r="AA49" s="1">
        <v>11</v>
      </c>
      <c r="AB49" s="1" t="s">
        <v>15</v>
      </c>
      <c r="AC49" s="1" t="s">
        <v>21</v>
      </c>
      <c r="AD49" s="1">
        <v>10</v>
      </c>
      <c r="AE49" s="1">
        <v>7</v>
      </c>
      <c r="AF49" s="1">
        <v>0.76</v>
      </c>
      <c r="AG49" s="1">
        <v>0.84</v>
      </c>
      <c r="AH49" s="1">
        <v>0</v>
      </c>
      <c r="AI49" s="1">
        <v>0</v>
      </c>
      <c r="AJ49" s="1">
        <f t="shared" si="1"/>
        <v>0</v>
      </c>
      <c r="AK49" s="1">
        <f>E12</f>
        <v>16</v>
      </c>
      <c r="AL49" s="1">
        <f>E18</f>
        <v>0</v>
      </c>
      <c r="AM49" s="1">
        <f t="shared" si="2"/>
        <v>0</v>
      </c>
      <c r="AN49" s="1">
        <f t="shared" si="3"/>
        <v>0</v>
      </c>
      <c r="AO49" s="1">
        <f t="shared" si="4"/>
        <v>0</v>
      </c>
      <c r="AP49" t="b" cm="1">
        <f t="array" ref="AP49">INDEX($AU$8:$BB$25,6*(R49-1)+MATCH(AB49,$AS$8:$AS$13,0),MATCH(O49,$AU$7:$BB$7,0))</f>
        <v>1</v>
      </c>
    </row>
    <row r="50" spans="1:42" ht="14.55" customHeight="1" x14ac:dyDescent="0.45">
      <c r="A50" s="85"/>
      <c r="B50" s="31" t="s">
        <v>17</v>
      </c>
      <c r="C50" s="45"/>
      <c r="D50" s="45"/>
      <c r="E50" s="45"/>
      <c r="I50" s="64"/>
      <c r="O50" s="43" t="s">
        <v>11</v>
      </c>
      <c r="P50" s="43">
        <v>2</v>
      </c>
      <c r="Q50" s="43">
        <v>4</v>
      </c>
      <c r="R50" s="43">
        <v>1</v>
      </c>
      <c r="S50" s="45"/>
      <c r="T50" t="b">
        <f>(S50+S51+S52)=N3</f>
        <v>0</v>
      </c>
      <c r="X50" s="1">
        <f t="shared" si="6"/>
        <v>0</v>
      </c>
      <c r="Y50" s="48">
        <v>0</v>
      </c>
      <c r="AA50" s="1">
        <v>2</v>
      </c>
      <c r="AB50" s="1" t="s">
        <v>12</v>
      </c>
      <c r="AC50" s="1" t="s">
        <v>18</v>
      </c>
      <c r="AD50" s="1">
        <v>25</v>
      </c>
      <c r="AE50" s="1">
        <v>19</v>
      </c>
      <c r="AF50" s="1">
        <v>0.76</v>
      </c>
      <c r="AG50" s="1">
        <v>0.81</v>
      </c>
      <c r="AH50" s="1">
        <v>0</v>
      </c>
      <c r="AI50" s="1">
        <v>0</v>
      </c>
      <c r="AJ50" s="1">
        <f t="shared" si="1"/>
        <v>0</v>
      </c>
      <c r="AK50" s="1">
        <f>C9</f>
        <v>25</v>
      </c>
      <c r="AL50" s="1">
        <f>C15</f>
        <v>0</v>
      </c>
      <c r="AM50" s="1">
        <f t="shared" si="2"/>
        <v>0</v>
      </c>
      <c r="AN50" s="1">
        <f t="shared" si="3"/>
        <v>0</v>
      </c>
      <c r="AO50" s="1">
        <f t="shared" si="4"/>
        <v>0</v>
      </c>
      <c r="AP50" t="b" cm="1">
        <f t="array" ref="AP50">INDEX($AU$8:$BB$25,6*(R50-1)+MATCH(AB50,$AS$8:$AS$13,0),MATCH(O50,$AU$7:$BB$7,0))</f>
        <v>1</v>
      </c>
    </row>
    <row r="51" spans="1:42" ht="14.55" customHeight="1" x14ac:dyDescent="0.45">
      <c r="A51" s="85"/>
      <c r="B51" s="31" t="s">
        <v>18</v>
      </c>
      <c r="C51" s="45"/>
      <c r="D51" s="45"/>
      <c r="E51" s="45"/>
      <c r="I51" s="64"/>
      <c r="O51" s="43" t="s">
        <v>11</v>
      </c>
      <c r="P51" s="43">
        <v>2</v>
      </c>
      <c r="Q51" s="43">
        <v>4</v>
      </c>
      <c r="R51" s="43">
        <v>2</v>
      </c>
      <c r="S51" s="45"/>
      <c r="T51" t="b">
        <f>(S50+S51+S52)=N3</f>
        <v>0</v>
      </c>
      <c r="X51" s="1">
        <f t="shared" si="6"/>
        <v>0</v>
      </c>
      <c r="Y51" s="48">
        <v>0</v>
      </c>
      <c r="AA51" s="1">
        <v>2</v>
      </c>
      <c r="AB51" s="1" t="s">
        <v>12</v>
      </c>
      <c r="AC51" s="1" t="s">
        <v>18</v>
      </c>
      <c r="AD51" s="1">
        <v>25</v>
      </c>
      <c r="AE51" s="1">
        <v>19</v>
      </c>
      <c r="AF51" s="1">
        <v>0.76</v>
      </c>
      <c r="AG51" s="1">
        <v>0.81</v>
      </c>
      <c r="AH51" s="1">
        <v>0</v>
      </c>
      <c r="AI51" s="1">
        <v>0</v>
      </c>
      <c r="AJ51" s="1">
        <f t="shared" si="1"/>
        <v>0</v>
      </c>
      <c r="AK51" s="1">
        <f>D9</f>
        <v>30</v>
      </c>
      <c r="AL51" s="1">
        <f>D15</f>
        <v>0</v>
      </c>
      <c r="AM51" s="1">
        <f t="shared" si="2"/>
        <v>0</v>
      </c>
      <c r="AN51" s="1">
        <f t="shared" si="3"/>
        <v>0</v>
      </c>
      <c r="AO51" s="1">
        <f t="shared" si="4"/>
        <v>0</v>
      </c>
      <c r="AP51" t="b" cm="1">
        <f t="array" ref="AP51">INDEX($AU$8:$BB$25,6*(R51-1)+MATCH(AB51,$AS$8:$AS$13,0),MATCH(O51,$AU$7:$BB$7,0))</f>
        <v>1</v>
      </c>
    </row>
    <row r="52" spans="1:42" ht="14.55" customHeight="1" x14ac:dyDescent="0.45">
      <c r="A52" s="85"/>
      <c r="B52" s="31" t="s">
        <v>19</v>
      </c>
      <c r="C52" s="45"/>
      <c r="D52" s="45"/>
      <c r="E52" s="45"/>
      <c r="I52" s="64"/>
      <c r="O52" s="43" t="s">
        <v>11</v>
      </c>
      <c r="P52" s="43">
        <v>2</v>
      </c>
      <c r="Q52" s="43">
        <v>4</v>
      </c>
      <c r="R52" s="43">
        <v>3</v>
      </c>
      <c r="S52" s="45"/>
      <c r="T52" t="b">
        <f>(S50+S51+S52)=N3</f>
        <v>0</v>
      </c>
      <c r="X52" s="1">
        <f t="shared" si="6"/>
        <v>0</v>
      </c>
      <c r="Y52" s="48">
        <v>0</v>
      </c>
      <c r="AA52" s="1">
        <v>2</v>
      </c>
      <c r="AB52" s="1" t="s">
        <v>12</v>
      </c>
      <c r="AC52" s="1" t="s">
        <v>18</v>
      </c>
      <c r="AD52" s="1">
        <v>25</v>
      </c>
      <c r="AE52" s="1">
        <v>19</v>
      </c>
      <c r="AF52" s="1">
        <v>0.76</v>
      </c>
      <c r="AG52" s="1">
        <v>0.81</v>
      </c>
      <c r="AH52" s="1">
        <v>0</v>
      </c>
      <c r="AI52" s="1">
        <v>0</v>
      </c>
      <c r="AJ52" s="1">
        <f t="shared" si="1"/>
        <v>0</v>
      </c>
      <c r="AK52" s="1">
        <f>E9</f>
        <v>0</v>
      </c>
      <c r="AL52" s="1">
        <f>E15</f>
        <v>0</v>
      </c>
      <c r="AM52" s="1">
        <f t="shared" si="2"/>
        <v>0</v>
      </c>
      <c r="AN52" s="1">
        <f t="shared" si="3"/>
        <v>0</v>
      </c>
      <c r="AO52" s="1">
        <f t="shared" si="4"/>
        <v>0</v>
      </c>
      <c r="AP52" t="b" cm="1">
        <f t="array" ref="AP52">INDEX($AU$8:$BB$25,6*(R52-1)+MATCH(AB52,$AS$8:$AS$13,0),MATCH(O52,$AU$7:$BB$7,0))</f>
        <v>1</v>
      </c>
    </row>
    <row r="53" spans="1:42" ht="14.55" customHeight="1" x14ac:dyDescent="0.45">
      <c r="A53" s="85"/>
      <c r="B53" s="31" t="s">
        <v>20</v>
      </c>
      <c r="C53" s="45"/>
      <c r="D53" s="45"/>
      <c r="E53" s="45"/>
      <c r="I53" s="64"/>
      <c r="O53" s="43" t="s">
        <v>11</v>
      </c>
      <c r="P53" s="43">
        <v>2</v>
      </c>
      <c r="Q53" s="43">
        <v>5</v>
      </c>
      <c r="R53" s="43">
        <v>1</v>
      </c>
      <c r="S53" s="45"/>
      <c r="T53" t="b">
        <f>(S53+S54+S55)=N3</f>
        <v>0</v>
      </c>
      <c r="X53" s="1">
        <f t="shared" si="6"/>
        <v>0</v>
      </c>
      <c r="Y53" s="48">
        <v>0</v>
      </c>
      <c r="AA53" s="1">
        <v>3</v>
      </c>
      <c r="AB53" s="1" t="s">
        <v>12</v>
      </c>
      <c r="AC53" s="1" t="s">
        <v>18</v>
      </c>
      <c r="AD53" s="1">
        <v>15</v>
      </c>
      <c r="AE53" s="1">
        <v>11</v>
      </c>
      <c r="AF53" s="1">
        <v>0.76</v>
      </c>
      <c r="AG53" s="1">
        <v>0.81</v>
      </c>
      <c r="AH53" s="1">
        <v>0</v>
      </c>
      <c r="AI53" s="1">
        <v>0</v>
      </c>
      <c r="AJ53" s="1">
        <f t="shared" si="1"/>
        <v>0</v>
      </c>
      <c r="AK53" s="1">
        <f>C9</f>
        <v>25</v>
      </c>
      <c r="AL53" s="1">
        <f>C15</f>
        <v>0</v>
      </c>
      <c r="AM53" s="1">
        <f t="shared" si="2"/>
        <v>0</v>
      </c>
      <c r="AN53" s="1">
        <f t="shared" si="3"/>
        <v>0</v>
      </c>
      <c r="AO53" s="1">
        <f t="shared" si="4"/>
        <v>0</v>
      </c>
      <c r="AP53" t="b" cm="1">
        <f t="array" ref="AP53">INDEX($AU$8:$BB$25,6*(R53-1)+MATCH(AB53,$AS$8:$AS$13,0),MATCH(O53,$AU$7:$BB$7,0))</f>
        <v>1</v>
      </c>
    </row>
    <row r="54" spans="1:42" ht="14.55" customHeight="1" x14ac:dyDescent="0.45">
      <c r="A54" s="85"/>
      <c r="B54" s="31" t="s">
        <v>21</v>
      </c>
      <c r="C54" s="45"/>
      <c r="D54" s="45"/>
      <c r="E54" s="45"/>
      <c r="I54" s="64"/>
      <c r="O54" s="43" t="s">
        <v>11</v>
      </c>
      <c r="P54" s="43">
        <v>2</v>
      </c>
      <c r="Q54" s="43">
        <v>5</v>
      </c>
      <c r="R54" s="43">
        <v>2</v>
      </c>
      <c r="S54" s="45"/>
      <c r="T54" t="b">
        <f>(S53+S54+S55)=N3</f>
        <v>0</v>
      </c>
      <c r="X54" s="1">
        <f t="shared" si="6"/>
        <v>0</v>
      </c>
      <c r="Y54" s="48">
        <v>0</v>
      </c>
      <c r="AA54" s="1">
        <v>3</v>
      </c>
      <c r="AB54" s="1" t="s">
        <v>12</v>
      </c>
      <c r="AC54" s="1" t="s">
        <v>18</v>
      </c>
      <c r="AD54" s="1">
        <v>15</v>
      </c>
      <c r="AE54" s="1">
        <v>11</v>
      </c>
      <c r="AF54" s="1">
        <v>0.76</v>
      </c>
      <c r="AG54" s="1">
        <v>0.81</v>
      </c>
      <c r="AH54" s="1">
        <v>0</v>
      </c>
      <c r="AI54" s="1">
        <v>0</v>
      </c>
      <c r="AJ54" s="1">
        <f t="shared" si="1"/>
        <v>0</v>
      </c>
      <c r="AK54" s="1">
        <f>D9</f>
        <v>30</v>
      </c>
      <c r="AL54" s="1">
        <f>D15</f>
        <v>0</v>
      </c>
      <c r="AM54" s="1">
        <f t="shared" si="2"/>
        <v>0</v>
      </c>
      <c r="AN54" s="1">
        <f t="shared" si="3"/>
        <v>0</v>
      </c>
      <c r="AO54" s="1">
        <f t="shared" si="4"/>
        <v>0</v>
      </c>
      <c r="AP54" t="b" cm="1">
        <f t="array" ref="AP54">INDEX($AU$8:$BB$25,6*(R54-1)+MATCH(AB54,$AS$8:$AS$13,0),MATCH(O54,$AU$7:$BB$7,0))</f>
        <v>1</v>
      </c>
    </row>
    <row r="55" spans="1:42" ht="14.55" customHeight="1" x14ac:dyDescent="0.45">
      <c r="A55" s="85"/>
      <c r="B55" s="31" t="s">
        <v>22</v>
      </c>
      <c r="C55" s="45"/>
      <c r="D55" s="45"/>
      <c r="E55" s="45"/>
      <c r="F55" s="44" t="s">
        <v>134</v>
      </c>
      <c r="G55" s="44" t="s">
        <v>135</v>
      </c>
      <c r="H55" s="44" t="s">
        <v>136</v>
      </c>
      <c r="I55" s="64"/>
      <c r="O55" s="43" t="s">
        <v>11</v>
      </c>
      <c r="P55" s="43">
        <v>2</v>
      </c>
      <c r="Q55" s="43">
        <v>5</v>
      </c>
      <c r="R55" s="43">
        <v>3</v>
      </c>
      <c r="S55" s="45"/>
      <c r="T55" t="b">
        <f>(S53+S54+S55)=N3</f>
        <v>0</v>
      </c>
      <c r="X55" s="1">
        <f t="shared" si="6"/>
        <v>0</v>
      </c>
      <c r="Y55" s="48">
        <v>0</v>
      </c>
      <c r="AA55" s="1">
        <v>3</v>
      </c>
      <c r="AB55" s="1" t="s">
        <v>12</v>
      </c>
      <c r="AC55" s="1" t="s">
        <v>18</v>
      </c>
      <c r="AD55" s="1">
        <v>15</v>
      </c>
      <c r="AE55" s="1">
        <v>11</v>
      </c>
      <c r="AF55" s="1">
        <v>0.76</v>
      </c>
      <c r="AG55" s="1">
        <v>0.81</v>
      </c>
      <c r="AH55" s="1">
        <v>0</v>
      </c>
      <c r="AI55" s="1">
        <v>0</v>
      </c>
      <c r="AJ55" s="1">
        <f t="shared" si="1"/>
        <v>0</v>
      </c>
      <c r="AK55" s="1">
        <f>E9</f>
        <v>0</v>
      </c>
      <c r="AL55" s="1">
        <f>E15</f>
        <v>0</v>
      </c>
      <c r="AM55" s="1">
        <f t="shared" si="2"/>
        <v>0</v>
      </c>
      <c r="AN55" s="1">
        <f t="shared" si="3"/>
        <v>0</v>
      </c>
      <c r="AO55" s="1">
        <f t="shared" si="4"/>
        <v>0</v>
      </c>
      <c r="AP55" t="b" cm="1">
        <f t="array" ref="AP55">INDEX($AU$8:$BB$25,6*(R55-1)+MATCH(AB55,$AS$8:$AS$13,0),MATCH(O55,$AU$7:$BB$7,0))</f>
        <v>1</v>
      </c>
    </row>
    <row r="56" spans="1:42" ht="14.25" x14ac:dyDescent="0.45">
      <c r="A56" s="85" t="s">
        <v>26</v>
      </c>
      <c r="B56" s="31" t="s">
        <v>10</v>
      </c>
      <c r="C56" s="45"/>
      <c r="D56" s="45"/>
      <c r="E56" s="45"/>
      <c r="F56" cm="1">
        <f t="array" ref="F56">SUM(C56:C67*data!$B$3:$B$14)</f>
        <v>0</v>
      </c>
      <c r="G56" cm="1">
        <f t="array" ref="G56">SUM(D56:D67*data!$B$3:$B$14)</f>
        <v>0</v>
      </c>
      <c r="H56" cm="1">
        <f t="array" ref="H56">SUM(E56:E67*data!$B$3:$B$14)</f>
        <v>0</v>
      </c>
      <c r="I56" s="64" t="s">
        <v>156</v>
      </c>
      <c r="O56" s="43" t="s">
        <v>11</v>
      </c>
      <c r="P56" s="43">
        <v>2</v>
      </c>
      <c r="Q56" s="43">
        <v>6</v>
      </c>
      <c r="R56" s="43">
        <v>1</v>
      </c>
      <c r="S56" s="45"/>
      <c r="T56" t="b">
        <f>(S56+S57+S58)=N3</f>
        <v>0</v>
      </c>
      <c r="X56" s="1">
        <f t="shared" si="6"/>
        <v>0</v>
      </c>
      <c r="Y56" s="48">
        <v>0</v>
      </c>
      <c r="AA56" s="1">
        <v>5</v>
      </c>
      <c r="AB56" s="1" t="s">
        <v>16</v>
      </c>
      <c r="AC56" s="1" t="s">
        <v>22</v>
      </c>
      <c r="AD56" s="1">
        <v>16</v>
      </c>
      <c r="AE56" s="1">
        <v>14</v>
      </c>
      <c r="AF56" s="1">
        <v>0.8</v>
      </c>
      <c r="AG56" s="1">
        <v>0.9</v>
      </c>
      <c r="AH56" s="1">
        <v>0</v>
      </c>
      <c r="AI56" s="1">
        <v>0</v>
      </c>
      <c r="AJ56" s="1">
        <f t="shared" si="1"/>
        <v>0</v>
      </c>
      <c r="AK56" s="1">
        <f>C13</f>
        <v>90</v>
      </c>
      <c r="AL56" s="1">
        <f>C19</f>
        <v>0</v>
      </c>
      <c r="AM56" s="1">
        <f t="shared" si="2"/>
        <v>0</v>
      </c>
      <c r="AN56" s="1">
        <f t="shared" si="3"/>
        <v>0</v>
      </c>
      <c r="AO56" s="1">
        <f t="shared" si="4"/>
        <v>0</v>
      </c>
      <c r="AP56" t="b" cm="1">
        <f t="array" ref="AP56">INDEX($AU$8:$BB$25,6*(R56-1)+MATCH(AB56,$AS$8:$AS$13,0),MATCH(O56,$AU$7:$BB$7,0))</f>
        <v>1</v>
      </c>
    </row>
    <row r="57" spans="1:42" ht="14.55" customHeight="1" x14ac:dyDescent="0.45">
      <c r="A57" s="85"/>
      <c r="B57" s="31" t="s">
        <v>12</v>
      </c>
      <c r="C57" s="45"/>
      <c r="D57" s="45"/>
      <c r="E57" s="45"/>
      <c r="I57" s="64"/>
      <c r="O57" s="43" t="s">
        <v>11</v>
      </c>
      <c r="P57" s="43">
        <v>2</v>
      </c>
      <c r="Q57" s="43">
        <v>6</v>
      </c>
      <c r="R57" s="43">
        <v>2</v>
      </c>
      <c r="S57" s="45"/>
      <c r="T57" t="b">
        <f>(S56+S57+S58)=N3</f>
        <v>0</v>
      </c>
      <c r="X57" s="1">
        <f t="shared" si="6"/>
        <v>0</v>
      </c>
      <c r="Y57" s="48">
        <v>0</v>
      </c>
      <c r="AA57" s="1">
        <v>5</v>
      </c>
      <c r="AB57" s="1" t="s">
        <v>16</v>
      </c>
      <c r="AC57" s="1" t="s">
        <v>22</v>
      </c>
      <c r="AD57" s="1">
        <v>16</v>
      </c>
      <c r="AE57" s="1">
        <v>14</v>
      </c>
      <c r="AF57" s="1">
        <v>0.8</v>
      </c>
      <c r="AG57" s="1">
        <v>0.9</v>
      </c>
      <c r="AH57" s="1">
        <v>0</v>
      </c>
      <c r="AI57" s="1">
        <v>0</v>
      </c>
      <c r="AJ57" s="1">
        <f t="shared" si="1"/>
        <v>0</v>
      </c>
      <c r="AK57" s="1">
        <f>D13</f>
        <v>60</v>
      </c>
      <c r="AL57" s="1">
        <f>D19</f>
        <v>0</v>
      </c>
      <c r="AM57" s="1">
        <f t="shared" si="2"/>
        <v>0</v>
      </c>
      <c r="AN57" s="1">
        <f t="shared" si="3"/>
        <v>0</v>
      </c>
      <c r="AO57" s="1">
        <f t="shared" si="4"/>
        <v>0</v>
      </c>
      <c r="AP57" t="b" cm="1">
        <f t="array" ref="AP57">INDEX($AU$8:$BB$25,6*(R57-1)+MATCH(AB57,$AS$8:$AS$13,0),MATCH(O57,$AU$7:$BB$7,0))</f>
        <v>1</v>
      </c>
    </row>
    <row r="58" spans="1:42" ht="14.55" customHeight="1" x14ac:dyDescent="0.45">
      <c r="A58" s="85"/>
      <c r="B58" s="31" t="s">
        <v>13</v>
      </c>
      <c r="C58" s="45"/>
      <c r="D58" s="45"/>
      <c r="E58" s="45"/>
      <c r="F58" s="84" t="s">
        <v>137</v>
      </c>
      <c r="G58" s="84"/>
      <c r="I58" s="64"/>
      <c r="O58" s="43" t="s">
        <v>11</v>
      </c>
      <c r="P58" s="43">
        <v>2</v>
      </c>
      <c r="Q58" s="43">
        <v>6</v>
      </c>
      <c r="R58" s="43">
        <v>3</v>
      </c>
      <c r="S58" s="45"/>
      <c r="T58" t="b">
        <f>(S56+S57+S58)=N3</f>
        <v>0</v>
      </c>
      <c r="X58" s="1">
        <f t="shared" si="6"/>
        <v>0</v>
      </c>
      <c r="Y58" s="48">
        <v>0</v>
      </c>
      <c r="AA58" s="1">
        <v>5</v>
      </c>
      <c r="AB58" s="1" t="s">
        <v>16</v>
      </c>
      <c r="AC58" s="1" t="s">
        <v>22</v>
      </c>
      <c r="AD58" s="1">
        <v>16</v>
      </c>
      <c r="AE58" s="1">
        <v>14</v>
      </c>
      <c r="AF58" s="1">
        <v>0.8</v>
      </c>
      <c r="AG58" s="1">
        <v>0.9</v>
      </c>
      <c r="AH58" s="1">
        <v>0</v>
      </c>
      <c r="AI58" s="1">
        <v>0</v>
      </c>
      <c r="AJ58" s="1">
        <f t="shared" si="1"/>
        <v>0</v>
      </c>
      <c r="AK58" s="1">
        <f>E13</f>
        <v>36</v>
      </c>
      <c r="AL58" s="1">
        <f>E19</f>
        <v>0</v>
      </c>
      <c r="AM58" s="1">
        <f t="shared" si="2"/>
        <v>0</v>
      </c>
      <c r="AN58" s="1">
        <f t="shared" si="3"/>
        <v>0</v>
      </c>
      <c r="AO58" s="1">
        <f t="shared" si="4"/>
        <v>0</v>
      </c>
      <c r="AP58" t="b" cm="1">
        <f t="array" ref="AP58">INDEX($AU$8:$BB$25,6*(R58-1)+MATCH(AB58,$AS$8:$AS$13,0),MATCH(O58,$AU$7:$BB$7,0))</f>
        <v>1</v>
      </c>
    </row>
    <row r="59" spans="1:42" ht="14.55" customHeight="1" x14ac:dyDescent="0.45">
      <c r="A59" s="85"/>
      <c r="B59" s="31" t="s">
        <v>14</v>
      </c>
      <c r="C59" s="45"/>
      <c r="D59" s="45"/>
      <c r="E59" s="45"/>
      <c r="F59" s="83" cm="1">
        <f t="array" ref="F59">SUM(
     _xlfn.BYROW(
           IF(C56:E67-C44:E55&gt;0, C56:E67-C44:E55, 0),
           _xleta.SUM)
     *data!$C$3:$C$14
)</f>
        <v>0</v>
      </c>
      <c r="G59" s="83"/>
      <c r="I59" s="64"/>
      <c r="O59" s="43" t="s">
        <v>11</v>
      </c>
      <c r="P59" s="43">
        <v>2</v>
      </c>
      <c r="Q59" s="43">
        <v>7</v>
      </c>
      <c r="R59" s="43">
        <v>1</v>
      </c>
      <c r="S59" s="45"/>
      <c r="T59" t="b">
        <f>(S59+S60+S61)=N3</f>
        <v>0</v>
      </c>
      <c r="X59" s="1">
        <f t="shared" si="6"/>
        <v>0</v>
      </c>
      <c r="Y59" s="48">
        <v>0</v>
      </c>
      <c r="AA59" s="1">
        <v>4</v>
      </c>
      <c r="AB59" s="1" t="s">
        <v>16</v>
      </c>
      <c r="AC59" s="1" t="s">
        <v>22</v>
      </c>
      <c r="AD59" s="1">
        <v>17</v>
      </c>
      <c r="AE59" s="1">
        <v>15</v>
      </c>
      <c r="AF59" s="1">
        <v>0.8</v>
      </c>
      <c r="AG59" s="1">
        <v>0.9</v>
      </c>
      <c r="AH59" s="1">
        <v>0</v>
      </c>
      <c r="AI59" s="1">
        <v>0</v>
      </c>
      <c r="AJ59" s="1">
        <f t="shared" si="1"/>
        <v>0</v>
      </c>
      <c r="AK59" s="1">
        <f>C13</f>
        <v>90</v>
      </c>
      <c r="AL59" s="1">
        <f>C19</f>
        <v>0</v>
      </c>
      <c r="AM59" s="1">
        <f t="shared" si="2"/>
        <v>0</v>
      </c>
      <c r="AN59" s="1">
        <f t="shared" si="3"/>
        <v>0</v>
      </c>
      <c r="AO59" s="1">
        <f t="shared" si="4"/>
        <v>0</v>
      </c>
      <c r="AP59" t="b" cm="1">
        <f t="array" ref="AP59">INDEX($AU$8:$BB$25,6*(R59-1)+MATCH(AB59,$AS$8:$AS$13,0),MATCH(O59,$AU$7:$BB$7,0))</f>
        <v>1</v>
      </c>
    </row>
    <row r="60" spans="1:42" ht="14.55" customHeight="1" x14ac:dyDescent="0.45">
      <c r="A60" s="85"/>
      <c r="B60" s="31" t="s">
        <v>15</v>
      </c>
      <c r="C60" s="45"/>
      <c r="D60" s="45"/>
      <c r="E60" s="45"/>
      <c r="F60" s="84" t="s">
        <v>138</v>
      </c>
      <c r="G60" s="84"/>
      <c r="I60" s="64"/>
      <c r="O60" s="43" t="s">
        <v>11</v>
      </c>
      <c r="P60" s="43">
        <v>2</v>
      </c>
      <c r="Q60" s="43">
        <v>7</v>
      </c>
      <c r="R60" s="43">
        <v>2</v>
      </c>
      <c r="S60" s="45"/>
      <c r="T60" t="b">
        <f>(S59+S60+S61)=N3</f>
        <v>0</v>
      </c>
      <c r="X60" s="1">
        <f t="shared" si="6"/>
        <v>0</v>
      </c>
      <c r="Y60" s="48">
        <v>0</v>
      </c>
      <c r="AA60" s="1">
        <v>4</v>
      </c>
      <c r="AB60" s="1" t="s">
        <v>16</v>
      </c>
      <c r="AC60" s="1" t="s">
        <v>22</v>
      </c>
      <c r="AD60" s="1">
        <v>17</v>
      </c>
      <c r="AE60" s="1">
        <v>15</v>
      </c>
      <c r="AF60" s="1">
        <v>0.8</v>
      </c>
      <c r="AG60" s="1">
        <v>0.9</v>
      </c>
      <c r="AH60" s="1">
        <v>0</v>
      </c>
      <c r="AI60" s="1">
        <v>0</v>
      </c>
      <c r="AJ60" s="1">
        <f t="shared" si="1"/>
        <v>0</v>
      </c>
      <c r="AK60" s="1">
        <f>D13</f>
        <v>60</v>
      </c>
      <c r="AL60" s="1">
        <f>D19</f>
        <v>0</v>
      </c>
      <c r="AM60" s="1">
        <f t="shared" si="2"/>
        <v>0</v>
      </c>
      <c r="AN60" s="1">
        <f t="shared" si="3"/>
        <v>0</v>
      </c>
      <c r="AO60" s="1">
        <f t="shared" si="4"/>
        <v>0</v>
      </c>
      <c r="AP60" t="b" cm="1">
        <f t="array" ref="AP60">INDEX($AU$8:$BB$25,6*(R60-1)+MATCH(AB60,$AS$8:$AS$13,0),MATCH(O60,$AU$7:$BB$7,0))</f>
        <v>1</v>
      </c>
    </row>
    <row r="61" spans="1:42" ht="14.55" customHeight="1" x14ac:dyDescent="0.45">
      <c r="A61" s="85"/>
      <c r="B61" s="31" t="s">
        <v>16</v>
      </c>
      <c r="C61" s="45"/>
      <c r="D61" s="45"/>
      <c r="E61" s="45"/>
      <c r="F61" s="83" cm="1">
        <f t="array" ref="F61">SUM(
     _xlfn.BYROW(
           IF(C56:E67-C44:E55&lt;0, C56:E67-C44:E55, 0),
           _xleta.SUM)
     * -1000000
)</f>
        <v>0</v>
      </c>
      <c r="G61" s="83"/>
      <c r="I61" s="64"/>
      <c r="O61" s="43" t="s">
        <v>11</v>
      </c>
      <c r="P61" s="43">
        <v>2</v>
      </c>
      <c r="Q61" s="43">
        <v>7</v>
      </c>
      <c r="R61" s="43">
        <v>3</v>
      </c>
      <c r="S61" s="45"/>
      <c r="T61" t="b">
        <f>(S59+S60+S61)=N3</f>
        <v>0</v>
      </c>
      <c r="X61" s="1">
        <f t="shared" si="6"/>
        <v>0</v>
      </c>
      <c r="Y61" s="48">
        <v>0</v>
      </c>
      <c r="AA61" s="1">
        <v>4</v>
      </c>
      <c r="AB61" s="1" t="s">
        <v>16</v>
      </c>
      <c r="AC61" s="1" t="s">
        <v>22</v>
      </c>
      <c r="AD61" s="1">
        <v>17</v>
      </c>
      <c r="AE61" s="1">
        <v>15</v>
      </c>
      <c r="AF61" s="1">
        <v>0.8</v>
      </c>
      <c r="AG61" s="1">
        <v>0.9</v>
      </c>
      <c r="AH61" s="1">
        <v>0</v>
      </c>
      <c r="AI61" s="1">
        <v>0</v>
      </c>
      <c r="AJ61" s="1">
        <f t="shared" si="1"/>
        <v>0</v>
      </c>
      <c r="AK61" s="1">
        <f>E13</f>
        <v>36</v>
      </c>
      <c r="AL61" s="1">
        <f>E19</f>
        <v>0</v>
      </c>
      <c r="AM61" s="1">
        <f t="shared" si="2"/>
        <v>0</v>
      </c>
      <c r="AN61" s="1">
        <f t="shared" si="3"/>
        <v>0</v>
      </c>
      <c r="AO61" s="1">
        <f t="shared" si="4"/>
        <v>0</v>
      </c>
      <c r="AP61" t="b" cm="1">
        <f t="array" ref="AP61">INDEX($AU$8:$BB$25,6*(R61-1)+MATCH(AB61,$AS$8:$AS$13,0),MATCH(O61,$AU$7:$BB$7,0))</f>
        <v>1</v>
      </c>
    </row>
    <row r="62" spans="1:42" ht="14.55" customHeight="1" x14ac:dyDescent="0.45">
      <c r="A62" s="85"/>
      <c r="B62" s="31" t="s">
        <v>17</v>
      </c>
      <c r="C62" s="45"/>
      <c r="D62" s="45"/>
      <c r="E62" s="45"/>
      <c r="I62" s="64"/>
      <c r="O62" s="43" t="s">
        <v>11</v>
      </c>
      <c r="P62" s="43">
        <v>2</v>
      </c>
      <c r="Q62" s="43">
        <v>8</v>
      </c>
      <c r="R62" s="43">
        <v>1</v>
      </c>
      <c r="S62" s="45"/>
      <c r="T62" t="b">
        <f>(S62+S63+S64)=N3</f>
        <v>0</v>
      </c>
      <c r="X62" s="1">
        <f t="shared" si="6"/>
        <v>0</v>
      </c>
      <c r="Y62" s="48">
        <v>0</v>
      </c>
      <c r="AA62" s="1">
        <v>4</v>
      </c>
      <c r="AB62" s="1" t="s">
        <v>12</v>
      </c>
      <c r="AC62" s="1" t="s">
        <v>18</v>
      </c>
      <c r="AD62" s="1">
        <v>22</v>
      </c>
      <c r="AE62" s="1">
        <v>16</v>
      </c>
      <c r="AF62" s="1">
        <v>0.76</v>
      </c>
      <c r="AG62" s="1">
        <v>0.81</v>
      </c>
      <c r="AH62" s="1">
        <v>0</v>
      </c>
      <c r="AI62" s="1">
        <v>0</v>
      </c>
      <c r="AJ62" s="1">
        <f t="shared" si="1"/>
        <v>0</v>
      </c>
      <c r="AK62" s="1">
        <f>C9</f>
        <v>25</v>
      </c>
      <c r="AL62" s="1">
        <f>C15</f>
        <v>0</v>
      </c>
      <c r="AM62" s="1">
        <f t="shared" si="2"/>
        <v>0</v>
      </c>
      <c r="AN62" s="1">
        <f t="shared" si="3"/>
        <v>0</v>
      </c>
      <c r="AO62" s="1">
        <f t="shared" si="4"/>
        <v>0</v>
      </c>
      <c r="AP62" t="b" cm="1">
        <f t="array" ref="AP62">INDEX($AU$8:$BB$25,6*(R62-1)+MATCH(AB62,$AS$8:$AS$13,0),MATCH(O62,$AU$7:$BB$7,0))</f>
        <v>1</v>
      </c>
    </row>
    <row r="63" spans="1:42" ht="14.55" customHeight="1" x14ac:dyDescent="0.45">
      <c r="A63" s="85"/>
      <c r="B63" s="31" t="s">
        <v>18</v>
      </c>
      <c r="C63" s="45"/>
      <c r="D63" s="45"/>
      <c r="E63" s="45"/>
      <c r="I63" s="64"/>
      <c r="O63" s="43" t="s">
        <v>11</v>
      </c>
      <c r="P63" s="43">
        <v>2</v>
      </c>
      <c r="Q63" s="43">
        <v>8</v>
      </c>
      <c r="R63" s="43">
        <v>2</v>
      </c>
      <c r="S63" s="45"/>
      <c r="T63" t="b">
        <f>(S62+S63+S64)=N3</f>
        <v>0</v>
      </c>
      <c r="X63" s="1">
        <f t="shared" si="6"/>
        <v>0</v>
      </c>
      <c r="Y63" s="48">
        <v>0</v>
      </c>
      <c r="AA63" s="1">
        <v>4</v>
      </c>
      <c r="AB63" s="1" t="s">
        <v>12</v>
      </c>
      <c r="AC63" s="1" t="s">
        <v>18</v>
      </c>
      <c r="AD63" s="1">
        <v>22</v>
      </c>
      <c r="AE63" s="1">
        <v>16</v>
      </c>
      <c r="AF63" s="1">
        <v>0.76</v>
      </c>
      <c r="AG63" s="1">
        <v>0.81</v>
      </c>
      <c r="AH63" s="1">
        <v>0</v>
      </c>
      <c r="AI63" s="1">
        <v>0</v>
      </c>
      <c r="AJ63" s="1">
        <f t="shared" si="1"/>
        <v>0</v>
      </c>
      <c r="AK63" s="1">
        <f>D9</f>
        <v>30</v>
      </c>
      <c r="AL63" s="1">
        <f>D15</f>
        <v>0</v>
      </c>
      <c r="AM63" s="1">
        <f t="shared" si="2"/>
        <v>0</v>
      </c>
      <c r="AN63" s="1">
        <f t="shared" si="3"/>
        <v>0</v>
      </c>
      <c r="AO63" s="1">
        <f t="shared" si="4"/>
        <v>0</v>
      </c>
      <c r="AP63" t="b" cm="1">
        <f t="array" ref="AP63">INDEX($AU$8:$BB$25,6*(R63-1)+MATCH(AB63,$AS$8:$AS$13,0),MATCH(O63,$AU$7:$BB$7,0))</f>
        <v>1</v>
      </c>
    </row>
    <row r="64" spans="1:42" ht="14.55" customHeight="1" x14ac:dyDescent="0.45">
      <c r="A64" s="85"/>
      <c r="B64" s="31" t="s">
        <v>19</v>
      </c>
      <c r="C64" s="45"/>
      <c r="D64" s="45"/>
      <c r="E64" s="45"/>
      <c r="I64" s="64"/>
      <c r="O64" s="43" t="s">
        <v>11</v>
      </c>
      <c r="P64" s="43">
        <v>2</v>
      </c>
      <c r="Q64" s="43">
        <v>8</v>
      </c>
      <c r="R64" s="43">
        <v>3</v>
      </c>
      <c r="S64" s="45"/>
      <c r="T64" t="b">
        <f>(S62+S63+S64)=N3</f>
        <v>0</v>
      </c>
      <c r="X64" s="1">
        <f t="shared" si="6"/>
        <v>0</v>
      </c>
      <c r="Y64" s="48">
        <v>0</v>
      </c>
      <c r="AA64" s="1">
        <v>4</v>
      </c>
      <c r="AB64" s="1" t="s">
        <v>12</v>
      </c>
      <c r="AC64" s="1" t="s">
        <v>18</v>
      </c>
      <c r="AD64" s="1">
        <v>22</v>
      </c>
      <c r="AE64" s="1">
        <v>16</v>
      </c>
      <c r="AF64" s="1">
        <v>0.76</v>
      </c>
      <c r="AG64" s="1">
        <v>0.81</v>
      </c>
      <c r="AH64" s="1">
        <v>0</v>
      </c>
      <c r="AI64" s="1">
        <v>0</v>
      </c>
      <c r="AJ64" s="1">
        <f t="shared" si="1"/>
        <v>0</v>
      </c>
      <c r="AK64" s="1">
        <f>E9</f>
        <v>0</v>
      </c>
      <c r="AL64" s="1">
        <f>E15</f>
        <v>0</v>
      </c>
      <c r="AM64" s="1">
        <f t="shared" si="2"/>
        <v>0</v>
      </c>
      <c r="AN64" s="1">
        <f t="shared" si="3"/>
        <v>0</v>
      </c>
      <c r="AO64" s="1">
        <f t="shared" si="4"/>
        <v>0</v>
      </c>
      <c r="AP64" t="b" cm="1">
        <f t="array" ref="AP64">INDEX($AU$8:$BB$25,6*(R64-1)+MATCH(AB64,$AS$8:$AS$13,0),MATCH(O64,$AU$7:$BB$7,0))</f>
        <v>1</v>
      </c>
    </row>
    <row r="65" spans="1:42" ht="14.55" customHeight="1" x14ac:dyDescent="0.45">
      <c r="A65" s="85"/>
      <c r="B65" s="31" t="s">
        <v>20</v>
      </c>
      <c r="C65" s="45"/>
      <c r="D65" s="45"/>
      <c r="E65" s="45"/>
      <c r="I65" s="64"/>
      <c r="O65" s="43" t="s">
        <v>11</v>
      </c>
      <c r="P65" s="43">
        <v>2</v>
      </c>
      <c r="Q65" s="43">
        <v>9</v>
      </c>
      <c r="R65" s="43">
        <v>1</v>
      </c>
      <c r="S65" s="45"/>
      <c r="T65" t="b">
        <f>(S65+S66+S67)=N3</f>
        <v>0</v>
      </c>
      <c r="X65" s="1">
        <f t="shared" si="6"/>
        <v>0</v>
      </c>
      <c r="Y65" s="48">
        <v>0</v>
      </c>
      <c r="AA65" s="1">
        <v>4</v>
      </c>
      <c r="AB65" s="1" t="s">
        <v>15</v>
      </c>
      <c r="AC65" s="1" t="s">
        <v>21</v>
      </c>
      <c r="AD65" s="1">
        <v>7</v>
      </c>
      <c r="AE65" s="1">
        <v>6</v>
      </c>
      <c r="AF65" s="1">
        <v>0.76</v>
      </c>
      <c r="AG65" s="1">
        <v>0.84</v>
      </c>
      <c r="AH65" s="1">
        <v>0</v>
      </c>
      <c r="AI65" s="1">
        <v>0</v>
      </c>
      <c r="AJ65" s="1">
        <f t="shared" si="1"/>
        <v>0</v>
      </c>
      <c r="AK65" s="1">
        <f>C12</f>
        <v>40</v>
      </c>
      <c r="AL65" s="1">
        <f>C18</f>
        <v>0</v>
      </c>
      <c r="AM65" s="1">
        <f t="shared" si="2"/>
        <v>0</v>
      </c>
      <c r="AN65" s="1">
        <f t="shared" si="3"/>
        <v>0</v>
      </c>
      <c r="AO65" s="1">
        <f t="shared" si="4"/>
        <v>0</v>
      </c>
      <c r="AP65" t="b" cm="1">
        <f t="array" ref="AP65">INDEX($AU$8:$BB$25,6*(R65-1)+MATCH(AB65,$AS$8:$AS$13,0),MATCH(O65,$AU$7:$BB$7,0))</f>
        <v>1</v>
      </c>
    </row>
    <row r="66" spans="1:42" ht="14.55" customHeight="1" x14ac:dyDescent="0.45">
      <c r="A66" s="85"/>
      <c r="B66" s="31" t="s">
        <v>21</v>
      </c>
      <c r="C66" s="45"/>
      <c r="D66" s="45"/>
      <c r="E66" s="45"/>
      <c r="I66" s="64"/>
      <c r="O66" s="43" t="s">
        <v>11</v>
      </c>
      <c r="P66" s="43">
        <v>2</v>
      </c>
      <c r="Q66" s="43">
        <v>9</v>
      </c>
      <c r="R66" s="43">
        <v>2</v>
      </c>
      <c r="S66" s="45"/>
      <c r="T66" t="b">
        <f>(S65+S66+S67)=N3</f>
        <v>0</v>
      </c>
      <c r="X66" s="1">
        <f t="shared" si="6"/>
        <v>0</v>
      </c>
      <c r="Y66" s="48">
        <v>0</v>
      </c>
      <c r="AA66" s="1">
        <v>4</v>
      </c>
      <c r="AB66" s="1" t="s">
        <v>15</v>
      </c>
      <c r="AC66" s="1" t="s">
        <v>21</v>
      </c>
      <c r="AD66" s="1">
        <v>7</v>
      </c>
      <c r="AE66" s="1">
        <v>6</v>
      </c>
      <c r="AF66" s="1">
        <v>0.76</v>
      </c>
      <c r="AG66" s="1">
        <v>0.84</v>
      </c>
      <c r="AH66" s="1">
        <v>0</v>
      </c>
      <c r="AI66" s="1">
        <v>0</v>
      </c>
      <c r="AJ66" s="1">
        <f t="shared" si="1"/>
        <v>0</v>
      </c>
      <c r="AK66" s="1">
        <f>D12</f>
        <v>30</v>
      </c>
      <c r="AL66" s="1">
        <f>D18</f>
        <v>0</v>
      </c>
      <c r="AM66" s="1">
        <f t="shared" si="2"/>
        <v>0</v>
      </c>
      <c r="AN66" s="1">
        <f t="shared" si="3"/>
        <v>0</v>
      </c>
      <c r="AO66" s="1">
        <f t="shared" si="4"/>
        <v>0</v>
      </c>
      <c r="AP66" t="b" cm="1">
        <f t="array" ref="AP66">INDEX($AU$8:$BB$25,6*(R66-1)+MATCH(AB66,$AS$8:$AS$13,0),MATCH(O66,$AU$7:$BB$7,0))</f>
        <v>1</v>
      </c>
    </row>
    <row r="67" spans="1:42" ht="14.55" customHeight="1" x14ac:dyDescent="0.45">
      <c r="A67" s="85"/>
      <c r="B67" s="31" t="s">
        <v>22</v>
      </c>
      <c r="C67" s="45"/>
      <c r="D67" s="45"/>
      <c r="E67" s="45"/>
      <c r="F67" s="44" t="s">
        <v>134</v>
      </c>
      <c r="G67" s="44" t="s">
        <v>135</v>
      </c>
      <c r="H67" s="44" t="s">
        <v>136</v>
      </c>
      <c r="I67" s="64"/>
      <c r="O67" s="43" t="s">
        <v>11</v>
      </c>
      <c r="P67" s="43">
        <v>2</v>
      </c>
      <c r="Q67" s="43">
        <v>9</v>
      </c>
      <c r="R67" s="43">
        <v>3</v>
      </c>
      <c r="S67" s="45"/>
      <c r="T67" t="b">
        <f>(S65+S66+S67)=N3</f>
        <v>0</v>
      </c>
      <c r="X67" s="1">
        <f t="shared" si="6"/>
        <v>0</v>
      </c>
      <c r="Y67" s="48">
        <v>0</v>
      </c>
      <c r="AA67" s="1">
        <v>4</v>
      </c>
      <c r="AB67" s="1" t="s">
        <v>15</v>
      </c>
      <c r="AC67" s="1" t="s">
        <v>21</v>
      </c>
      <c r="AD67" s="1">
        <v>7</v>
      </c>
      <c r="AE67" s="1">
        <v>6</v>
      </c>
      <c r="AF67" s="1">
        <v>0.76</v>
      </c>
      <c r="AG67" s="1">
        <v>0.84</v>
      </c>
      <c r="AH67" s="1">
        <v>0</v>
      </c>
      <c r="AI67" s="1">
        <v>0</v>
      </c>
      <c r="AJ67" s="1">
        <f t="shared" si="1"/>
        <v>0</v>
      </c>
      <c r="AK67" s="1">
        <f>E12</f>
        <v>16</v>
      </c>
      <c r="AL67" s="1">
        <f>E18</f>
        <v>0</v>
      </c>
      <c r="AM67" s="1">
        <f t="shared" si="2"/>
        <v>0</v>
      </c>
      <c r="AN67" s="1">
        <f t="shared" si="3"/>
        <v>0</v>
      </c>
      <c r="AO67" s="1">
        <f t="shared" si="4"/>
        <v>0</v>
      </c>
      <c r="AP67" t="b" cm="1">
        <f t="array" ref="AP67">INDEX($AU$8:$BB$25,6*(R67-1)+MATCH(AB67,$AS$8:$AS$13,0),MATCH(O67,$AU$7:$BB$7,0))</f>
        <v>1</v>
      </c>
    </row>
    <row r="68" spans="1:42" ht="14.25" x14ac:dyDescent="0.45">
      <c r="A68" s="85" t="s">
        <v>27</v>
      </c>
      <c r="B68" s="31" t="s">
        <v>10</v>
      </c>
      <c r="C68" s="45"/>
      <c r="D68" s="45"/>
      <c r="E68" s="45"/>
      <c r="F68" cm="1">
        <f t="array" ref="F68">SUM(C68:C79*data!$B$3:$B$14)</f>
        <v>0</v>
      </c>
      <c r="G68" cm="1">
        <f t="array" ref="G68">SUM(D68:D79*data!$B$3:$B$14)</f>
        <v>0</v>
      </c>
      <c r="H68" cm="1">
        <f t="array" ref="H68">SUM(E68:E79*data!$B$3:$B$14)</f>
        <v>0</v>
      </c>
      <c r="I68" s="64" t="s">
        <v>156</v>
      </c>
      <c r="O68" s="43" t="s">
        <v>11</v>
      </c>
      <c r="P68" s="43">
        <v>2</v>
      </c>
      <c r="Q68" s="43">
        <v>10</v>
      </c>
      <c r="R68" s="43">
        <v>1</v>
      </c>
      <c r="S68" s="45"/>
      <c r="T68" t="b">
        <f>(S68+S69+S70)=N3</f>
        <v>0</v>
      </c>
      <c r="X68" s="1">
        <f t="shared" si="6"/>
        <v>0</v>
      </c>
      <c r="Y68" s="48">
        <v>0</v>
      </c>
      <c r="AA68" s="1">
        <v>6</v>
      </c>
      <c r="AB68" s="1" t="s">
        <v>15</v>
      </c>
      <c r="AC68" s="1" t="s">
        <v>21</v>
      </c>
      <c r="AD68" s="1">
        <v>9</v>
      </c>
      <c r="AE68" s="1">
        <v>7</v>
      </c>
      <c r="AF68" s="1">
        <v>0.76</v>
      </c>
      <c r="AG68" s="1">
        <v>0.84</v>
      </c>
      <c r="AH68" s="1">
        <v>0</v>
      </c>
      <c r="AI68" s="1">
        <v>0</v>
      </c>
      <c r="AJ68" s="1">
        <f t="shared" si="1"/>
        <v>0</v>
      </c>
      <c r="AK68" s="1">
        <f>C12</f>
        <v>40</v>
      </c>
      <c r="AL68" s="1">
        <f>C18</f>
        <v>0</v>
      </c>
      <c r="AM68" s="1">
        <f t="shared" si="2"/>
        <v>0</v>
      </c>
      <c r="AN68" s="1">
        <f t="shared" si="3"/>
        <v>0</v>
      </c>
      <c r="AO68" s="1">
        <f t="shared" si="4"/>
        <v>0</v>
      </c>
      <c r="AP68" t="b" cm="1">
        <f t="array" ref="AP68">INDEX($AU$8:$BB$25,6*(R68-1)+MATCH(AB68,$AS$8:$AS$13,0),MATCH(O68,$AU$7:$BB$7,0))</f>
        <v>1</v>
      </c>
    </row>
    <row r="69" spans="1:42" ht="14.55" customHeight="1" x14ac:dyDescent="0.45">
      <c r="A69" s="85"/>
      <c r="B69" s="31" t="s">
        <v>12</v>
      </c>
      <c r="C69" s="45"/>
      <c r="D69" s="45"/>
      <c r="E69" s="45"/>
      <c r="I69" s="64"/>
      <c r="O69" s="43" t="s">
        <v>11</v>
      </c>
      <c r="P69" s="43">
        <v>2</v>
      </c>
      <c r="Q69" s="43">
        <v>10</v>
      </c>
      <c r="R69" s="43">
        <v>2</v>
      </c>
      <c r="S69" s="45"/>
      <c r="T69" t="b">
        <f>(S68+S69+S70)=N3</f>
        <v>0</v>
      </c>
      <c r="X69" s="1">
        <f t="shared" si="6"/>
        <v>0</v>
      </c>
      <c r="Y69" s="48">
        <v>0</v>
      </c>
      <c r="AA69" s="1">
        <v>6</v>
      </c>
      <c r="AB69" s="1" t="s">
        <v>15</v>
      </c>
      <c r="AC69" s="1" t="s">
        <v>21</v>
      </c>
      <c r="AD69" s="1">
        <v>9</v>
      </c>
      <c r="AE69" s="1">
        <v>7</v>
      </c>
      <c r="AF69" s="1">
        <v>0.76</v>
      </c>
      <c r="AG69" s="1">
        <v>0.84</v>
      </c>
      <c r="AH69" s="1">
        <v>0</v>
      </c>
      <c r="AI69" s="1">
        <v>0</v>
      </c>
      <c r="AJ69" s="1">
        <f t="shared" si="1"/>
        <v>0</v>
      </c>
      <c r="AK69" s="1">
        <f>D12</f>
        <v>30</v>
      </c>
      <c r="AL69" s="1">
        <f>D18</f>
        <v>0</v>
      </c>
      <c r="AM69" s="1">
        <f t="shared" si="2"/>
        <v>0</v>
      </c>
      <c r="AN69" s="1">
        <f t="shared" si="3"/>
        <v>0</v>
      </c>
      <c r="AO69" s="1">
        <f t="shared" si="4"/>
        <v>0</v>
      </c>
      <c r="AP69" t="b" cm="1">
        <f t="array" ref="AP69">INDEX($AU$8:$BB$25,6*(R69-1)+MATCH(AB69,$AS$8:$AS$13,0),MATCH(O69,$AU$7:$BB$7,0))</f>
        <v>1</v>
      </c>
    </row>
    <row r="70" spans="1:42" ht="14.55" customHeight="1" x14ac:dyDescent="0.45">
      <c r="A70" s="85"/>
      <c r="B70" s="31" t="s">
        <v>13</v>
      </c>
      <c r="C70" s="45"/>
      <c r="D70" s="45"/>
      <c r="E70" s="45"/>
      <c r="F70" s="84" t="s">
        <v>137</v>
      </c>
      <c r="G70" s="84"/>
      <c r="I70" s="64"/>
      <c r="O70" s="43" t="s">
        <v>11</v>
      </c>
      <c r="P70" s="43">
        <v>2</v>
      </c>
      <c r="Q70" s="43">
        <v>10</v>
      </c>
      <c r="R70" s="43">
        <v>3</v>
      </c>
      <c r="S70" s="45"/>
      <c r="T70" t="b">
        <f>(S68+S69+S70)=N3</f>
        <v>0</v>
      </c>
      <c r="X70" s="1">
        <f t="shared" si="6"/>
        <v>0</v>
      </c>
      <c r="Y70" s="48">
        <v>0</v>
      </c>
      <c r="AA70" s="1">
        <v>6</v>
      </c>
      <c r="AB70" s="1" t="s">
        <v>15</v>
      </c>
      <c r="AC70" s="1" t="s">
        <v>21</v>
      </c>
      <c r="AD70" s="1">
        <v>9</v>
      </c>
      <c r="AE70" s="1">
        <v>7</v>
      </c>
      <c r="AF70" s="1">
        <v>0.76</v>
      </c>
      <c r="AG70" s="1">
        <v>0.84</v>
      </c>
      <c r="AH70" s="1">
        <v>0</v>
      </c>
      <c r="AI70" s="1">
        <v>0</v>
      </c>
      <c r="AJ70" s="1">
        <f t="shared" si="1"/>
        <v>0</v>
      </c>
      <c r="AK70" s="1">
        <f>E12</f>
        <v>16</v>
      </c>
      <c r="AL70" s="1">
        <f>E18</f>
        <v>0</v>
      </c>
      <c r="AM70" s="1">
        <f t="shared" si="2"/>
        <v>0</v>
      </c>
      <c r="AN70" s="1">
        <f t="shared" si="3"/>
        <v>0</v>
      </c>
      <c r="AO70" s="1">
        <f t="shared" si="4"/>
        <v>0</v>
      </c>
      <c r="AP70" t="b" cm="1">
        <f t="array" ref="AP70">INDEX($AU$8:$BB$25,6*(R70-1)+MATCH(AB70,$AS$8:$AS$13,0),MATCH(O70,$AU$7:$BB$7,0))</f>
        <v>1</v>
      </c>
    </row>
    <row r="71" spans="1:42" ht="14.55" customHeight="1" x14ac:dyDescent="0.45">
      <c r="A71" s="85"/>
      <c r="B71" s="31" t="s">
        <v>14</v>
      </c>
      <c r="C71" s="45"/>
      <c r="D71" s="45"/>
      <c r="E71" s="45"/>
      <c r="F71" s="83" cm="1">
        <f t="array" ref="F71">SUM(
     _xlfn.BYROW(
           IF(C68:E79-C56:E67&gt;0, C68:E79-C56:E67, 0),
           _xleta.SUM)
     *data!$C$3:$C$14
)</f>
        <v>0</v>
      </c>
      <c r="G71" s="83"/>
      <c r="I71" s="64"/>
      <c r="O71" s="43" t="s">
        <v>11</v>
      </c>
      <c r="P71" s="43">
        <v>2</v>
      </c>
      <c r="Q71" s="43">
        <v>11</v>
      </c>
      <c r="R71" s="43">
        <v>1</v>
      </c>
      <c r="S71" s="45"/>
      <c r="T71" t="b">
        <f>(S71+S72+S73)=N3</f>
        <v>0</v>
      </c>
      <c r="X71" s="1">
        <f t="shared" si="6"/>
        <v>0</v>
      </c>
      <c r="Y71" s="48">
        <v>0</v>
      </c>
      <c r="AA71" s="1">
        <v>2</v>
      </c>
      <c r="AB71" s="1" t="s">
        <v>15</v>
      </c>
      <c r="AC71" s="1" t="s">
        <v>21</v>
      </c>
      <c r="AD71" s="1">
        <v>20</v>
      </c>
      <c r="AE71" s="1">
        <v>19</v>
      </c>
      <c r="AF71" s="1">
        <v>0.76</v>
      </c>
      <c r="AG71" s="1">
        <v>0.84</v>
      </c>
      <c r="AH71" s="1">
        <v>0</v>
      </c>
      <c r="AI71" s="1">
        <v>0</v>
      </c>
      <c r="AJ71" s="1">
        <f t="shared" si="1"/>
        <v>0</v>
      </c>
      <c r="AK71" s="1">
        <f>C12</f>
        <v>40</v>
      </c>
      <c r="AL71" s="1">
        <f>C18</f>
        <v>0</v>
      </c>
      <c r="AM71" s="1">
        <f t="shared" si="2"/>
        <v>0</v>
      </c>
      <c r="AN71" s="1">
        <f t="shared" si="3"/>
        <v>0</v>
      </c>
      <c r="AO71" s="1">
        <f t="shared" si="4"/>
        <v>0</v>
      </c>
      <c r="AP71" t="b" cm="1">
        <f t="array" ref="AP71">INDEX($AU$8:$BB$25,6*(R71-1)+MATCH(AB71,$AS$8:$AS$13,0),MATCH(O71,$AU$7:$BB$7,0))</f>
        <v>1</v>
      </c>
    </row>
    <row r="72" spans="1:42" ht="14.55" customHeight="1" x14ac:dyDescent="0.45">
      <c r="A72" s="85"/>
      <c r="B72" s="31" t="s">
        <v>15</v>
      </c>
      <c r="C72" s="45"/>
      <c r="D72" s="45"/>
      <c r="E72" s="45"/>
      <c r="F72" s="84" t="s">
        <v>138</v>
      </c>
      <c r="G72" s="84"/>
      <c r="I72" s="64"/>
      <c r="O72" s="43" t="s">
        <v>11</v>
      </c>
      <c r="P72" s="43">
        <v>2</v>
      </c>
      <c r="Q72" s="43">
        <v>11</v>
      </c>
      <c r="R72" s="43">
        <v>2</v>
      </c>
      <c r="S72" s="45"/>
      <c r="T72" t="b">
        <f>(S71+S72+S73)=N3</f>
        <v>0</v>
      </c>
      <c r="X72" s="1">
        <f t="shared" si="6"/>
        <v>0</v>
      </c>
      <c r="Y72" s="48">
        <v>0</v>
      </c>
      <c r="AA72" s="1">
        <v>2</v>
      </c>
      <c r="AB72" s="1" t="s">
        <v>15</v>
      </c>
      <c r="AC72" s="1" t="s">
        <v>21</v>
      </c>
      <c r="AD72" s="1">
        <v>20</v>
      </c>
      <c r="AE72" s="1">
        <v>19</v>
      </c>
      <c r="AF72" s="1">
        <v>0.76</v>
      </c>
      <c r="AG72" s="1">
        <v>0.84</v>
      </c>
      <c r="AH72" s="1">
        <v>0</v>
      </c>
      <c r="AI72" s="1">
        <v>0</v>
      </c>
      <c r="AJ72" s="1">
        <f t="shared" si="1"/>
        <v>0</v>
      </c>
      <c r="AK72" s="1">
        <f>D12</f>
        <v>30</v>
      </c>
      <c r="AL72" s="1">
        <f>D18</f>
        <v>0</v>
      </c>
      <c r="AM72" s="1">
        <f t="shared" si="2"/>
        <v>0</v>
      </c>
      <c r="AN72" s="1">
        <f t="shared" si="3"/>
        <v>0</v>
      </c>
      <c r="AO72" s="1">
        <f t="shared" si="4"/>
        <v>0</v>
      </c>
      <c r="AP72" t="b" cm="1">
        <f t="array" ref="AP72">INDEX($AU$8:$BB$25,6*(R72-1)+MATCH(AB72,$AS$8:$AS$13,0),MATCH(O72,$AU$7:$BB$7,0))</f>
        <v>1</v>
      </c>
    </row>
    <row r="73" spans="1:42" ht="14.55" customHeight="1" x14ac:dyDescent="0.45">
      <c r="A73" s="85"/>
      <c r="B73" s="31" t="s">
        <v>16</v>
      </c>
      <c r="C73" s="45"/>
      <c r="D73" s="45"/>
      <c r="E73" s="45"/>
      <c r="F73" s="83" cm="1">
        <f t="array" ref="F73">SUM(
     _xlfn.BYROW(
           IF(C68:E79-C56:E67&lt;0, C68:E79-C56:E67, 0),
           _xleta.SUM)
     * -1000000
)</f>
        <v>0</v>
      </c>
      <c r="G73" s="83"/>
      <c r="I73" s="64"/>
      <c r="O73" s="43" t="s">
        <v>11</v>
      </c>
      <c r="P73" s="43">
        <v>2</v>
      </c>
      <c r="Q73" s="43">
        <v>11</v>
      </c>
      <c r="R73" s="43">
        <v>3</v>
      </c>
      <c r="S73" s="45"/>
      <c r="T73" t="b">
        <f>(S71+S72+S73)=N3</f>
        <v>0</v>
      </c>
      <c r="X73" s="1">
        <f t="shared" si="6"/>
        <v>0</v>
      </c>
      <c r="Y73" s="48">
        <v>0</v>
      </c>
      <c r="AA73" s="1">
        <v>2</v>
      </c>
      <c r="AB73" s="1" t="s">
        <v>15</v>
      </c>
      <c r="AC73" s="1" t="s">
        <v>21</v>
      </c>
      <c r="AD73" s="1">
        <v>20</v>
      </c>
      <c r="AE73" s="1">
        <v>19</v>
      </c>
      <c r="AF73" s="1">
        <v>0.76</v>
      </c>
      <c r="AG73" s="1">
        <v>0.84</v>
      </c>
      <c r="AH73" s="1">
        <v>0</v>
      </c>
      <c r="AI73" s="1">
        <v>0</v>
      </c>
      <c r="AJ73" s="1">
        <f t="shared" ref="AJ73:AJ136" si="7">SUMIFS(AH$8:AH$1039,$O$8:$O$1039,O73,$AB$8:$AB$1039,AB73,$R$8:$R$1039,R73,$AA$8:$AA$1039,"&lt;="&amp;AA73)</f>
        <v>0</v>
      </c>
      <c r="AK73" s="1">
        <f>E12</f>
        <v>16</v>
      </c>
      <c r="AL73" s="1">
        <f>E18</f>
        <v>0</v>
      </c>
      <c r="AM73" s="1">
        <f t="shared" ref="AM73:AM136" si="8">MAX(0,AJ73-AK73)</f>
        <v>0</v>
      </c>
      <c r="AN73" s="1">
        <f t="shared" ref="AN73:AN136" si="9">IF(AM73=0,AH73,IF(AM73&gt;=AH73,0,AH73-AM73))</f>
        <v>0</v>
      </c>
      <c r="AO73" s="1">
        <f t="shared" ref="AO73:AO136" si="10">IF(AM73&gt;=AH73,AI73,AI73*AM73/AH73)</f>
        <v>0</v>
      </c>
      <c r="AP73" t="b" cm="1">
        <f t="array" ref="AP73">INDEX($AU$8:$BB$25,6*(R73-1)+MATCH(AB73,$AS$8:$AS$13,0),MATCH(O73,$AU$7:$BB$7,0))</f>
        <v>1</v>
      </c>
    </row>
    <row r="74" spans="1:42" ht="14.55" customHeight="1" x14ac:dyDescent="0.45">
      <c r="A74" s="85"/>
      <c r="B74" s="31" t="s">
        <v>17</v>
      </c>
      <c r="C74" s="45"/>
      <c r="D74" s="45"/>
      <c r="E74" s="45"/>
      <c r="I74" s="64"/>
      <c r="O74" s="43" t="s">
        <v>11</v>
      </c>
      <c r="P74" s="43">
        <v>2</v>
      </c>
      <c r="Q74" s="43">
        <v>12</v>
      </c>
      <c r="R74" s="43">
        <v>1</v>
      </c>
      <c r="S74" s="45"/>
      <c r="T74" t="b">
        <f>(S74+S75+S76)=N3</f>
        <v>0</v>
      </c>
      <c r="X74" s="1">
        <f t="shared" si="6"/>
        <v>0</v>
      </c>
      <c r="Y74" s="48">
        <v>0</v>
      </c>
      <c r="AA74" s="1">
        <v>7</v>
      </c>
      <c r="AB74" s="1" t="s">
        <v>16</v>
      </c>
      <c r="AC74" s="1" t="s">
        <v>22</v>
      </c>
      <c r="AD74" s="1">
        <v>21</v>
      </c>
      <c r="AE74" s="1">
        <v>18</v>
      </c>
      <c r="AF74" s="1">
        <v>0.8</v>
      </c>
      <c r="AG74" s="1">
        <v>0.9</v>
      </c>
      <c r="AH74" s="1">
        <v>0</v>
      </c>
      <c r="AI74" s="1">
        <v>0</v>
      </c>
      <c r="AJ74" s="1">
        <f t="shared" si="7"/>
        <v>0</v>
      </c>
      <c r="AK74" s="1">
        <f>C13</f>
        <v>90</v>
      </c>
      <c r="AL74" s="1">
        <f>C19</f>
        <v>0</v>
      </c>
      <c r="AM74" s="1">
        <f t="shared" si="8"/>
        <v>0</v>
      </c>
      <c r="AN74" s="1">
        <f t="shared" si="9"/>
        <v>0</v>
      </c>
      <c r="AO74" s="1">
        <f t="shared" si="10"/>
        <v>0</v>
      </c>
      <c r="AP74" t="b" cm="1">
        <f t="array" ref="AP74">INDEX($AU$8:$BB$25,6*(R74-1)+MATCH(AB74,$AS$8:$AS$13,0),MATCH(O74,$AU$7:$BB$7,0))</f>
        <v>1</v>
      </c>
    </row>
    <row r="75" spans="1:42" ht="14.55" customHeight="1" x14ac:dyDescent="0.45">
      <c r="A75" s="85"/>
      <c r="B75" s="31" t="s">
        <v>18</v>
      </c>
      <c r="C75" s="45"/>
      <c r="D75" s="45"/>
      <c r="E75" s="45"/>
      <c r="I75" s="64"/>
      <c r="O75" s="43" t="s">
        <v>11</v>
      </c>
      <c r="P75" s="43">
        <v>2</v>
      </c>
      <c r="Q75" s="43">
        <v>12</v>
      </c>
      <c r="R75" s="43">
        <v>2</v>
      </c>
      <c r="S75" s="45"/>
      <c r="T75" t="b">
        <f>(S74+S75+S76)=N3</f>
        <v>0</v>
      </c>
      <c r="X75" s="1">
        <f t="shared" si="6"/>
        <v>0</v>
      </c>
      <c r="Y75" s="48">
        <v>0</v>
      </c>
      <c r="AA75" s="1">
        <v>7</v>
      </c>
      <c r="AB75" s="1" t="s">
        <v>16</v>
      </c>
      <c r="AC75" s="1" t="s">
        <v>22</v>
      </c>
      <c r="AD75" s="1">
        <v>21</v>
      </c>
      <c r="AE75" s="1">
        <v>18</v>
      </c>
      <c r="AF75" s="1">
        <v>0.8</v>
      </c>
      <c r="AG75" s="1">
        <v>0.9</v>
      </c>
      <c r="AH75" s="1">
        <v>0</v>
      </c>
      <c r="AI75" s="1">
        <v>0</v>
      </c>
      <c r="AJ75" s="1">
        <f t="shared" si="7"/>
        <v>0</v>
      </c>
      <c r="AK75" s="1">
        <f>D13</f>
        <v>60</v>
      </c>
      <c r="AL75" s="1">
        <f>D19</f>
        <v>0</v>
      </c>
      <c r="AM75" s="1">
        <f t="shared" si="8"/>
        <v>0</v>
      </c>
      <c r="AN75" s="1">
        <f t="shared" si="9"/>
        <v>0</v>
      </c>
      <c r="AO75" s="1">
        <f t="shared" si="10"/>
        <v>0</v>
      </c>
      <c r="AP75" t="b" cm="1">
        <f t="array" ref="AP75">INDEX($AU$8:$BB$25,6*(R75-1)+MATCH(AB75,$AS$8:$AS$13,0),MATCH(O75,$AU$7:$BB$7,0))</f>
        <v>1</v>
      </c>
    </row>
    <row r="76" spans="1:42" ht="14.55" customHeight="1" x14ac:dyDescent="0.45">
      <c r="A76" s="85"/>
      <c r="B76" s="31" t="s">
        <v>19</v>
      </c>
      <c r="C76" s="45"/>
      <c r="D76" s="45"/>
      <c r="E76" s="45"/>
      <c r="I76" s="64"/>
      <c r="O76" s="43" t="s">
        <v>11</v>
      </c>
      <c r="P76" s="43">
        <v>2</v>
      </c>
      <c r="Q76" s="43">
        <v>12</v>
      </c>
      <c r="R76" s="43">
        <v>3</v>
      </c>
      <c r="S76" s="45"/>
      <c r="T76" t="b">
        <f>(S74+S75+S76)=N3</f>
        <v>0</v>
      </c>
      <c r="X76" s="1">
        <f t="shared" si="6"/>
        <v>0</v>
      </c>
      <c r="Y76" s="48">
        <v>0</v>
      </c>
      <c r="AA76" s="1">
        <v>7</v>
      </c>
      <c r="AB76" s="1" t="s">
        <v>16</v>
      </c>
      <c r="AC76" s="1" t="s">
        <v>22</v>
      </c>
      <c r="AD76" s="1">
        <v>21</v>
      </c>
      <c r="AE76" s="1">
        <v>18</v>
      </c>
      <c r="AF76" s="1">
        <v>0.8</v>
      </c>
      <c r="AG76" s="1">
        <v>0.9</v>
      </c>
      <c r="AH76" s="1">
        <v>0</v>
      </c>
      <c r="AI76" s="1">
        <v>0</v>
      </c>
      <c r="AJ76" s="1">
        <f t="shared" si="7"/>
        <v>0</v>
      </c>
      <c r="AK76" s="1">
        <f>E13</f>
        <v>36</v>
      </c>
      <c r="AL76" s="1">
        <f>E19</f>
        <v>0</v>
      </c>
      <c r="AM76" s="1">
        <f t="shared" si="8"/>
        <v>0</v>
      </c>
      <c r="AN76" s="1">
        <f t="shared" si="9"/>
        <v>0</v>
      </c>
      <c r="AO76" s="1">
        <f t="shared" si="10"/>
        <v>0</v>
      </c>
      <c r="AP76" t="b" cm="1">
        <f t="array" ref="AP76">INDEX($AU$8:$BB$25,6*(R76-1)+MATCH(AB76,$AS$8:$AS$13,0),MATCH(O76,$AU$7:$BB$7,0))</f>
        <v>1</v>
      </c>
    </row>
    <row r="77" spans="1:42" ht="14.55" customHeight="1" x14ac:dyDescent="0.45">
      <c r="A77" s="85"/>
      <c r="B77" s="31" t="s">
        <v>20</v>
      </c>
      <c r="C77" s="45"/>
      <c r="D77" s="45"/>
      <c r="E77" s="45"/>
      <c r="I77" s="64"/>
      <c r="O77" s="43" t="s">
        <v>11</v>
      </c>
      <c r="P77" s="43">
        <v>2</v>
      </c>
      <c r="Q77" s="43">
        <v>13</v>
      </c>
      <c r="R77" s="43">
        <v>1</v>
      </c>
      <c r="S77" s="45"/>
      <c r="T77" t="b">
        <f>(S77+S78+S79)=N3</f>
        <v>0</v>
      </c>
      <c r="X77" s="1">
        <f t="shared" si="6"/>
        <v>0</v>
      </c>
      <c r="Y77" s="48">
        <v>0</v>
      </c>
      <c r="AA77" s="1">
        <v>8</v>
      </c>
      <c r="AB77" s="1" t="s">
        <v>15</v>
      </c>
      <c r="AC77" s="1" t="s">
        <v>21</v>
      </c>
      <c r="AD77" s="1">
        <v>12</v>
      </c>
      <c r="AE77" s="1">
        <v>9</v>
      </c>
      <c r="AF77" s="1">
        <v>0.76</v>
      </c>
      <c r="AG77" s="1">
        <v>0.84</v>
      </c>
      <c r="AH77" s="1">
        <v>0</v>
      </c>
      <c r="AI77" s="1">
        <v>0</v>
      </c>
      <c r="AJ77" s="1">
        <f t="shared" si="7"/>
        <v>0</v>
      </c>
      <c r="AK77" s="1">
        <f>C12</f>
        <v>40</v>
      </c>
      <c r="AL77" s="1">
        <f>C18</f>
        <v>0</v>
      </c>
      <c r="AM77" s="1">
        <f t="shared" si="8"/>
        <v>0</v>
      </c>
      <c r="AN77" s="1">
        <f t="shared" si="9"/>
        <v>0</v>
      </c>
      <c r="AO77" s="1">
        <f t="shared" si="10"/>
        <v>0</v>
      </c>
      <c r="AP77" t="b" cm="1">
        <f t="array" ref="AP77">INDEX($AU$8:$BB$25,6*(R77-1)+MATCH(AB77,$AS$8:$AS$13,0),MATCH(O77,$AU$7:$BB$7,0))</f>
        <v>1</v>
      </c>
    </row>
    <row r="78" spans="1:42" ht="14.55" customHeight="1" x14ac:dyDescent="0.45">
      <c r="A78" s="85"/>
      <c r="B78" s="31" t="s">
        <v>21</v>
      </c>
      <c r="C78" s="45"/>
      <c r="D78" s="45"/>
      <c r="E78" s="45"/>
      <c r="I78" s="64"/>
      <c r="O78" s="43" t="s">
        <v>11</v>
      </c>
      <c r="P78" s="43">
        <v>2</v>
      </c>
      <c r="Q78" s="43">
        <v>13</v>
      </c>
      <c r="R78" s="43">
        <v>2</v>
      </c>
      <c r="S78" s="45"/>
      <c r="T78" t="b">
        <f>(S77+S78+S79)=N3</f>
        <v>0</v>
      </c>
      <c r="X78" s="1">
        <f t="shared" si="6"/>
        <v>0</v>
      </c>
      <c r="Y78" s="48">
        <v>0</v>
      </c>
      <c r="AA78" s="1">
        <v>8</v>
      </c>
      <c r="AB78" s="1" t="s">
        <v>15</v>
      </c>
      <c r="AC78" s="1" t="s">
        <v>21</v>
      </c>
      <c r="AD78" s="1">
        <v>12</v>
      </c>
      <c r="AE78" s="1">
        <v>9</v>
      </c>
      <c r="AF78" s="1">
        <v>0.76</v>
      </c>
      <c r="AG78" s="1">
        <v>0.84</v>
      </c>
      <c r="AH78" s="1">
        <v>0</v>
      </c>
      <c r="AI78" s="1">
        <v>0</v>
      </c>
      <c r="AJ78" s="1">
        <f t="shared" si="7"/>
        <v>0</v>
      </c>
      <c r="AK78" s="1">
        <f>D12</f>
        <v>30</v>
      </c>
      <c r="AL78" s="1">
        <f>D18</f>
        <v>0</v>
      </c>
      <c r="AM78" s="1">
        <f t="shared" si="8"/>
        <v>0</v>
      </c>
      <c r="AN78" s="1">
        <f t="shared" si="9"/>
        <v>0</v>
      </c>
      <c r="AO78" s="1">
        <f t="shared" si="10"/>
        <v>0</v>
      </c>
      <c r="AP78" t="b" cm="1">
        <f t="array" ref="AP78">INDEX($AU$8:$BB$25,6*(R78-1)+MATCH(AB78,$AS$8:$AS$13,0),MATCH(O78,$AU$7:$BB$7,0))</f>
        <v>1</v>
      </c>
    </row>
    <row r="79" spans="1:42" ht="14.55" customHeight="1" x14ac:dyDescent="0.45">
      <c r="A79" s="85"/>
      <c r="B79" s="31" t="s">
        <v>22</v>
      </c>
      <c r="C79" s="45"/>
      <c r="D79" s="45"/>
      <c r="E79" s="45"/>
      <c r="F79" s="44" t="s">
        <v>134</v>
      </c>
      <c r="G79" s="44" t="s">
        <v>135</v>
      </c>
      <c r="H79" s="44" t="s">
        <v>136</v>
      </c>
      <c r="I79" s="64"/>
      <c r="O79" s="43" t="s">
        <v>11</v>
      </c>
      <c r="P79" s="43">
        <v>2</v>
      </c>
      <c r="Q79" s="43">
        <v>13</v>
      </c>
      <c r="R79" s="43">
        <v>3</v>
      </c>
      <c r="S79" s="45"/>
      <c r="T79" t="b">
        <f>(S77+S78+S79)=N3</f>
        <v>0</v>
      </c>
      <c r="X79" s="1">
        <f t="shared" si="6"/>
        <v>0</v>
      </c>
      <c r="Y79" s="48">
        <v>0</v>
      </c>
      <c r="AA79" s="1">
        <v>8</v>
      </c>
      <c r="AB79" s="1" t="s">
        <v>15</v>
      </c>
      <c r="AC79" s="1" t="s">
        <v>21</v>
      </c>
      <c r="AD79" s="1">
        <v>12</v>
      </c>
      <c r="AE79" s="1">
        <v>9</v>
      </c>
      <c r="AF79" s="1">
        <v>0.76</v>
      </c>
      <c r="AG79" s="1">
        <v>0.84</v>
      </c>
      <c r="AH79" s="1">
        <v>0</v>
      </c>
      <c r="AI79" s="1">
        <v>0</v>
      </c>
      <c r="AJ79" s="1">
        <f t="shared" si="7"/>
        <v>0</v>
      </c>
      <c r="AK79" s="1">
        <f>E12</f>
        <v>16</v>
      </c>
      <c r="AL79" s="1">
        <f>E18</f>
        <v>0</v>
      </c>
      <c r="AM79" s="1">
        <f t="shared" si="8"/>
        <v>0</v>
      </c>
      <c r="AN79" s="1">
        <f t="shared" si="9"/>
        <v>0</v>
      </c>
      <c r="AO79" s="1">
        <f t="shared" si="10"/>
        <v>0</v>
      </c>
      <c r="AP79" t="b" cm="1">
        <f t="array" ref="AP79">INDEX($AU$8:$BB$25,6*(R79-1)+MATCH(AB79,$AS$8:$AS$13,0),MATCH(O79,$AU$7:$BB$7,0))</f>
        <v>1</v>
      </c>
    </row>
    <row r="80" spans="1:42" ht="14.25" x14ac:dyDescent="0.45">
      <c r="A80" s="85" t="s">
        <v>28</v>
      </c>
      <c r="B80" s="31" t="s">
        <v>10</v>
      </c>
      <c r="C80" s="45"/>
      <c r="D80" s="45"/>
      <c r="E80" s="45"/>
      <c r="F80" cm="1">
        <f t="array" ref="F80">SUM(C80:C91*data!$B$3:$B$14)</f>
        <v>0</v>
      </c>
      <c r="G80" cm="1">
        <f t="array" ref="G80">SUM(D80:D91*data!$B$3:$B$14)</f>
        <v>0</v>
      </c>
      <c r="H80" cm="1">
        <f t="array" ref="H80">SUM(E80:E91*data!$B$3:$B$14)</f>
        <v>0</v>
      </c>
      <c r="I80" s="64" t="s">
        <v>156</v>
      </c>
      <c r="O80" s="43" t="s">
        <v>11</v>
      </c>
      <c r="P80" s="43">
        <v>2</v>
      </c>
      <c r="Q80" s="43">
        <v>14</v>
      </c>
      <c r="R80" s="43">
        <v>1</v>
      </c>
      <c r="S80" s="45"/>
      <c r="T80" t="b">
        <f>(S80+S81+S82)=N3</f>
        <v>0</v>
      </c>
      <c r="X80" s="1">
        <f t="shared" si="6"/>
        <v>0</v>
      </c>
      <c r="Y80" s="48">
        <v>0</v>
      </c>
      <c r="AA80" s="1">
        <v>5</v>
      </c>
      <c r="AB80" s="1" t="s">
        <v>15</v>
      </c>
      <c r="AC80" s="1" t="s">
        <v>21</v>
      </c>
      <c r="AD80" s="1">
        <v>15</v>
      </c>
      <c r="AE80" s="1">
        <v>12</v>
      </c>
      <c r="AF80" s="1">
        <v>0.76</v>
      </c>
      <c r="AG80" s="1">
        <v>0.84</v>
      </c>
      <c r="AH80" s="1">
        <v>0</v>
      </c>
      <c r="AI80" s="1">
        <v>0</v>
      </c>
      <c r="AJ80" s="1">
        <f t="shared" si="7"/>
        <v>0</v>
      </c>
      <c r="AK80" s="1">
        <f>C12</f>
        <v>40</v>
      </c>
      <c r="AL80" s="1">
        <f>C18</f>
        <v>0</v>
      </c>
      <c r="AM80" s="1">
        <f t="shared" si="8"/>
        <v>0</v>
      </c>
      <c r="AN80" s="1">
        <f t="shared" si="9"/>
        <v>0</v>
      </c>
      <c r="AO80" s="1">
        <f t="shared" si="10"/>
        <v>0</v>
      </c>
      <c r="AP80" t="b" cm="1">
        <f t="array" ref="AP80">INDEX($AU$8:$BB$25,6*(R80-1)+MATCH(AB80,$AS$8:$AS$13,0),MATCH(O80,$AU$7:$BB$7,0))</f>
        <v>1</v>
      </c>
    </row>
    <row r="81" spans="1:42" ht="14.55" customHeight="1" x14ac:dyDescent="0.45">
      <c r="A81" s="85"/>
      <c r="B81" s="31" t="s">
        <v>12</v>
      </c>
      <c r="C81" s="45"/>
      <c r="D81" s="45"/>
      <c r="E81" s="45"/>
      <c r="I81" s="64"/>
      <c r="O81" s="43" t="s">
        <v>11</v>
      </c>
      <c r="P81" s="43">
        <v>2</v>
      </c>
      <c r="Q81" s="43">
        <v>14</v>
      </c>
      <c r="R81" s="43">
        <v>2</v>
      </c>
      <c r="S81" s="45"/>
      <c r="T81" t="b">
        <f>(S80+S81+S82)=N3</f>
        <v>0</v>
      </c>
      <c r="X81" s="1">
        <f t="shared" si="6"/>
        <v>0</v>
      </c>
      <c r="Y81" s="48">
        <v>0</v>
      </c>
      <c r="AA81" s="1">
        <v>5</v>
      </c>
      <c r="AB81" s="1" t="s">
        <v>15</v>
      </c>
      <c r="AC81" s="1" t="s">
        <v>21</v>
      </c>
      <c r="AD81" s="1">
        <v>15</v>
      </c>
      <c r="AE81" s="1">
        <v>12</v>
      </c>
      <c r="AF81" s="1">
        <v>0.76</v>
      </c>
      <c r="AG81" s="1">
        <v>0.84</v>
      </c>
      <c r="AH81" s="1">
        <v>0</v>
      </c>
      <c r="AI81" s="1">
        <v>0</v>
      </c>
      <c r="AJ81" s="1">
        <f t="shared" si="7"/>
        <v>0</v>
      </c>
      <c r="AK81" s="1">
        <f>D12</f>
        <v>30</v>
      </c>
      <c r="AL81" s="1">
        <f>D18</f>
        <v>0</v>
      </c>
      <c r="AM81" s="1">
        <f t="shared" si="8"/>
        <v>0</v>
      </c>
      <c r="AN81" s="1">
        <f t="shared" si="9"/>
        <v>0</v>
      </c>
      <c r="AO81" s="1">
        <f t="shared" si="10"/>
        <v>0</v>
      </c>
      <c r="AP81" t="b" cm="1">
        <f t="array" ref="AP81">INDEX($AU$8:$BB$25,6*(R81-1)+MATCH(AB81,$AS$8:$AS$13,0),MATCH(O81,$AU$7:$BB$7,0))</f>
        <v>1</v>
      </c>
    </row>
    <row r="82" spans="1:42" ht="14.55" customHeight="1" x14ac:dyDescent="0.45">
      <c r="A82" s="85"/>
      <c r="B82" s="31" t="s">
        <v>13</v>
      </c>
      <c r="C82" s="45"/>
      <c r="D82" s="45"/>
      <c r="E82" s="45"/>
      <c r="F82" s="84" t="s">
        <v>137</v>
      </c>
      <c r="G82" s="84"/>
      <c r="I82" s="64"/>
      <c r="O82" s="43" t="s">
        <v>11</v>
      </c>
      <c r="P82" s="43">
        <v>2</v>
      </c>
      <c r="Q82" s="43">
        <v>14</v>
      </c>
      <c r="R82" s="43">
        <v>3</v>
      </c>
      <c r="S82" s="45"/>
      <c r="T82" t="b">
        <f>(S80+S81+S82)=N3</f>
        <v>0</v>
      </c>
      <c r="X82" s="1">
        <f t="shared" si="6"/>
        <v>0</v>
      </c>
      <c r="Y82" s="48">
        <v>0</v>
      </c>
      <c r="AA82" s="1">
        <v>5</v>
      </c>
      <c r="AB82" s="1" t="s">
        <v>15</v>
      </c>
      <c r="AC82" s="1" t="s">
        <v>21</v>
      </c>
      <c r="AD82" s="1">
        <v>15</v>
      </c>
      <c r="AE82" s="1">
        <v>12</v>
      </c>
      <c r="AF82" s="1">
        <v>0.76</v>
      </c>
      <c r="AG82" s="1">
        <v>0.84</v>
      </c>
      <c r="AH82" s="1">
        <v>0</v>
      </c>
      <c r="AI82" s="1">
        <v>0</v>
      </c>
      <c r="AJ82" s="1">
        <f t="shared" si="7"/>
        <v>0</v>
      </c>
      <c r="AK82" s="1">
        <f>E12</f>
        <v>16</v>
      </c>
      <c r="AL82" s="1">
        <f>E18</f>
        <v>0</v>
      </c>
      <c r="AM82" s="1">
        <f t="shared" si="8"/>
        <v>0</v>
      </c>
      <c r="AN82" s="1">
        <f t="shared" si="9"/>
        <v>0</v>
      </c>
      <c r="AO82" s="1">
        <f t="shared" si="10"/>
        <v>0</v>
      </c>
      <c r="AP82" t="b" cm="1">
        <f t="array" ref="AP82">INDEX($AU$8:$BB$25,6*(R82-1)+MATCH(AB82,$AS$8:$AS$13,0),MATCH(O82,$AU$7:$BB$7,0))</f>
        <v>1</v>
      </c>
    </row>
    <row r="83" spans="1:42" ht="14.55" customHeight="1" x14ac:dyDescent="0.45">
      <c r="A83" s="85"/>
      <c r="B83" s="31" t="s">
        <v>14</v>
      </c>
      <c r="C83" s="45"/>
      <c r="D83" s="45"/>
      <c r="E83" s="45"/>
      <c r="F83" s="83" cm="1">
        <f t="array" ref="F83">SUM(
     _xlfn.BYROW(
           IF(C80:E91-C68:E79&gt;0, C80:E91-C68:E79, 0),
           _xleta.SUM)
     *data!$C$3:$C$14
)</f>
        <v>0</v>
      </c>
      <c r="G83" s="83"/>
      <c r="I83" s="64"/>
      <c r="O83" s="43" t="s">
        <v>11</v>
      </c>
      <c r="P83" s="43">
        <v>2</v>
      </c>
      <c r="Q83" s="43">
        <v>15</v>
      </c>
      <c r="R83" s="43">
        <v>1</v>
      </c>
      <c r="S83" s="45"/>
      <c r="T83" t="b">
        <f>(S83+S84+S85)=N3</f>
        <v>0</v>
      </c>
      <c r="X83" s="1">
        <f t="shared" si="6"/>
        <v>0</v>
      </c>
      <c r="Y83" s="48">
        <v>0</v>
      </c>
      <c r="AA83" s="1">
        <v>7</v>
      </c>
      <c r="AB83" s="1" t="s">
        <v>15</v>
      </c>
      <c r="AC83" s="1" t="s">
        <v>21</v>
      </c>
      <c r="AD83" s="1">
        <v>13</v>
      </c>
      <c r="AE83" s="1">
        <v>10</v>
      </c>
      <c r="AF83" s="1">
        <v>0.76</v>
      </c>
      <c r="AG83" s="1">
        <v>0.84</v>
      </c>
      <c r="AH83" s="1">
        <v>0</v>
      </c>
      <c r="AI83" s="1">
        <v>0</v>
      </c>
      <c r="AJ83" s="1">
        <f t="shared" si="7"/>
        <v>0</v>
      </c>
      <c r="AK83" s="1">
        <f>C12</f>
        <v>40</v>
      </c>
      <c r="AL83" s="1">
        <f>C18</f>
        <v>0</v>
      </c>
      <c r="AM83" s="1">
        <f t="shared" si="8"/>
        <v>0</v>
      </c>
      <c r="AN83" s="1">
        <f t="shared" si="9"/>
        <v>0</v>
      </c>
      <c r="AO83" s="1">
        <f t="shared" si="10"/>
        <v>0</v>
      </c>
      <c r="AP83" t="b" cm="1">
        <f t="array" ref="AP83">INDEX($AU$8:$BB$25,6*(R83-1)+MATCH(AB83,$AS$8:$AS$13,0),MATCH(O83,$AU$7:$BB$7,0))</f>
        <v>1</v>
      </c>
    </row>
    <row r="84" spans="1:42" ht="14.55" customHeight="1" x14ac:dyDescent="0.45">
      <c r="A84" s="85"/>
      <c r="B84" s="31" t="s">
        <v>15</v>
      </c>
      <c r="C84" s="45"/>
      <c r="D84" s="45"/>
      <c r="E84" s="45"/>
      <c r="F84" s="84" t="s">
        <v>138</v>
      </c>
      <c r="G84" s="84"/>
      <c r="I84" s="64"/>
      <c r="O84" s="43" t="s">
        <v>11</v>
      </c>
      <c r="P84" s="43">
        <v>2</v>
      </c>
      <c r="Q84" s="43">
        <v>15</v>
      </c>
      <c r="R84" s="43">
        <v>2</v>
      </c>
      <c r="S84" s="45"/>
      <c r="T84" t="b">
        <f>(S83+S84+S85)=N3</f>
        <v>0</v>
      </c>
      <c r="X84" s="1">
        <f t="shared" si="6"/>
        <v>0</v>
      </c>
      <c r="Y84" s="48">
        <v>0</v>
      </c>
      <c r="AA84" s="1">
        <v>7</v>
      </c>
      <c r="AB84" s="1" t="s">
        <v>15</v>
      </c>
      <c r="AC84" s="1" t="s">
        <v>21</v>
      </c>
      <c r="AD84" s="1">
        <v>13</v>
      </c>
      <c r="AE84" s="1">
        <v>10</v>
      </c>
      <c r="AF84" s="1">
        <v>0.76</v>
      </c>
      <c r="AG84" s="1">
        <v>0.84</v>
      </c>
      <c r="AH84" s="1">
        <v>0</v>
      </c>
      <c r="AI84" s="1">
        <v>0</v>
      </c>
      <c r="AJ84" s="1">
        <f t="shared" si="7"/>
        <v>0</v>
      </c>
      <c r="AK84" s="1">
        <f>D12</f>
        <v>30</v>
      </c>
      <c r="AL84" s="1">
        <f>D18</f>
        <v>0</v>
      </c>
      <c r="AM84" s="1">
        <f t="shared" si="8"/>
        <v>0</v>
      </c>
      <c r="AN84" s="1">
        <f t="shared" si="9"/>
        <v>0</v>
      </c>
      <c r="AO84" s="1">
        <f t="shared" si="10"/>
        <v>0</v>
      </c>
      <c r="AP84" t="b" cm="1">
        <f t="array" ref="AP84">INDEX($AU$8:$BB$25,6*(R84-1)+MATCH(AB84,$AS$8:$AS$13,0),MATCH(O84,$AU$7:$BB$7,0))</f>
        <v>1</v>
      </c>
    </row>
    <row r="85" spans="1:42" ht="14.55" customHeight="1" x14ac:dyDescent="0.45">
      <c r="A85" s="85"/>
      <c r="B85" s="31" t="s">
        <v>16</v>
      </c>
      <c r="C85" s="45"/>
      <c r="D85" s="45"/>
      <c r="E85" s="45"/>
      <c r="F85" s="83" cm="1">
        <f t="array" ref="F85">SUM(
     _xlfn.BYROW(
           IF(C80:E91-C68:E79&lt;0, C80:E91-C68:E79, 0),
           _xleta.SUM)
     * -1000000
)</f>
        <v>0</v>
      </c>
      <c r="G85" s="83"/>
      <c r="I85" s="64"/>
      <c r="O85" s="43" t="s">
        <v>11</v>
      </c>
      <c r="P85" s="43">
        <v>2</v>
      </c>
      <c r="Q85" s="43">
        <v>15</v>
      </c>
      <c r="R85" s="43">
        <v>3</v>
      </c>
      <c r="S85" s="45"/>
      <c r="T85" t="b">
        <f>(S83+S84+S85)=N3</f>
        <v>0</v>
      </c>
      <c r="X85" s="1">
        <f t="shared" si="6"/>
        <v>0</v>
      </c>
      <c r="Y85" s="48">
        <v>0</v>
      </c>
      <c r="AA85" s="1">
        <v>7</v>
      </c>
      <c r="AB85" s="1" t="s">
        <v>15</v>
      </c>
      <c r="AC85" s="1" t="s">
        <v>21</v>
      </c>
      <c r="AD85" s="1">
        <v>13</v>
      </c>
      <c r="AE85" s="1">
        <v>10</v>
      </c>
      <c r="AF85" s="1">
        <v>0.76</v>
      </c>
      <c r="AG85" s="1">
        <v>0.84</v>
      </c>
      <c r="AH85" s="1">
        <v>0</v>
      </c>
      <c r="AI85" s="1">
        <v>0</v>
      </c>
      <c r="AJ85" s="1">
        <f t="shared" si="7"/>
        <v>0</v>
      </c>
      <c r="AK85" s="1">
        <f>E12</f>
        <v>16</v>
      </c>
      <c r="AL85" s="1">
        <f>E18</f>
        <v>0</v>
      </c>
      <c r="AM85" s="1">
        <f t="shared" si="8"/>
        <v>0</v>
      </c>
      <c r="AN85" s="1">
        <f t="shared" si="9"/>
        <v>0</v>
      </c>
      <c r="AO85" s="1">
        <f t="shared" si="10"/>
        <v>0</v>
      </c>
      <c r="AP85" t="b" cm="1">
        <f t="array" ref="AP85">INDEX($AU$8:$BB$25,6*(R85-1)+MATCH(AB85,$AS$8:$AS$13,0),MATCH(O85,$AU$7:$BB$7,0))</f>
        <v>1</v>
      </c>
    </row>
    <row r="86" spans="1:42" ht="14.55" customHeight="1" x14ac:dyDescent="0.45">
      <c r="A86" s="85"/>
      <c r="B86" s="31" t="s">
        <v>17</v>
      </c>
      <c r="C86" s="45"/>
      <c r="D86" s="45"/>
      <c r="E86" s="45"/>
      <c r="I86" s="64"/>
      <c r="O86" s="43" t="s">
        <v>11</v>
      </c>
      <c r="P86" s="43">
        <v>3</v>
      </c>
      <c r="Q86" s="43">
        <v>1</v>
      </c>
      <c r="R86" s="43">
        <v>1</v>
      </c>
      <c r="S86" s="45"/>
      <c r="T86" t="b">
        <f>(S86+S87+S88)=N4</f>
        <v>0</v>
      </c>
      <c r="X86" s="1">
        <v>0</v>
      </c>
      <c r="Y86" s="48">
        <v>0</v>
      </c>
      <c r="AA86" s="1">
        <v>1</v>
      </c>
      <c r="AB86" s="1" t="s">
        <v>13</v>
      </c>
      <c r="AC86" s="1" t="s">
        <v>19</v>
      </c>
      <c r="AD86" s="1">
        <v>21</v>
      </c>
      <c r="AE86" s="1">
        <v>20</v>
      </c>
      <c r="AF86" s="1">
        <v>0.8</v>
      </c>
      <c r="AG86" s="1">
        <v>0.86</v>
      </c>
      <c r="AH86" s="1">
        <v>0</v>
      </c>
      <c r="AI86" s="1">
        <v>0</v>
      </c>
      <c r="AJ86" s="1">
        <f t="shared" si="7"/>
        <v>0</v>
      </c>
      <c r="AK86" s="1">
        <f>C10</f>
        <v>0</v>
      </c>
      <c r="AL86" s="1">
        <f>C16</f>
        <v>0</v>
      </c>
      <c r="AM86" s="1">
        <f t="shared" si="8"/>
        <v>0</v>
      </c>
      <c r="AN86" s="1">
        <f t="shared" si="9"/>
        <v>0</v>
      </c>
      <c r="AO86" s="1">
        <f t="shared" si="10"/>
        <v>0</v>
      </c>
      <c r="AP86" t="b" cm="1">
        <f t="array" ref="AP86">INDEX($AU$8:$BB$25,6*(R86-1)+MATCH(AB86,$AS$8:$AS$13,0),MATCH(O86,$AU$7:$BB$7,0))</f>
        <v>1</v>
      </c>
    </row>
    <row r="87" spans="1:42" ht="14.55" customHeight="1" x14ac:dyDescent="0.45">
      <c r="A87" s="85"/>
      <c r="B87" s="31" t="s">
        <v>18</v>
      </c>
      <c r="C87" s="45"/>
      <c r="D87" s="45"/>
      <c r="E87" s="45"/>
      <c r="I87" s="64"/>
      <c r="O87" s="43" t="s">
        <v>11</v>
      </c>
      <c r="P87" s="43">
        <v>3</v>
      </c>
      <c r="Q87" s="43">
        <v>1</v>
      </c>
      <c r="R87" s="43">
        <v>2</v>
      </c>
      <c r="S87" s="45"/>
      <c r="T87" t="b">
        <f>(S86+S87+S88)=N4</f>
        <v>0</v>
      </c>
      <c r="X87" s="1">
        <v>0</v>
      </c>
      <c r="Y87" s="48">
        <v>0</v>
      </c>
      <c r="AA87" s="1">
        <v>1</v>
      </c>
      <c r="AB87" s="1" t="s">
        <v>13</v>
      </c>
      <c r="AC87" s="1" t="s">
        <v>19</v>
      </c>
      <c r="AD87" s="1">
        <v>21</v>
      </c>
      <c r="AE87" s="1">
        <v>20</v>
      </c>
      <c r="AF87" s="1">
        <v>0.8</v>
      </c>
      <c r="AG87" s="1">
        <v>0.86</v>
      </c>
      <c r="AH87" s="1">
        <v>0</v>
      </c>
      <c r="AI87" s="1">
        <v>0</v>
      </c>
      <c r="AJ87" s="1">
        <f t="shared" si="7"/>
        <v>0</v>
      </c>
      <c r="AK87" s="1">
        <f>D10</f>
        <v>0</v>
      </c>
      <c r="AL87" s="1">
        <f>D16</f>
        <v>0</v>
      </c>
      <c r="AM87" s="1">
        <f t="shared" si="8"/>
        <v>0</v>
      </c>
      <c r="AN87" s="1">
        <f t="shared" si="9"/>
        <v>0</v>
      </c>
      <c r="AO87" s="1">
        <f t="shared" si="10"/>
        <v>0</v>
      </c>
      <c r="AP87" t="b" cm="1">
        <f t="array" ref="AP87">INDEX($AU$8:$BB$25,6*(R87-1)+MATCH(AB87,$AS$8:$AS$13,0),MATCH(O87,$AU$7:$BB$7,0))</f>
        <v>1</v>
      </c>
    </row>
    <row r="88" spans="1:42" ht="14.55" customHeight="1" x14ac:dyDescent="0.45">
      <c r="A88" s="85"/>
      <c r="B88" s="31" t="s">
        <v>19</v>
      </c>
      <c r="C88" s="45"/>
      <c r="D88" s="45"/>
      <c r="E88" s="45"/>
      <c r="I88" s="64"/>
      <c r="O88" s="43" t="s">
        <v>11</v>
      </c>
      <c r="P88" s="43">
        <v>3</v>
      </c>
      <c r="Q88" s="43">
        <v>1</v>
      </c>
      <c r="R88" s="43">
        <v>3</v>
      </c>
      <c r="S88" s="45"/>
      <c r="T88" t="b">
        <f>(S86+S87+S88)=N4</f>
        <v>0</v>
      </c>
      <c r="X88" s="1">
        <v>0</v>
      </c>
      <c r="Y88" s="48">
        <v>0</v>
      </c>
      <c r="AA88" s="1">
        <v>1</v>
      </c>
      <c r="AB88" s="1" t="s">
        <v>13</v>
      </c>
      <c r="AC88" s="1" t="s">
        <v>19</v>
      </c>
      <c r="AD88" s="1">
        <v>21</v>
      </c>
      <c r="AE88" s="1">
        <v>20</v>
      </c>
      <c r="AF88" s="1">
        <v>0.8</v>
      </c>
      <c r="AG88" s="1">
        <v>0.86</v>
      </c>
      <c r="AH88" s="1">
        <v>0</v>
      </c>
      <c r="AI88" s="1">
        <v>0</v>
      </c>
      <c r="AJ88" s="1">
        <f t="shared" si="7"/>
        <v>0</v>
      </c>
      <c r="AK88" s="1">
        <f>E10</f>
        <v>40</v>
      </c>
      <c r="AL88" s="1">
        <f>E16</f>
        <v>0</v>
      </c>
      <c r="AM88" s="1">
        <f t="shared" si="8"/>
        <v>0</v>
      </c>
      <c r="AN88" s="1">
        <f t="shared" si="9"/>
        <v>0</v>
      </c>
      <c r="AO88" s="1">
        <f t="shared" si="10"/>
        <v>0</v>
      </c>
      <c r="AP88" t="b" cm="1">
        <f t="array" ref="AP88">INDEX($AU$8:$BB$25,6*(R88-1)+MATCH(AB88,$AS$8:$AS$13,0),MATCH(O88,$AU$7:$BB$7,0))</f>
        <v>1</v>
      </c>
    </row>
    <row r="89" spans="1:42" ht="14.55" customHeight="1" x14ac:dyDescent="0.45">
      <c r="A89" s="85"/>
      <c r="B89" s="31" t="s">
        <v>20</v>
      </c>
      <c r="C89" s="45"/>
      <c r="D89" s="45"/>
      <c r="E89" s="45"/>
      <c r="I89" s="64"/>
      <c r="O89" s="43" t="s">
        <v>11</v>
      </c>
      <c r="P89" s="43">
        <v>3</v>
      </c>
      <c r="Q89" s="43">
        <v>2</v>
      </c>
      <c r="R89" s="43">
        <v>1</v>
      </c>
      <c r="S89" s="45"/>
      <c r="T89" t="b">
        <f>(S89+S90+S91)=N4</f>
        <v>0</v>
      </c>
      <c r="X89" s="1">
        <f t="shared" ref="X89:X136" si="11">MAX(S86-S89,0)</f>
        <v>0</v>
      </c>
      <c r="Y89" s="48">
        <v>0</v>
      </c>
      <c r="AA89" s="1">
        <v>8</v>
      </c>
      <c r="AB89" s="1" t="s">
        <v>14</v>
      </c>
      <c r="AC89" s="1" t="s">
        <v>20</v>
      </c>
      <c r="AD89" s="1">
        <v>9</v>
      </c>
      <c r="AE89" s="1">
        <v>7</v>
      </c>
      <c r="AF89" s="1">
        <v>0.8</v>
      </c>
      <c r="AG89" s="1">
        <v>0.88</v>
      </c>
      <c r="AH89" s="1">
        <v>0</v>
      </c>
      <c r="AI89" s="1">
        <v>0</v>
      </c>
      <c r="AJ89" s="1">
        <f t="shared" si="7"/>
        <v>0</v>
      </c>
      <c r="AK89" s="1">
        <f>C11</f>
        <v>50</v>
      </c>
      <c r="AL89" s="1">
        <f>C17</f>
        <v>0</v>
      </c>
      <c r="AM89" s="1">
        <f t="shared" si="8"/>
        <v>0</v>
      </c>
      <c r="AN89" s="1">
        <f t="shared" si="9"/>
        <v>0</v>
      </c>
      <c r="AO89" s="1">
        <f t="shared" si="10"/>
        <v>0</v>
      </c>
      <c r="AP89" t="b" cm="1">
        <f t="array" ref="AP89">INDEX($AU$8:$BB$25,6*(R89-1)+MATCH(AB89,$AS$8:$AS$13,0),MATCH(O89,$AU$7:$BB$7,0))</f>
        <v>1</v>
      </c>
    </row>
    <row r="90" spans="1:42" ht="14.55" customHeight="1" x14ac:dyDescent="0.45">
      <c r="A90" s="85"/>
      <c r="B90" s="31" t="s">
        <v>21</v>
      </c>
      <c r="C90" s="45"/>
      <c r="D90" s="45"/>
      <c r="E90" s="45"/>
      <c r="I90" s="64"/>
      <c r="O90" s="43" t="s">
        <v>11</v>
      </c>
      <c r="P90" s="43">
        <v>3</v>
      </c>
      <c r="Q90" s="43">
        <v>2</v>
      </c>
      <c r="R90" s="43">
        <v>2</v>
      </c>
      <c r="S90" s="45"/>
      <c r="T90" t="b">
        <f>(S89+S90+S91)=N4</f>
        <v>0</v>
      </c>
      <c r="X90" s="1">
        <f t="shared" si="11"/>
        <v>0</v>
      </c>
      <c r="Y90" s="48">
        <v>0</v>
      </c>
      <c r="AA90" s="1">
        <v>8</v>
      </c>
      <c r="AB90" s="1" t="s">
        <v>14</v>
      </c>
      <c r="AC90" s="1" t="s">
        <v>20</v>
      </c>
      <c r="AD90" s="1">
        <v>9</v>
      </c>
      <c r="AE90" s="1">
        <v>7</v>
      </c>
      <c r="AF90" s="1">
        <v>0.8</v>
      </c>
      <c r="AG90" s="1">
        <v>0.88</v>
      </c>
      <c r="AH90" s="1">
        <v>0</v>
      </c>
      <c r="AI90" s="1">
        <v>0</v>
      </c>
      <c r="AJ90" s="1">
        <f t="shared" si="7"/>
        <v>0</v>
      </c>
      <c r="AK90" s="1">
        <f>D11</f>
        <v>50</v>
      </c>
      <c r="AL90" s="1">
        <f>D17</f>
        <v>0</v>
      </c>
      <c r="AM90" s="1">
        <f t="shared" si="8"/>
        <v>0</v>
      </c>
      <c r="AN90" s="1">
        <f t="shared" si="9"/>
        <v>0</v>
      </c>
      <c r="AO90" s="1">
        <f t="shared" si="10"/>
        <v>0</v>
      </c>
      <c r="AP90" t="b" cm="1">
        <f t="array" ref="AP90">INDEX($AU$8:$BB$25,6*(R90-1)+MATCH(AB90,$AS$8:$AS$13,0),MATCH(O90,$AU$7:$BB$7,0))</f>
        <v>1</v>
      </c>
    </row>
    <row r="91" spans="1:42" ht="14.55" customHeight="1" x14ac:dyDescent="0.45">
      <c r="A91" s="85"/>
      <c r="B91" s="31" t="s">
        <v>22</v>
      </c>
      <c r="C91" s="45"/>
      <c r="D91" s="45"/>
      <c r="E91" s="45"/>
      <c r="F91" s="44" t="s">
        <v>134</v>
      </c>
      <c r="G91" s="44" t="s">
        <v>135</v>
      </c>
      <c r="H91" s="44" t="s">
        <v>136</v>
      </c>
      <c r="I91" s="64"/>
      <c r="O91" s="43" t="s">
        <v>11</v>
      </c>
      <c r="P91" s="43">
        <v>3</v>
      </c>
      <c r="Q91" s="43">
        <v>2</v>
      </c>
      <c r="R91" s="43">
        <v>3</v>
      </c>
      <c r="S91" s="45"/>
      <c r="T91" t="b">
        <f>(S89+S90+S91)=N4</f>
        <v>0</v>
      </c>
      <c r="X91" s="1">
        <f t="shared" si="11"/>
        <v>0</v>
      </c>
      <c r="Y91" s="48">
        <v>0</v>
      </c>
      <c r="AA91" s="1">
        <v>8</v>
      </c>
      <c r="AB91" s="1" t="s">
        <v>14</v>
      </c>
      <c r="AC91" s="1" t="s">
        <v>20</v>
      </c>
      <c r="AD91" s="1">
        <v>9</v>
      </c>
      <c r="AE91" s="1">
        <v>7</v>
      </c>
      <c r="AF91" s="1">
        <v>0.8</v>
      </c>
      <c r="AG91" s="1">
        <v>0.88</v>
      </c>
      <c r="AH91" s="1">
        <v>0</v>
      </c>
      <c r="AI91" s="1">
        <v>0</v>
      </c>
      <c r="AJ91" s="1">
        <f t="shared" si="7"/>
        <v>0</v>
      </c>
      <c r="AK91" s="1">
        <f>E11</f>
        <v>35</v>
      </c>
      <c r="AL91" s="1">
        <f>E17</f>
        <v>0</v>
      </c>
      <c r="AM91" s="1">
        <f t="shared" si="8"/>
        <v>0</v>
      </c>
      <c r="AN91" s="1">
        <f t="shared" si="9"/>
        <v>0</v>
      </c>
      <c r="AO91" s="1">
        <f t="shared" si="10"/>
        <v>0</v>
      </c>
      <c r="AP91" t="b" cm="1">
        <f t="array" ref="AP91">INDEX($AU$8:$BB$25,6*(R91-1)+MATCH(AB91,$AS$8:$AS$13,0),MATCH(O91,$AU$7:$BB$7,0))</f>
        <v>1</v>
      </c>
    </row>
    <row r="92" spans="1:42" ht="14.25" x14ac:dyDescent="0.45">
      <c r="A92" s="85" t="s">
        <v>29</v>
      </c>
      <c r="B92" s="31" t="s">
        <v>10</v>
      </c>
      <c r="C92" s="45"/>
      <c r="D92" s="45"/>
      <c r="E92" s="45"/>
      <c r="F92" cm="1">
        <f t="array" ref="F92">SUM(C92:C103*data!$B$3:$B$14)</f>
        <v>0</v>
      </c>
      <c r="G92" cm="1">
        <f t="array" ref="G92">SUM(D92:D103*data!$B$3:$B$14)</f>
        <v>0</v>
      </c>
      <c r="H92" cm="1">
        <f t="array" ref="H92">SUM(E92:E103*data!$B$3:$B$14)</f>
        <v>0</v>
      </c>
      <c r="I92" s="64" t="s">
        <v>156</v>
      </c>
      <c r="O92" s="43" t="s">
        <v>11</v>
      </c>
      <c r="P92" s="43">
        <v>3</v>
      </c>
      <c r="Q92" s="43">
        <v>3</v>
      </c>
      <c r="R92" s="43">
        <v>1</v>
      </c>
      <c r="S92" s="45"/>
      <c r="T92" t="b">
        <f>(S92+S93+S94)=N4</f>
        <v>0</v>
      </c>
      <c r="X92" s="1">
        <f t="shared" si="11"/>
        <v>0</v>
      </c>
      <c r="Y92" s="48">
        <v>0</v>
      </c>
      <c r="AA92" s="1">
        <v>1</v>
      </c>
      <c r="AB92" s="1" t="s">
        <v>15</v>
      </c>
      <c r="AC92" s="1" t="s">
        <v>21</v>
      </c>
      <c r="AD92" s="1">
        <v>24</v>
      </c>
      <c r="AE92" s="1">
        <v>23</v>
      </c>
      <c r="AF92" s="1">
        <v>0.76</v>
      </c>
      <c r="AG92" s="1">
        <v>0.84</v>
      </c>
      <c r="AH92" s="1">
        <v>0</v>
      </c>
      <c r="AI92" s="1">
        <v>0</v>
      </c>
      <c r="AJ92" s="1">
        <f t="shared" si="7"/>
        <v>0</v>
      </c>
      <c r="AK92" s="1">
        <f>C12</f>
        <v>40</v>
      </c>
      <c r="AL92" s="1">
        <f>C18</f>
        <v>0</v>
      </c>
      <c r="AM92" s="1">
        <f t="shared" si="8"/>
        <v>0</v>
      </c>
      <c r="AN92" s="1">
        <f t="shared" si="9"/>
        <v>0</v>
      </c>
      <c r="AO92" s="1">
        <f t="shared" si="10"/>
        <v>0</v>
      </c>
      <c r="AP92" t="b" cm="1">
        <f t="array" ref="AP92">INDEX($AU$8:$BB$25,6*(R92-1)+MATCH(AB92,$AS$8:$AS$13,0),MATCH(O92,$AU$7:$BB$7,0))</f>
        <v>1</v>
      </c>
    </row>
    <row r="93" spans="1:42" ht="14.55" customHeight="1" x14ac:dyDescent="0.45">
      <c r="A93" s="85"/>
      <c r="B93" s="31" t="s">
        <v>12</v>
      </c>
      <c r="C93" s="45"/>
      <c r="D93" s="45"/>
      <c r="E93" s="45"/>
      <c r="I93" s="64"/>
      <c r="O93" s="43" t="s">
        <v>11</v>
      </c>
      <c r="P93" s="43">
        <v>3</v>
      </c>
      <c r="Q93" s="43">
        <v>3</v>
      </c>
      <c r="R93" s="43">
        <v>2</v>
      </c>
      <c r="S93" s="45"/>
      <c r="T93" t="b">
        <f>(S92+S93+S94)=N4</f>
        <v>0</v>
      </c>
      <c r="X93" s="1">
        <f t="shared" si="11"/>
        <v>0</v>
      </c>
      <c r="Y93" s="48">
        <v>0</v>
      </c>
      <c r="AA93" s="1">
        <v>1</v>
      </c>
      <c r="AB93" s="1" t="s">
        <v>15</v>
      </c>
      <c r="AC93" s="1" t="s">
        <v>21</v>
      </c>
      <c r="AD93" s="1">
        <v>24</v>
      </c>
      <c r="AE93" s="1">
        <v>23</v>
      </c>
      <c r="AF93" s="1">
        <v>0.76</v>
      </c>
      <c r="AG93" s="1">
        <v>0.84</v>
      </c>
      <c r="AH93" s="1">
        <v>0</v>
      </c>
      <c r="AI93" s="1">
        <v>0</v>
      </c>
      <c r="AJ93" s="1">
        <f t="shared" si="7"/>
        <v>0</v>
      </c>
      <c r="AK93" s="1">
        <f>D12</f>
        <v>30</v>
      </c>
      <c r="AL93" s="1">
        <f>D18</f>
        <v>0</v>
      </c>
      <c r="AM93" s="1">
        <f t="shared" si="8"/>
        <v>0</v>
      </c>
      <c r="AN93" s="1">
        <f t="shared" si="9"/>
        <v>0</v>
      </c>
      <c r="AO93" s="1">
        <f t="shared" si="10"/>
        <v>0</v>
      </c>
      <c r="AP93" t="b" cm="1">
        <f t="array" ref="AP93">INDEX($AU$8:$BB$25,6*(R93-1)+MATCH(AB93,$AS$8:$AS$13,0),MATCH(O93,$AU$7:$BB$7,0))</f>
        <v>1</v>
      </c>
    </row>
    <row r="94" spans="1:42" ht="14.55" customHeight="1" x14ac:dyDescent="0.45">
      <c r="A94" s="85"/>
      <c r="B94" s="31" t="s">
        <v>13</v>
      </c>
      <c r="C94" s="45"/>
      <c r="D94" s="45"/>
      <c r="E94" s="45"/>
      <c r="F94" s="84" t="s">
        <v>137</v>
      </c>
      <c r="G94" s="84"/>
      <c r="I94" s="64"/>
      <c r="O94" s="43" t="s">
        <v>11</v>
      </c>
      <c r="P94" s="43">
        <v>3</v>
      </c>
      <c r="Q94" s="43">
        <v>3</v>
      </c>
      <c r="R94" s="43">
        <v>3</v>
      </c>
      <c r="S94" s="45"/>
      <c r="T94" t="b">
        <f>(S92+S93+S94)=N4</f>
        <v>0</v>
      </c>
      <c r="X94" s="1">
        <f t="shared" si="11"/>
        <v>0</v>
      </c>
      <c r="Y94" s="48">
        <v>0</v>
      </c>
      <c r="AA94" s="1">
        <v>1</v>
      </c>
      <c r="AB94" s="1" t="s">
        <v>15</v>
      </c>
      <c r="AC94" s="1" t="s">
        <v>21</v>
      </c>
      <c r="AD94" s="1">
        <v>24</v>
      </c>
      <c r="AE94" s="1">
        <v>23</v>
      </c>
      <c r="AF94" s="1">
        <v>0.76</v>
      </c>
      <c r="AG94" s="1">
        <v>0.84</v>
      </c>
      <c r="AH94" s="1">
        <v>0</v>
      </c>
      <c r="AI94" s="1">
        <v>0</v>
      </c>
      <c r="AJ94" s="1">
        <f t="shared" si="7"/>
        <v>0</v>
      </c>
      <c r="AK94" s="1">
        <f>E12</f>
        <v>16</v>
      </c>
      <c r="AL94" s="1">
        <f>E18</f>
        <v>0</v>
      </c>
      <c r="AM94" s="1">
        <f t="shared" si="8"/>
        <v>0</v>
      </c>
      <c r="AN94" s="1">
        <f t="shared" si="9"/>
        <v>0</v>
      </c>
      <c r="AO94" s="1">
        <f t="shared" si="10"/>
        <v>0</v>
      </c>
      <c r="AP94" t="b" cm="1">
        <f t="array" ref="AP94">INDEX($AU$8:$BB$25,6*(R94-1)+MATCH(AB94,$AS$8:$AS$13,0),MATCH(O94,$AU$7:$BB$7,0))</f>
        <v>1</v>
      </c>
    </row>
    <row r="95" spans="1:42" ht="14.55" customHeight="1" x14ac:dyDescent="0.45">
      <c r="A95" s="85"/>
      <c r="B95" s="31" t="s">
        <v>14</v>
      </c>
      <c r="C95" s="45"/>
      <c r="D95" s="45"/>
      <c r="E95" s="45"/>
      <c r="F95" s="83" cm="1">
        <f t="array" ref="F95">SUM(
     _xlfn.BYROW(
           IF(C92:E103-C80:E91&gt;0, C92:E103-C80:E91, 0),
           _xleta.SUM)
     *data!$C$3:$C$14
)</f>
        <v>0</v>
      </c>
      <c r="G95" s="83"/>
      <c r="I95" s="64"/>
      <c r="O95" s="43" t="s">
        <v>11</v>
      </c>
      <c r="P95" s="43">
        <v>3</v>
      </c>
      <c r="Q95" s="43">
        <v>4</v>
      </c>
      <c r="R95" s="43">
        <v>1</v>
      </c>
      <c r="S95" s="45"/>
      <c r="T95" t="b">
        <f>(S95+S96+S97)=N4</f>
        <v>0</v>
      </c>
      <c r="X95" s="1">
        <f t="shared" si="11"/>
        <v>0</v>
      </c>
      <c r="Y95" s="48">
        <v>0</v>
      </c>
      <c r="AA95" s="1">
        <v>9</v>
      </c>
      <c r="AB95" s="1" t="s">
        <v>15</v>
      </c>
      <c r="AC95" s="1" t="s">
        <v>21</v>
      </c>
      <c r="AD95" s="1">
        <v>15</v>
      </c>
      <c r="AE95" s="1">
        <v>11</v>
      </c>
      <c r="AF95" s="1">
        <v>0.76</v>
      </c>
      <c r="AG95" s="1">
        <v>0.84</v>
      </c>
      <c r="AH95" s="1">
        <v>0</v>
      </c>
      <c r="AI95" s="1">
        <v>0</v>
      </c>
      <c r="AJ95" s="1">
        <f t="shared" si="7"/>
        <v>0</v>
      </c>
      <c r="AK95" s="1">
        <f>C12</f>
        <v>40</v>
      </c>
      <c r="AL95" s="1">
        <f>C18</f>
        <v>0</v>
      </c>
      <c r="AM95" s="1">
        <f t="shared" si="8"/>
        <v>0</v>
      </c>
      <c r="AN95" s="1">
        <f t="shared" si="9"/>
        <v>0</v>
      </c>
      <c r="AO95" s="1">
        <f t="shared" si="10"/>
        <v>0</v>
      </c>
      <c r="AP95" t="b" cm="1">
        <f t="array" ref="AP95">INDEX($AU$8:$BB$25,6*(R95-1)+MATCH(AB95,$AS$8:$AS$13,0),MATCH(O95,$AU$7:$BB$7,0))</f>
        <v>1</v>
      </c>
    </row>
    <row r="96" spans="1:42" ht="14.55" customHeight="1" x14ac:dyDescent="0.45">
      <c r="A96" s="85"/>
      <c r="B96" s="31" t="s">
        <v>15</v>
      </c>
      <c r="C96" s="45"/>
      <c r="D96" s="45"/>
      <c r="E96" s="45"/>
      <c r="F96" s="84" t="s">
        <v>138</v>
      </c>
      <c r="G96" s="84"/>
      <c r="I96" s="64"/>
      <c r="O96" s="43" t="s">
        <v>11</v>
      </c>
      <c r="P96" s="43">
        <v>3</v>
      </c>
      <c r="Q96" s="43">
        <v>4</v>
      </c>
      <c r="R96" s="43">
        <v>2</v>
      </c>
      <c r="S96" s="45"/>
      <c r="T96" t="b">
        <f>(S95+S96+S97)=N4</f>
        <v>0</v>
      </c>
      <c r="X96" s="1">
        <f t="shared" si="11"/>
        <v>0</v>
      </c>
      <c r="Y96" s="48">
        <v>0</v>
      </c>
      <c r="AA96" s="1">
        <v>9</v>
      </c>
      <c r="AB96" s="1" t="s">
        <v>15</v>
      </c>
      <c r="AC96" s="1" t="s">
        <v>21</v>
      </c>
      <c r="AD96" s="1">
        <v>15</v>
      </c>
      <c r="AE96" s="1">
        <v>11</v>
      </c>
      <c r="AF96" s="1">
        <v>0.76</v>
      </c>
      <c r="AG96" s="1">
        <v>0.84</v>
      </c>
      <c r="AH96" s="1">
        <v>0</v>
      </c>
      <c r="AI96" s="1">
        <v>0</v>
      </c>
      <c r="AJ96" s="1">
        <f t="shared" si="7"/>
        <v>0</v>
      </c>
      <c r="AK96" s="1">
        <f>D12</f>
        <v>30</v>
      </c>
      <c r="AL96" s="1">
        <f>D18</f>
        <v>0</v>
      </c>
      <c r="AM96" s="1">
        <f t="shared" si="8"/>
        <v>0</v>
      </c>
      <c r="AN96" s="1">
        <f t="shared" si="9"/>
        <v>0</v>
      </c>
      <c r="AO96" s="1">
        <f t="shared" si="10"/>
        <v>0</v>
      </c>
      <c r="AP96" t="b" cm="1">
        <f t="array" ref="AP96">INDEX($AU$8:$BB$25,6*(R96-1)+MATCH(AB96,$AS$8:$AS$13,0),MATCH(O96,$AU$7:$BB$7,0))</f>
        <v>1</v>
      </c>
    </row>
    <row r="97" spans="1:42" ht="14.55" customHeight="1" x14ac:dyDescent="0.45">
      <c r="A97" s="85"/>
      <c r="B97" s="31" t="s">
        <v>16</v>
      </c>
      <c r="C97" s="45"/>
      <c r="D97" s="45"/>
      <c r="E97" s="45"/>
      <c r="F97" s="83" cm="1">
        <f t="array" ref="F97">SUM(
     _xlfn.BYROW(
           IF(C92:E103-C80:E91&lt;0, C92:E103-C80:E91, 0),
           _xleta.SUM)
     * -1000000
)</f>
        <v>0</v>
      </c>
      <c r="G97" s="83"/>
      <c r="I97" s="64"/>
      <c r="O97" s="43" t="s">
        <v>11</v>
      </c>
      <c r="P97" s="43">
        <v>3</v>
      </c>
      <c r="Q97" s="43">
        <v>4</v>
      </c>
      <c r="R97" s="43">
        <v>3</v>
      </c>
      <c r="S97" s="45"/>
      <c r="T97" t="b">
        <f>(S95+S96+S97)=N4</f>
        <v>0</v>
      </c>
      <c r="X97" s="1">
        <f t="shared" si="11"/>
        <v>0</v>
      </c>
      <c r="Y97" s="48">
        <v>0</v>
      </c>
      <c r="AA97" s="1">
        <v>9</v>
      </c>
      <c r="AB97" s="1" t="s">
        <v>15</v>
      </c>
      <c r="AC97" s="1" t="s">
        <v>21</v>
      </c>
      <c r="AD97" s="1">
        <v>15</v>
      </c>
      <c r="AE97" s="1">
        <v>11</v>
      </c>
      <c r="AF97" s="1">
        <v>0.76</v>
      </c>
      <c r="AG97" s="1">
        <v>0.84</v>
      </c>
      <c r="AH97" s="1">
        <v>0</v>
      </c>
      <c r="AI97" s="1">
        <v>0</v>
      </c>
      <c r="AJ97" s="1">
        <f t="shared" si="7"/>
        <v>0</v>
      </c>
      <c r="AK97" s="1">
        <f>E12</f>
        <v>16</v>
      </c>
      <c r="AL97" s="1">
        <f>E18</f>
        <v>0</v>
      </c>
      <c r="AM97" s="1">
        <f t="shared" si="8"/>
        <v>0</v>
      </c>
      <c r="AN97" s="1">
        <f t="shared" si="9"/>
        <v>0</v>
      </c>
      <c r="AO97" s="1">
        <f t="shared" si="10"/>
        <v>0</v>
      </c>
      <c r="AP97" t="b" cm="1">
        <f t="array" ref="AP97">INDEX($AU$8:$BB$25,6*(R97-1)+MATCH(AB97,$AS$8:$AS$13,0),MATCH(O97,$AU$7:$BB$7,0))</f>
        <v>1</v>
      </c>
    </row>
    <row r="98" spans="1:42" ht="14.55" customHeight="1" x14ac:dyDescent="0.45">
      <c r="A98" s="85"/>
      <c r="B98" s="31" t="s">
        <v>17</v>
      </c>
      <c r="C98" s="45"/>
      <c r="D98" s="45"/>
      <c r="E98" s="45"/>
      <c r="I98" s="64"/>
      <c r="O98" s="43" t="s">
        <v>11</v>
      </c>
      <c r="P98" s="43">
        <v>3</v>
      </c>
      <c r="Q98" s="43">
        <v>5</v>
      </c>
      <c r="R98" s="43">
        <v>1</v>
      </c>
      <c r="S98" s="45"/>
      <c r="T98" t="b">
        <f>(S98+S99+S100)=N4</f>
        <v>0</v>
      </c>
      <c r="X98" s="1">
        <f t="shared" si="11"/>
        <v>0</v>
      </c>
      <c r="Y98" s="48">
        <v>0</v>
      </c>
      <c r="AA98" s="1">
        <v>6</v>
      </c>
      <c r="AB98" s="1" t="s">
        <v>16</v>
      </c>
      <c r="AC98" s="1" t="s">
        <v>22</v>
      </c>
      <c r="AD98" s="1">
        <v>16</v>
      </c>
      <c r="AE98" s="1">
        <v>14</v>
      </c>
      <c r="AF98" s="1">
        <v>0.8</v>
      </c>
      <c r="AG98" s="1">
        <v>0.9</v>
      </c>
      <c r="AH98" s="1">
        <v>0</v>
      </c>
      <c r="AI98" s="1">
        <v>0</v>
      </c>
      <c r="AJ98" s="1">
        <f t="shared" si="7"/>
        <v>0</v>
      </c>
      <c r="AK98" s="1">
        <f>C13</f>
        <v>90</v>
      </c>
      <c r="AL98" s="1">
        <f>C19</f>
        <v>0</v>
      </c>
      <c r="AM98" s="1">
        <f t="shared" si="8"/>
        <v>0</v>
      </c>
      <c r="AN98" s="1">
        <f t="shared" si="9"/>
        <v>0</v>
      </c>
      <c r="AO98" s="1">
        <f t="shared" si="10"/>
        <v>0</v>
      </c>
      <c r="AP98" t="b" cm="1">
        <f t="array" ref="AP98">INDEX($AU$8:$BB$25,6*(R98-1)+MATCH(AB98,$AS$8:$AS$13,0),MATCH(O98,$AU$7:$BB$7,0))</f>
        <v>1</v>
      </c>
    </row>
    <row r="99" spans="1:42" ht="14.55" customHeight="1" x14ac:dyDescent="0.45">
      <c r="A99" s="85"/>
      <c r="B99" s="31" t="s">
        <v>18</v>
      </c>
      <c r="C99" s="45"/>
      <c r="D99" s="45"/>
      <c r="E99" s="45"/>
      <c r="I99" s="64"/>
      <c r="O99" s="43" t="s">
        <v>11</v>
      </c>
      <c r="P99" s="43">
        <v>3</v>
      </c>
      <c r="Q99" s="43">
        <v>5</v>
      </c>
      <c r="R99" s="43">
        <v>2</v>
      </c>
      <c r="S99" s="45"/>
      <c r="T99" t="b">
        <f>(S98+S99+S100)=N4</f>
        <v>0</v>
      </c>
      <c r="X99" s="1">
        <f t="shared" si="11"/>
        <v>0</v>
      </c>
      <c r="Y99" s="48">
        <v>0</v>
      </c>
      <c r="AA99" s="1">
        <v>6</v>
      </c>
      <c r="AB99" s="1" t="s">
        <v>16</v>
      </c>
      <c r="AC99" s="1" t="s">
        <v>22</v>
      </c>
      <c r="AD99" s="1">
        <v>16</v>
      </c>
      <c r="AE99" s="1">
        <v>14</v>
      </c>
      <c r="AF99" s="1">
        <v>0.8</v>
      </c>
      <c r="AG99" s="1">
        <v>0.9</v>
      </c>
      <c r="AH99" s="1">
        <v>0</v>
      </c>
      <c r="AI99" s="1">
        <v>0</v>
      </c>
      <c r="AJ99" s="1">
        <f t="shared" si="7"/>
        <v>0</v>
      </c>
      <c r="AK99" s="1">
        <f>D13</f>
        <v>60</v>
      </c>
      <c r="AL99" s="1">
        <f>D19</f>
        <v>0</v>
      </c>
      <c r="AM99" s="1">
        <f t="shared" si="8"/>
        <v>0</v>
      </c>
      <c r="AN99" s="1">
        <f t="shared" si="9"/>
        <v>0</v>
      </c>
      <c r="AO99" s="1">
        <f t="shared" si="10"/>
        <v>0</v>
      </c>
      <c r="AP99" t="b" cm="1">
        <f t="array" ref="AP99">INDEX($AU$8:$BB$25,6*(R99-1)+MATCH(AB99,$AS$8:$AS$13,0),MATCH(O99,$AU$7:$BB$7,0))</f>
        <v>1</v>
      </c>
    </row>
    <row r="100" spans="1:42" ht="14.55" customHeight="1" x14ac:dyDescent="0.45">
      <c r="A100" s="85"/>
      <c r="B100" s="31" t="s">
        <v>19</v>
      </c>
      <c r="C100" s="45"/>
      <c r="D100" s="45"/>
      <c r="E100" s="45"/>
      <c r="I100" s="64"/>
      <c r="O100" s="43" t="s">
        <v>11</v>
      </c>
      <c r="P100" s="43">
        <v>3</v>
      </c>
      <c r="Q100" s="43">
        <v>5</v>
      </c>
      <c r="R100" s="43">
        <v>3</v>
      </c>
      <c r="S100" s="45"/>
      <c r="T100" t="b">
        <f>(S98+S99+S100)=N4</f>
        <v>0</v>
      </c>
      <c r="X100" s="1">
        <f t="shared" si="11"/>
        <v>0</v>
      </c>
      <c r="Y100" s="48">
        <v>0</v>
      </c>
      <c r="AA100" s="1">
        <v>6</v>
      </c>
      <c r="AB100" s="1" t="s">
        <v>16</v>
      </c>
      <c r="AC100" s="1" t="s">
        <v>22</v>
      </c>
      <c r="AD100" s="1">
        <v>16</v>
      </c>
      <c r="AE100" s="1">
        <v>14</v>
      </c>
      <c r="AF100" s="1">
        <v>0.8</v>
      </c>
      <c r="AG100" s="1">
        <v>0.9</v>
      </c>
      <c r="AH100" s="1">
        <v>0</v>
      </c>
      <c r="AI100" s="1">
        <v>0</v>
      </c>
      <c r="AJ100" s="1">
        <f t="shared" si="7"/>
        <v>0</v>
      </c>
      <c r="AK100" s="1">
        <f>E13</f>
        <v>36</v>
      </c>
      <c r="AL100" s="1">
        <f>E19</f>
        <v>0</v>
      </c>
      <c r="AM100" s="1">
        <f t="shared" si="8"/>
        <v>0</v>
      </c>
      <c r="AN100" s="1">
        <f t="shared" si="9"/>
        <v>0</v>
      </c>
      <c r="AO100" s="1">
        <f t="shared" si="10"/>
        <v>0</v>
      </c>
      <c r="AP100" t="b" cm="1">
        <f t="array" ref="AP100">INDEX($AU$8:$BB$25,6*(R100-1)+MATCH(AB100,$AS$8:$AS$13,0),MATCH(O100,$AU$7:$BB$7,0))</f>
        <v>1</v>
      </c>
    </row>
    <row r="101" spans="1:42" ht="14.55" customHeight="1" x14ac:dyDescent="0.45">
      <c r="A101" s="85"/>
      <c r="B101" s="31" t="s">
        <v>20</v>
      </c>
      <c r="C101" s="45"/>
      <c r="D101" s="45"/>
      <c r="E101" s="45"/>
      <c r="I101" s="64"/>
      <c r="O101" s="43" t="s">
        <v>11</v>
      </c>
      <c r="P101" s="43">
        <v>3</v>
      </c>
      <c r="Q101" s="43">
        <v>6</v>
      </c>
      <c r="R101" s="43">
        <v>1</v>
      </c>
      <c r="S101" s="45"/>
      <c r="T101" t="b">
        <f>(S101+S102+S103)=N4</f>
        <v>0</v>
      </c>
      <c r="X101" s="1">
        <f t="shared" si="11"/>
        <v>0</v>
      </c>
      <c r="Y101" s="48">
        <v>0</v>
      </c>
      <c r="AA101" s="1">
        <v>1</v>
      </c>
      <c r="AB101" s="1" t="s">
        <v>14</v>
      </c>
      <c r="AC101" s="1" t="s">
        <v>20</v>
      </c>
      <c r="AD101" s="1">
        <v>12</v>
      </c>
      <c r="AE101" s="1">
        <v>11</v>
      </c>
      <c r="AF101" s="1">
        <v>0.8</v>
      </c>
      <c r="AG101" s="1">
        <v>0.88</v>
      </c>
      <c r="AH101" s="1">
        <v>0</v>
      </c>
      <c r="AI101" s="1">
        <v>0</v>
      </c>
      <c r="AJ101" s="1">
        <f t="shared" si="7"/>
        <v>0</v>
      </c>
      <c r="AK101" s="1">
        <f>C11</f>
        <v>50</v>
      </c>
      <c r="AL101" s="1">
        <f>C17</f>
        <v>0</v>
      </c>
      <c r="AM101" s="1">
        <f t="shared" si="8"/>
        <v>0</v>
      </c>
      <c r="AN101" s="1">
        <f t="shared" si="9"/>
        <v>0</v>
      </c>
      <c r="AO101" s="1">
        <f t="shared" si="10"/>
        <v>0</v>
      </c>
      <c r="AP101" t="b" cm="1">
        <f t="array" ref="AP101">INDEX($AU$8:$BB$25,6*(R101-1)+MATCH(AB101,$AS$8:$AS$13,0),MATCH(O101,$AU$7:$BB$7,0))</f>
        <v>1</v>
      </c>
    </row>
    <row r="102" spans="1:42" ht="14.55" customHeight="1" x14ac:dyDescent="0.45">
      <c r="A102" s="85"/>
      <c r="B102" s="31" t="s">
        <v>21</v>
      </c>
      <c r="C102" s="45"/>
      <c r="D102" s="45"/>
      <c r="E102" s="45"/>
      <c r="I102" s="64"/>
      <c r="O102" s="43" t="s">
        <v>11</v>
      </c>
      <c r="P102" s="43">
        <v>3</v>
      </c>
      <c r="Q102" s="43">
        <v>6</v>
      </c>
      <c r="R102" s="43">
        <v>2</v>
      </c>
      <c r="S102" s="45"/>
      <c r="T102" t="b">
        <f>(S101+S102+S103)=N4</f>
        <v>0</v>
      </c>
      <c r="X102" s="1">
        <f t="shared" si="11"/>
        <v>0</v>
      </c>
      <c r="Y102" s="48">
        <v>0</v>
      </c>
      <c r="AA102" s="1">
        <v>1</v>
      </c>
      <c r="AB102" s="1" t="s">
        <v>14</v>
      </c>
      <c r="AC102" s="1" t="s">
        <v>20</v>
      </c>
      <c r="AD102" s="1">
        <v>12</v>
      </c>
      <c r="AE102" s="1">
        <v>11</v>
      </c>
      <c r="AF102" s="1">
        <v>0.8</v>
      </c>
      <c r="AG102" s="1">
        <v>0.88</v>
      </c>
      <c r="AH102" s="1">
        <v>0</v>
      </c>
      <c r="AI102" s="1">
        <v>0</v>
      </c>
      <c r="AJ102" s="1">
        <f t="shared" si="7"/>
        <v>0</v>
      </c>
      <c r="AK102" s="1">
        <f>D11</f>
        <v>50</v>
      </c>
      <c r="AL102" s="1">
        <f>D17</f>
        <v>0</v>
      </c>
      <c r="AM102" s="1">
        <f t="shared" si="8"/>
        <v>0</v>
      </c>
      <c r="AN102" s="1">
        <f t="shared" si="9"/>
        <v>0</v>
      </c>
      <c r="AO102" s="1">
        <f t="shared" si="10"/>
        <v>0</v>
      </c>
      <c r="AP102" t="b" cm="1">
        <f t="array" ref="AP102">INDEX($AU$8:$BB$25,6*(R102-1)+MATCH(AB102,$AS$8:$AS$13,0),MATCH(O102,$AU$7:$BB$7,0))</f>
        <v>1</v>
      </c>
    </row>
    <row r="103" spans="1:42" ht="14.55" customHeight="1" x14ac:dyDescent="0.45">
      <c r="A103" s="85"/>
      <c r="B103" s="31" t="s">
        <v>22</v>
      </c>
      <c r="C103" s="45"/>
      <c r="D103" s="45"/>
      <c r="E103" s="45"/>
      <c r="I103" s="64"/>
      <c r="O103" s="43" t="s">
        <v>11</v>
      </c>
      <c r="P103" s="43">
        <v>3</v>
      </c>
      <c r="Q103" s="43">
        <v>6</v>
      </c>
      <c r="R103" s="43">
        <v>3</v>
      </c>
      <c r="S103" s="45"/>
      <c r="T103" t="b">
        <f>(S101+S102+S103)=N4</f>
        <v>0</v>
      </c>
      <c r="X103" s="1">
        <f t="shared" si="11"/>
        <v>0</v>
      </c>
      <c r="Y103" s="48">
        <v>0</v>
      </c>
      <c r="AA103" s="1">
        <v>1</v>
      </c>
      <c r="AB103" s="1" t="s">
        <v>14</v>
      </c>
      <c r="AC103" s="1" t="s">
        <v>20</v>
      </c>
      <c r="AD103" s="1">
        <v>12</v>
      </c>
      <c r="AE103" s="1">
        <v>11</v>
      </c>
      <c r="AF103" s="1">
        <v>0.8</v>
      </c>
      <c r="AG103" s="1">
        <v>0.88</v>
      </c>
      <c r="AH103" s="1">
        <v>0</v>
      </c>
      <c r="AI103" s="1">
        <v>0</v>
      </c>
      <c r="AJ103" s="1">
        <f t="shared" si="7"/>
        <v>0</v>
      </c>
      <c r="AK103" s="1">
        <f>E11</f>
        <v>35</v>
      </c>
      <c r="AL103" s="1">
        <f>E17</f>
        <v>0</v>
      </c>
      <c r="AM103" s="1">
        <f t="shared" si="8"/>
        <v>0</v>
      </c>
      <c r="AN103" s="1">
        <f t="shared" si="9"/>
        <v>0</v>
      </c>
      <c r="AO103" s="1">
        <f t="shared" si="10"/>
        <v>0</v>
      </c>
      <c r="AP103" t="b" cm="1">
        <f t="array" ref="AP103">INDEX($AU$8:$BB$25,6*(R103-1)+MATCH(AB103,$AS$8:$AS$13,0),MATCH(O103,$AU$7:$BB$7,0))</f>
        <v>1</v>
      </c>
    </row>
    <row r="104" spans="1:42" ht="14.25" x14ac:dyDescent="0.45">
      <c r="O104" s="43" t="s">
        <v>11</v>
      </c>
      <c r="P104" s="43">
        <v>3</v>
      </c>
      <c r="Q104" s="43">
        <v>7</v>
      </c>
      <c r="R104" s="43">
        <v>1</v>
      </c>
      <c r="S104" s="45"/>
      <c r="T104" t="b">
        <f>(S104+S105+S106)=N4</f>
        <v>0</v>
      </c>
      <c r="X104" s="1">
        <f t="shared" si="11"/>
        <v>0</v>
      </c>
      <c r="Y104" s="48">
        <v>0</v>
      </c>
      <c r="AA104" s="1">
        <v>3</v>
      </c>
      <c r="AB104" s="1" t="s">
        <v>13</v>
      </c>
      <c r="AC104" s="1" t="s">
        <v>19</v>
      </c>
      <c r="AD104" s="1">
        <v>24</v>
      </c>
      <c r="AE104" s="1">
        <v>21</v>
      </c>
      <c r="AF104" s="1">
        <v>0.8</v>
      </c>
      <c r="AG104" s="1">
        <v>0.86</v>
      </c>
      <c r="AH104" s="1">
        <v>0</v>
      </c>
      <c r="AI104" s="1">
        <v>0</v>
      </c>
      <c r="AJ104" s="1">
        <f t="shared" si="7"/>
        <v>0</v>
      </c>
      <c r="AK104" s="1">
        <f>C10</f>
        <v>0</v>
      </c>
      <c r="AL104" s="1">
        <f>C16</f>
        <v>0</v>
      </c>
      <c r="AM104" s="1">
        <f t="shared" si="8"/>
        <v>0</v>
      </c>
      <c r="AN104" s="1">
        <f t="shared" si="9"/>
        <v>0</v>
      </c>
      <c r="AO104" s="1">
        <f t="shared" si="10"/>
        <v>0</v>
      </c>
      <c r="AP104" t="b" cm="1">
        <f t="array" ref="AP104">INDEX($AU$8:$BB$25,6*(R104-1)+MATCH(AB104,$AS$8:$AS$13,0),MATCH(O104,$AU$7:$BB$7,0))</f>
        <v>1</v>
      </c>
    </row>
    <row r="105" spans="1:42" ht="14.25" x14ac:dyDescent="0.45">
      <c r="O105" s="43" t="s">
        <v>11</v>
      </c>
      <c r="P105" s="43">
        <v>3</v>
      </c>
      <c r="Q105" s="43">
        <v>7</v>
      </c>
      <c r="R105" s="43">
        <v>2</v>
      </c>
      <c r="S105" s="45"/>
      <c r="T105" t="b">
        <f>(S104+S105+S106)=N4</f>
        <v>0</v>
      </c>
      <c r="X105" s="1">
        <f t="shared" si="11"/>
        <v>0</v>
      </c>
      <c r="Y105" s="48">
        <v>0</v>
      </c>
      <c r="AA105" s="1">
        <v>3</v>
      </c>
      <c r="AB105" s="1" t="s">
        <v>13</v>
      </c>
      <c r="AC105" s="1" t="s">
        <v>19</v>
      </c>
      <c r="AD105" s="1">
        <v>24</v>
      </c>
      <c r="AE105" s="1">
        <v>21</v>
      </c>
      <c r="AF105" s="1">
        <v>0.8</v>
      </c>
      <c r="AG105" s="1">
        <v>0.86</v>
      </c>
      <c r="AH105" s="1">
        <v>0</v>
      </c>
      <c r="AI105" s="1">
        <v>0</v>
      </c>
      <c r="AJ105" s="1">
        <f t="shared" si="7"/>
        <v>0</v>
      </c>
      <c r="AK105" s="1">
        <f>D10</f>
        <v>0</v>
      </c>
      <c r="AL105" s="1">
        <f>D16</f>
        <v>0</v>
      </c>
      <c r="AM105" s="1">
        <f t="shared" si="8"/>
        <v>0</v>
      </c>
      <c r="AN105" s="1">
        <f t="shared" si="9"/>
        <v>0</v>
      </c>
      <c r="AO105" s="1">
        <f t="shared" si="10"/>
        <v>0</v>
      </c>
      <c r="AP105" t="b" cm="1">
        <f t="array" ref="AP105">INDEX($AU$8:$BB$25,6*(R105-1)+MATCH(AB105,$AS$8:$AS$13,0),MATCH(O105,$AU$7:$BB$7,0))</f>
        <v>1</v>
      </c>
    </row>
    <row r="106" spans="1:42" ht="14.25" x14ac:dyDescent="0.45">
      <c r="O106" s="43" t="s">
        <v>11</v>
      </c>
      <c r="P106" s="43">
        <v>3</v>
      </c>
      <c r="Q106" s="43">
        <v>7</v>
      </c>
      <c r="R106" s="43">
        <v>3</v>
      </c>
      <c r="S106" s="45"/>
      <c r="T106" t="b">
        <f>(S104+S105+S106)=N4</f>
        <v>0</v>
      </c>
      <c r="X106" s="1">
        <f t="shared" si="11"/>
        <v>0</v>
      </c>
      <c r="Y106" s="48">
        <v>0</v>
      </c>
      <c r="AA106" s="1">
        <v>3</v>
      </c>
      <c r="AB106" s="1" t="s">
        <v>13</v>
      </c>
      <c r="AC106" s="1" t="s">
        <v>19</v>
      </c>
      <c r="AD106" s="1">
        <v>24</v>
      </c>
      <c r="AE106" s="1">
        <v>21</v>
      </c>
      <c r="AF106" s="1">
        <v>0.8</v>
      </c>
      <c r="AG106" s="1">
        <v>0.86</v>
      </c>
      <c r="AH106" s="1">
        <v>0</v>
      </c>
      <c r="AI106" s="1">
        <v>0</v>
      </c>
      <c r="AJ106" s="1">
        <f t="shared" si="7"/>
        <v>0</v>
      </c>
      <c r="AK106" s="1">
        <f>E10</f>
        <v>40</v>
      </c>
      <c r="AL106" s="1">
        <f>E16</f>
        <v>0</v>
      </c>
      <c r="AM106" s="1">
        <f t="shared" si="8"/>
        <v>0</v>
      </c>
      <c r="AN106" s="1">
        <f t="shared" si="9"/>
        <v>0</v>
      </c>
      <c r="AO106" s="1">
        <f t="shared" si="10"/>
        <v>0</v>
      </c>
      <c r="AP106" t="b" cm="1">
        <f t="array" ref="AP106">INDEX($AU$8:$BB$25,6*(R106-1)+MATCH(AB106,$AS$8:$AS$13,0),MATCH(O106,$AU$7:$BB$7,0))</f>
        <v>1</v>
      </c>
    </row>
    <row r="107" spans="1:42" ht="14.25" x14ac:dyDescent="0.45">
      <c r="O107" s="43" t="s">
        <v>11</v>
      </c>
      <c r="P107" s="43">
        <v>3</v>
      </c>
      <c r="Q107" s="43">
        <v>8</v>
      </c>
      <c r="R107" s="43">
        <v>1</v>
      </c>
      <c r="S107" s="45"/>
      <c r="T107" t="b">
        <f>(S107+S108+S109)=N4</f>
        <v>0</v>
      </c>
      <c r="X107" s="1">
        <f t="shared" si="11"/>
        <v>0</v>
      </c>
      <c r="Y107" s="48">
        <v>0</v>
      </c>
      <c r="AA107" s="1">
        <v>5</v>
      </c>
      <c r="AB107" s="1" t="s">
        <v>13</v>
      </c>
      <c r="AC107" s="1" t="s">
        <v>19</v>
      </c>
      <c r="AD107" s="1">
        <v>19</v>
      </c>
      <c r="AE107" s="1">
        <v>13</v>
      </c>
      <c r="AF107" s="1">
        <v>0.8</v>
      </c>
      <c r="AG107" s="1">
        <v>0.86</v>
      </c>
      <c r="AH107" s="1">
        <v>0</v>
      </c>
      <c r="AI107" s="1">
        <v>0</v>
      </c>
      <c r="AJ107" s="1">
        <f t="shared" si="7"/>
        <v>0</v>
      </c>
      <c r="AK107" s="1">
        <f>C10</f>
        <v>0</v>
      </c>
      <c r="AL107" s="1">
        <f>C16</f>
        <v>0</v>
      </c>
      <c r="AM107" s="1">
        <f t="shared" si="8"/>
        <v>0</v>
      </c>
      <c r="AN107" s="1">
        <f t="shared" si="9"/>
        <v>0</v>
      </c>
      <c r="AO107" s="1">
        <f t="shared" si="10"/>
        <v>0</v>
      </c>
      <c r="AP107" t="b" cm="1">
        <f t="array" ref="AP107">INDEX($AU$8:$BB$25,6*(R107-1)+MATCH(AB107,$AS$8:$AS$13,0),MATCH(O107,$AU$7:$BB$7,0))</f>
        <v>1</v>
      </c>
    </row>
    <row r="108" spans="1:42" ht="14.25" x14ac:dyDescent="0.45">
      <c r="O108" s="43" t="s">
        <v>11</v>
      </c>
      <c r="P108" s="43">
        <v>3</v>
      </c>
      <c r="Q108" s="43">
        <v>8</v>
      </c>
      <c r="R108" s="43">
        <v>2</v>
      </c>
      <c r="S108" s="45"/>
      <c r="T108" t="b">
        <f>(S107+S108+S109)=N4</f>
        <v>0</v>
      </c>
      <c r="X108" s="1">
        <f t="shared" si="11"/>
        <v>0</v>
      </c>
      <c r="Y108" s="48">
        <v>0</v>
      </c>
      <c r="AA108" s="1">
        <v>5</v>
      </c>
      <c r="AB108" s="1" t="s">
        <v>13</v>
      </c>
      <c r="AC108" s="1" t="s">
        <v>19</v>
      </c>
      <c r="AD108" s="1">
        <v>19</v>
      </c>
      <c r="AE108" s="1">
        <v>13</v>
      </c>
      <c r="AF108" s="1">
        <v>0.8</v>
      </c>
      <c r="AG108" s="1">
        <v>0.86</v>
      </c>
      <c r="AH108" s="1">
        <v>0</v>
      </c>
      <c r="AI108" s="1">
        <v>0</v>
      </c>
      <c r="AJ108" s="1">
        <f t="shared" si="7"/>
        <v>0</v>
      </c>
      <c r="AK108" s="1">
        <f>D10</f>
        <v>0</v>
      </c>
      <c r="AL108" s="1">
        <f>D16</f>
        <v>0</v>
      </c>
      <c r="AM108" s="1">
        <f t="shared" si="8"/>
        <v>0</v>
      </c>
      <c r="AN108" s="1">
        <f t="shared" si="9"/>
        <v>0</v>
      </c>
      <c r="AO108" s="1">
        <f t="shared" si="10"/>
        <v>0</v>
      </c>
      <c r="AP108" t="b" cm="1">
        <f t="array" ref="AP108">INDEX($AU$8:$BB$25,6*(R108-1)+MATCH(AB108,$AS$8:$AS$13,0),MATCH(O108,$AU$7:$BB$7,0))</f>
        <v>1</v>
      </c>
    </row>
    <row r="109" spans="1:42" ht="14.25" x14ac:dyDescent="0.45">
      <c r="O109" s="43" t="s">
        <v>11</v>
      </c>
      <c r="P109" s="43">
        <v>3</v>
      </c>
      <c r="Q109" s="43">
        <v>8</v>
      </c>
      <c r="R109" s="43">
        <v>3</v>
      </c>
      <c r="S109" s="45"/>
      <c r="T109" t="b">
        <f>(S107+S108+S109)=N4</f>
        <v>0</v>
      </c>
      <c r="X109" s="1">
        <f t="shared" si="11"/>
        <v>0</v>
      </c>
      <c r="Y109" s="48">
        <v>0</v>
      </c>
      <c r="AA109" s="1">
        <v>5</v>
      </c>
      <c r="AB109" s="1" t="s">
        <v>13</v>
      </c>
      <c r="AC109" s="1" t="s">
        <v>19</v>
      </c>
      <c r="AD109" s="1">
        <v>19</v>
      </c>
      <c r="AE109" s="1">
        <v>13</v>
      </c>
      <c r="AF109" s="1">
        <v>0.8</v>
      </c>
      <c r="AG109" s="1">
        <v>0.86</v>
      </c>
      <c r="AH109" s="1">
        <v>0</v>
      </c>
      <c r="AI109" s="1">
        <v>0</v>
      </c>
      <c r="AJ109" s="1">
        <f t="shared" si="7"/>
        <v>0</v>
      </c>
      <c r="AK109" s="1">
        <f>E10</f>
        <v>40</v>
      </c>
      <c r="AL109" s="1">
        <f>E16</f>
        <v>0</v>
      </c>
      <c r="AM109" s="1">
        <f t="shared" si="8"/>
        <v>0</v>
      </c>
      <c r="AN109" s="1">
        <f t="shared" si="9"/>
        <v>0</v>
      </c>
      <c r="AO109" s="1">
        <f t="shared" si="10"/>
        <v>0</v>
      </c>
      <c r="AP109" t="b" cm="1">
        <f t="array" ref="AP109">INDEX($AU$8:$BB$25,6*(R109-1)+MATCH(AB109,$AS$8:$AS$13,0),MATCH(O109,$AU$7:$BB$7,0))</f>
        <v>1</v>
      </c>
    </row>
    <row r="110" spans="1:42" ht="14.25" x14ac:dyDescent="0.45">
      <c r="O110" s="43" t="s">
        <v>11</v>
      </c>
      <c r="P110" s="43">
        <v>3</v>
      </c>
      <c r="Q110" s="43">
        <v>9</v>
      </c>
      <c r="R110" s="43">
        <v>1</v>
      </c>
      <c r="S110" s="45"/>
      <c r="T110" t="b">
        <f>(S110+S111+S112)=N4</f>
        <v>0</v>
      </c>
      <c r="X110" s="1">
        <f t="shared" si="11"/>
        <v>0</v>
      </c>
      <c r="Y110" s="48">
        <v>0</v>
      </c>
      <c r="AA110" s="1">
        <v>3</v>
      </c>
      <c r="AB110" s="1" t="s">
        <v>14</v>
      </c>
      <c r="AC110" s="1" t="s">
        <v>20</v>
      </c>
      <c r="AD110" s="1">
        <v>15</v>
      </c>
      <c r="AE110" s="1">
        <v>13</v>
      </c>
      <c r="AF110" s="1">
        <v>0.8</v>
      </c>
      <c r="AG110" s="1">
        <v>0.88</v>
      </c>
      <c r="AH110" s="1">
        <v>0</v>
      </c>
      <c r="AI110" s="1">
        <v>0</v>
      </c>
      <c r="AJ110" s="1">
        <f t="shared" si="7"/>
        <v>0</v>
      </c>
      <c r="AK110" s="1">
        <f>C11</f>
        <v>50</v>
      </c>
      <c r="AL110" s="1">
        <f>C17</f>
        <v>0</v>
      </c>
      <c r="AM110" s="1">
        <f t="shared" si="8"/>
        <v>0</v>
      </c>
      <c r="AN110" s="1">
        <f t="shared" si="9"/>
        <v>0</v>
      </c>
      <c r="AO110" s="1">
        <f t="shared" si="10"/>
        <v>0</v>
      </c>
      <c r="AP110" t="b" cm="1">
        <f t="array" ref="AP110">INDEX($AU$8:$BB$25,6*(R110-1)+MATCH(AB110,$AS$8:$AS$13,0),MATCH(O110,$AU$7:$BB$7,0))</f>
        <v>1</v>
      </c>
    </row>
    <row r="111" spans="1:42" ht="14.25" x14ac:dyDescent="0.45">
      <c r="O111" s="43" t="s">
        <v>11</v>
      </c>
      <c r="P111" s="43">
        <v>3</v>
      </c>
      <c r="Q111" s="43">
        <v>9</v>
      </c>
      <c r="R111" s="43">
        <v>2</v>
      </c>
      <c r="S111" s="45"/>
      <c r="T111" t="b">
        <f>(S110+S111+S112)=N4</f>
        <v>0</v>
      </c>
      <c r="X111" s="1">
        <f t="shared" si="11"/>
        <v>0</v>
      </c>
      <c r="Y111" s="48">
        <v>0</v>
      </c>
      <c r="AA111" s="1">
        <v>3</v>
      </c>
      <c r="AB111" s="1" t="s">
        <v>14</v>
      </c>
      <c r="AC111" s="1" t="s">
        <v>20</v>
      </c>
      <c r="AD111" s="1">
        <v>15</v>
      </c>
      <c r="AE111" s="1">
        <v>13</v>
      </c>
      <c r="AF111" s="1">
        <v>0.8</v>
      </c>
      <c r="AG111" s="1">
        <v>0.88</v>
      </c>
      <c r="AH111" s="1">
        <v>0</v>
      </c>
      <c r="AI111" s="1">
        <v>0</v>
      </c>
      <c r="AJ111" s="1">
        <f t="shared" si="7"/>
        <v>0</v>
      </c>
      <c r="AK111" s="1">
        <f>D11</f>
        <v>50</v>
      </c>
      <c r="AL111" s="1">
        <f>D17</f>
        <v>0</v>
      </c>
      <c r="AM111" s="1">
        <f t="shared" si="8"/>
        <v>0</v>
      </c>
      <c r="AN111" s="1">
        <f t="shared" si="9"/>
        <v>0</v>
      </c>
      <c r="AO111" s="1">
        <f t="shared" si="10"/>
        <v>0</v>
      </c>
      <c r="AP111" t="b" cm="1">
        <f t="array" ref="AP111">INDEX($AU$8:$BB$25,6*(R111-1)+MATCH(AB111,$AS$8:$AS$13,0),MATCH(O111,$AU$7:$BB$7,0))</f>
        <v>1</v>
      </c>
    </row>
    <row r="112" spans="1:42" ht="14.25" x14ac:dyDescent="0.45">
      <c r="O112" s="43" t="s">
        <v>11</v>
      </c>
      <c r="P112" s="43">
        <v>3</v>
      </c>
      <c r="Q112" s="43">
        <v>9</v>
      </c>
      <c r="R112" s="43">
        <v>3</v>
      </c>
      <c r="S112" s="45"/>
      <c r="T112" t="b">
        <f>(S110+S111+S112)=N4</f>
        <v>0</v>
      </c>
      <c r="X112" s="1">
        <f t="shared" si="11"/>
        <v>0</v>
      </c>
      <c r="Y112" s="48">
        <v>0</v>
      </c>
      <c r="AA112" s="1">
        <v>3</v>
      </c>
      <c r="AB112" s="1" t="s">
        <v>14</v>
      </c>
      <c r="AC112" s="1" t="s">
        <v>20</v>
      </c>
      <c r="AD112" s="1">
        <v>15</v>
      </c>
      <c r="AE112" s="1">
        <v>13</v>
      </c>
      <c r="AF112" s="1">
        <v>0.8</v>
      </c>
      <c r="AG112" s="1">
        <v>0.88</v>
      </c>
      <c r="AH112" s="1">
        <v>0</v>
      </c>
      <c r="AI112" s="1">
        <v>0</v>
      </c>
      <c r="AJ112" s="1">
        <f t="shared" si="7"/>
        <v>0</v>
      </c>
      <c r="AK112" s="1">
        <f>E11</f>
        <v>35</v>
      </c>
      <c r="AL112" s="1">
        <f>E17</f>
        <v>0</v>
      </c>
      <c r="AM112" s="1">
        <f t="shared" si="8"/>
        <v>0</v>
      </c>
      <c r="AN112" s="1">
        <f t="shared" si="9"/>
        <v>0</v>
      </c>
      <c r="AO112" s="1">
        <f t="shared" si="10"/>
        <v>0</v>
      </c>
      <c r="AP112" t="b" cm="1">
        <f t="array" ref="AP112">INDEX($AU$8:$BB$25,6*(R112-1)+MATCH(AB112,$AS$8:$AS$13,0),MATCH(O112,$AU$7:$BB$7,0))</f>
        <v>1</v>
      </c>
    </row>
    <row r="113" spans="15:42" ht="14.25" x14ac:dyDescent="0.45">
      <c r="O113" s="43" t="s">
        <v>11</v>
      </c>
      <c r="P113" s="43">
        <v>3</v>
      </c>
      <c r="Q113" s="43">
        <v>10</v>
      </c>
      <c r="R113" s="43">
        <v>1</v>
      </c>
      <c r="S113" s="45"/>
      <c r="T113" t="b">
        <f>(S113+S114+S115)=N4</f>
        <v>0</v>
      </c>
      <c r="X113" s="1">
        <f t="shared" si="11"/>
        <v>0</v>
      </c>
      <c r="Y113" s="48">
        <v>0</v>
      </c>
      <c r="AA113" s="1">
        <v>5</v>
      </c>
      <c r="AB113" s="1" t="s">
        <v>14</v>
      </c>
      <c r="AC113" s="1" t="s">
        <v>20</v>
      </c>
      <c r="AD113" s="1">
        <v>24</v>
      </c>
      <c r="AE113" s="1">
        <v>20</v>
      </c>
      <c r="AF113" s="1">
        <v>0.8</v>
      </c>
      <c r="AG113" s="1">
        <v>0.88</v>
      </c>
      <c r="AH113" s="1">
        <v>0</v>
      </c>
      <c r="AI113" s="1">
        <v>0</v>
      </c>
      <c r="AJ113" s="1">
        <f t="shared" si="7"/>
        <v>0</v>
      </c>
      <c r="AK113" s="1">
        <f>C11</f>
        <v>50</v>
      </c>
      <c r="AL113" s="1">
        <f>C17</f>
        <v>0</v>
      </c>
      <c r="AM113" s="1">
        <f t="shared" si="8"/>
        <v>0</v>
      </c>
      <c r="AN113" s="1">
        <f t="shared" si="9"/>
        <v>0</v>
      </c>
      <c r="AO113" s="1">
        <f t="shared" si="10"/>
        <v>0</v>
      </c>
      <c r="AP113" t="b" cm="1">
        <f t="array" ref="AP113">INDEX($AU$8:$BB$25,6*(R113-1)+MATCH(AB113,$AS$8:$AS$13,0),MATCH(O113,$AU$7:$BB$7,0))</f>
        <v>1</v>
      </c>
    </row>
    <row r="114" spans="15:42" ht="14.25" x14ac:dyDescent="0.45">
      <c r="O114" s="43" t="s">
        <v>11</v>
      </c>
      <c r="P114" s="43">
        <v>3</v>
      </c>
      <c r="Q114" s="43">
        <v>10</v>
      </c>
      <c r="R114" s="43">
        <v>2</v>
      </c>
      <c r="S114" s="45"/>
      <c r="T114" t="b">
        <f>(S113+S114+S115)=N4</f>
        <v>0</v>
      </c>
      <c r="X114" s="1">
        <f t="shared" si="11"/>
        <v>0</v>
      </c>
      <c r="Y114" s="48">
        <v>0</v>
      </c>
      <c r="AA114" s="1">
        <v>5</v>
      </c>
      <c r="AB114" s="1" t="s">
        <v>14</v>
      </c>
      <c r="AC114" s="1" t="s">
        <v>20</v>
      </c>
      <c r="AD114" s="1">
        <v>24</v>
      </c>
      <c r="AE114" s="1">
        <v>20</v>
      </c>
      <c r="AF114" s="1">
        <v>0.8</v>
      </c>
      <c r="AG114" s="1">
        <v>0.88</v>
      </c>
      <c r="AH114" s="1">
        <v>0</v>
      </c>
      <c r="AI114" s="1">
        <v>0</v>
      </c>
      <c r="AJ114" s="1">
        <f t="shared" si="7"/>
        <v>0</v>
      </c>
      <c r="AK114" s="1">
        <f>D11</f>
        <v>50</v>
      </c>
      <c r="AL114" s="1">
        <f>D17</f>
        <v>0</v>
      </c>
      <c r="AM114" s="1">
        <f t="shared" si="8"/>
        <v>0</v>
      </c>
      <c r="AN114" s="1">
        <f t="shared" si="9"/>
        <v>0</v>
      </c>
      <c r="AO114" s="1">
        <f t="shared" si="10"/>
        <v>0</v>
      </c>
      <c r="AP114" t="b" cm="1">
        <f t="array" ref="AP114">INDEX($AU$8:$BB$25,6*(R114-1)+MATCH(AB114,$AS$8:$AS$13,0),MATCH(O114,$AU$7:$BB$7,0))</f>
        <v>1</v>
      </c>
    </row>
    <row r="115" spans="15:42" ht="14.25" x14ac:dyDescent="0.45">
      <c r="O115" s="43" t="s">
        <v>11</v>
      </c>
      <c r="P115" s="43">
        <v>3</v>
      </c>
      <c r="Q115" s="43">
        <v>10</v>
      </c>
      <c r="R115" s="43">
        <v>3</v>
      </c>
      <c r="S115" s="45"/>
      <c r="T115" t="b">
        <f>(S113+S114+S115)=N4</f>
        <v>0</v>
      </c>
      <c r="X115" s="1">
        <f t="shared" si="11"/>
        <v>0</v>
      </c>
      <c r="Y115" s="48">
        <v>0</v>
      </c>
      <c r="AA115" s="1">
        <v>5</v>
      </c>
      <c r="AB115" s="1" t="s">
        <v>14</v>
      </c>
      <c r="AC115" s="1" t="s">
        <v>20</v>
      </c>
      <c r="AD115" s="1">
        <v>24</v>
      </c>
      <c r="AE115" s="1">
        <v>20</v>
      </c>
      <c r="AF115" s="1">
        <v>0.8</v>
      </c>
      <c r="AG115" s="1">
        <v>0.88</v>
      </c>
      <c r="AH115" s="1">
        <v>0</v>
      </c>
      <c r="AI115" s="1">
        <v>0</v>
      </c>
      <c r="AJ115" s="1">
        <f t="shared" si="7"/>
        <v>0</v>
      </c>
      <c r="AK115" s="1">
        <f>E11</f>
        <v>35</v>
      </c>
      <c r="AL115" s="1">
        <f>E17</f>
        <v>0</v>
      </c>
      <c r="AM115" s="1">
        <f t="shared" si="8"/>
        <v>0</v>
      </c>
      <c r="AN115" s="1">
        <f t="shared" si="9"/>
        <v>0</v>
      </c>
      <c r="AO115" s="1">
        <f t="shared" si="10"/>
        <v>0</v>
      </c>
      <c r="AP115" t="b" cm="1">
        <f t="array" ref="AP115">INDEX($AU$8:$BB$25,6*(R115-1)+MATCH(AB115,$AS$8:$AS$13,0),MATCH(O115,$AU$7:$BB$7,0))</f>
        <v>1</v>
      </c>
    </row>
    <row r="116" spans="15:42" ht="14.25" x14ac:dyDescent="0.45">
      <c r="O116" s="43" t="s">
        <v>11</v>
      </c>
      <c r="P116" s="43">
        <v>3</v>
      </c>
      <c r="Q116" s="43">
        <v>11</v>
      </c>
      <c r="R116" s="43">
        <v>1</v>
      </c>
      <c r="S116" s="45"/>
      <c r="T116" t="b">
        <f>(S116+S117+S118)=N4</f>
        <v>0</v>
      </c>
      <c r="X116" s="1">
        <f t="shared" si="11"/>
        <v>0</v>
      </c>
      <c r="Y116" s="48">
        <v>0</v>
      </c>
      <c r="AA116" s="1">
        <v>3</v>
      </c>
      <c r="AB116" s="1" t="s">
        <v>15</v>
      </c>
      <c r="AC116" s="1" t="s">
        <v>21</v>
      </c>
      <c r="AD116" s="1">
        <v>17</v>
      </c>
      <c r="AE116" s="1">
        <v>15</v>
      </c>
      <c r="AF116" s="1">
        <v>0.76</v>
      </c>
      <c r="AG116" s="1">
        <v>0.84</v>
      </c>
      <c r="AH116" s="1">
        <v>0</v>
      </c>
      <c r="AI116" s="1">
        <v>0</v>
      </c>
      <c r="AJ116" s="1">
        <f t="shared" si="7"/>
        <v>0</v>
      </c>
      <c r="AK116" s="1">
        <f>C12</f>
        <v>40</v>
      </c>
      <c r="AL116" s="1">
        <f>C18</f>
        <v>0</v>
      </c>
      <c r="AM116" s="1">
        <f t="shared" si="8"/>
        <v>0</v>
      </c>
      <c r="AN116" s="1">
        <f t="shared" si="9"/>
        <v>0</v>
      </c>
      <c r="AO116" s="1">
        <f t="shared" si="10"/>
        <v>0</v>
      </c>
      <c r="AP116" t="b" cm="1">
        <f t="array" ref="AP116">INDEX($AU$8:$BB$25,6*(R116-1)+MATCH(AB116,$AS$8:$AS$13,0),MATCH(O116,$AU$7:$BB$7,0))</f>
        <v>1</v>
      </c>
    </row>
    <row r="117" spans="15:42" ht="14.25" x14ac:dyDescent="0.45">
      <c r="O117" s="43" t="s">
        <v>11</v>
      </c>
      <c r="P117" s="43">
        <v>3</v>
      </c>
      <c r="Q117" s="43">
        <v>11</v>
      </c>
      <c r="R117" s="43">
        <v>2</v>
      </c>
      <c r="S117" s="45"/>
      <c r="T117" t="b">
        <f>(S116+S117+S118)=N4</f>
        <v>0</v>
      </c>
      <c r="X117" s="1">
        <f t="shared" si="11"/>
        <v>0</v>
      </c>
      <c r="Y117" s="48">
        <v>0</v>
      </c>
      <c r="AA117" s="1">
        <v>3</v>
      </c>
      <c r="AB117" s="1" t="s">
        <v>15</v>
      </c>
      <c r="AC117" s="1" t="s">
        <v>21</v>
      </c>
      <c r="AD117" s="1">
        <v>17</v>
      </c>
      <c r="AE117" s="1">
        <v>15</v>
      </c>
      <c r="AF117" s="1">
        <v>0.76</v>
      </c>
      <c r="AG117" s="1">
        <v>0.84</v>
      </c>
      <c r="AH117" s="1">
        <v>0</v>
      </c>
      <c r="AI117" s="1">
        <v>0</v>
      </c>
      <c r="AJ117" s="1">
        <f t="shared" si="7"/>
        <v>0</v>
      </c>
      <c r="AK117" s="1">
        <f>D12</f>
        <v>30</v>
      </c>
      <c r="AL117" s="1">
        <f>D18</f>
        <v>0</v>
      </c>
      <c r="AM117" s="1">
        <f t="shared" si="8"/>
        <v>0</v>
      </c>
      <c r="AN117" s="1">
        <f t="shared" si="9"/>
        <v>0</v>
      </c>
      <c r="AO117" s="1">
        <f t="shared" si="10"/>
        <v>0</v>
      </c>
      <c r="AP117" t="b" cm="1">
        <f t="array" ref="AP117">INDEX($AU$8:$BB$25,6*(R117-1)+MATCH(AB117,$AS$8:$AS$13,0),MATCH(O117,$AU$7:$BB$7,0))</f>
        <v>1</v>
      </c>
    </row>
    <row r="118" spans="15:42" ht="14.25" x14ac:dyDescent="0.45">
      <c r="O118" s="43" t="s">
        <v>11</v>
      </c>
      <c r="P118" s="43">
        <v>3</v>
      </c>
      <c r="Q118" s="43">
        <v>11</v>
      </c>
      <c r="R118" s="43">
        <v>3</v>
      </c>
      <c r="S118" s="45"/>
      <c r="T118" t="b">
        <f>(S116+S117+S118)=N4</f>
        <v>0</v>
      </c>
      <c r="X118" s="1">
        <f t="shared" si="11"/>
        <v>0</v>
      </c>
      <c r="Y118" s="48">
        <v>0</v>
      </c>
      <c r="AA118" s="1">
        <v>3</v>
      </c>
      <c r="AB118" s="1" t="s">
        <v>15</v>
      </c>
      <c r="AC118" s="1" t="s">
        <v>21</v>
      </c>
      <c r="AD118" s="1">
        <v>17</v>
      </c>
      <c r="AE118" s="1">
        <v>15</v>
      </c>
      <c r="AF118" s="1">
        <v>0.76</v>
      </c>
      <c r="AG118" s="1">
        <v>0.84</v>
      </c>
      <c r="AH118" s="1">
        <v>0</v>
      </c>
      <c r="AI118" s="1">
        <v>0</v>
      </c>
      <c r="AJ118" s="1">
        <f t="shared" si="7"/>
        <v>0</v>
      </c>
      <c r="AK118" s="1">
        <f>E12</f>
        <v>16</v>
      </c>
      <c r="AL118" s="1">
        <f>E18</f>
        <v>0</v>
      </c>
      <c r="AM118" s="1">
        <f t="shared" si="8"/>
        <v>0</v>
      </c>
      <c r="AN118" s="1">
        <f t="shared" si="9"/>
        <v>0</v>
      </c>
      <c r="AO118" s="1">
        <f t="shared" si="10"/>
        <v>0</v>
      </c>
      <c r="AP118" t="b" cm="1">
        <f t="array" ref="AP118">INDEX($AU$8:$BB$25,6*(R118-1)+MATCH(AB118,$AS$8:$AS$13,0),MATCH(O118,$AU$7:$BB$7,0))</f>
        <v>1</v>
      </c>
    </row>
    <row r="119" spans="15:42" ht="14.25" x14ac:dyDescent="0.45">
      <c r="O119" s="43" t="s">
        <v>11</v>
      </c>
      <c r="P119" s="43">
        <v>3</v>
      </c>
      <c r="Q119" s="43">
        <v>12</v>
      </c>
      <c r="R119" s="43">
        <v>1</v>
      </c>
      <c r="S119" s="45"/>
      <c r="T119" t="b">
        <f>(S119+S120+S121)=N4</f>
        <v>0</v>
      </c>
      <c r="X119" s="1">
        <f t="shared" si="11"/>
        <v>0</v>
      </c>
      <c r="Y119" s="48">
        <v>0</v>
      </c>
      <c r="AA119" s="1">
        <v>10</v>
      </c>
      <c r="AB119" s="1" t="s">
        <v>15</v>
      </c>
      <c r="AC119" s="1" t="s">
        <v>21</v>
      </c>
      <c r="AD119" s="1">
        <v>18</v>
      </c>
      <c r="AE119" s="1">
        <v>13</v>
      </c>
      <c r="AF119" s="1">
        <v>0.76</v>
      </c>
      <c r="AG119" s="1">
        <v>0.84</v>
      </c>
      <c r="AH119" s="1">
        <v>0</v>
      </c>
      <c r="AI119" s="1">
        <v>0</v>
      </c>
      <c r="AJ119" s="1">
        <f t="shared" si="7"/>
        <v>0</v>
      </c>
      <c r="AK119" s="1">
        <f>C12</f>
        <v>40</v>
      </c>
      <c r="AL119" s="1">
        <f>C18</f>
        <v>0</v>
      </c>
      <c r="AM119" s="1">
        <f t="shared" si="8"/>
        <v>0</v>
      </c>
      <c r="AN119" s="1">
        <f t="shared" si="9"/>
        <v>0</v>
      </c>
      <c r="AO119" s="1">
        <f t="shared" si="10"/>
        <v>0</v>
      </c>
      <c r="AP119" t="b" cm="1">
        <f t="array" ref="AP119">INDEX($AU$8:$BB$25,6*(R119-1)+MATCH(AB119,$AS$8:$AS$13,0),MATCH(O119,$AU$7:$BB$7,0))</f>
        <v>1</v>
      </c>
    </row>
    <row r="120" spans="15:42" ht="14.25" x14ac:dyDescent="0.45">
      <c r="O120" s="43" t="s">
        <v>11</v>
      </c>
      <c r="P120" s="43">
        <v>3</v>
      </c>
      <c r="Q120" s="43">
        <v>12</v>
      </c>
      <c r="R120" s="43">
        <v>2</v>
      </c>
      <c r="S120" s="45"/>
      <c r="T120" t="b">
        <f>(S119+S120+S121)=N4</f>
        <v>0</v>
      </c>
      <c r="X120" s="1">
        <f t="shared" si="11"/>
        <v>0</v>
      </c>
      <c r="Y120" s="48">
        <v>0</v>
      </c>
      <c r="AA120" s="1">
        <v>10</v>
      </c>
      <c r="AB120" s="1" t="s">
        <v>15</v>
      </c>
      <c r="AC120" s="1" t="s">
        <v>21</v>
      </c>
      <c r="AD120" s="1">
        <v>18</v>
      </c>
      <c r="AE120" s="1">
        <v>13</v>
      </c>
      <c r="AF120" s="1">
        <v>0.76</v>
      </c>
      <c r="AG120" s="1">
        <v>0.84</v>
      </c>
      <c r="AH120" s="1">
        <v>0</v>
      </c>
      <c r="AI120" s="1">
        <v>0</v>
      </c>
      <c r="AJ120" s="1">
        <f t="shared" si="7"/>
        <v>0</v>
      </c>
      <c r="AK120" s="1">
        <f>D12</f>
        <v>30</v>
      </c>
      <c r="AL120" s="1">
        <f>D18</f>
        <v>0</v>
      </c>
      <c r="AM120" s="1">
        <f t="shared" si="8"/>
        <v>0</v>
      </c>
      <c r="AN120" s="1">
        <f t="shared" si="9"/>
        <v>0</v>
      </c>
      <c r="AO120" s="1">
        <f t="shared" si="10"/>
        <v>0</v>
      </c>
      <c r="AP120" t="b" cm="1">
        <f t="array" ref="AP120">INDEX($AU$8:$BB$25,6*(R120-1)+MATCH(AB120,$AS$8:$AS$13,0),MATCH(O120,$AU$7:$BB$7,0))</f>
        <v>1</v>
      </c>
    </row>
    <row r="121" spans="15:42" ht="14.25" x14ac:dyDescent="0.45">
      <c r="O121" s="43" t="s">
        <v>11</v>
      </c>
      <c r="P121" s="43">
        <v>3</v>
      </c>
      <c r="Q121" s="43">
        <v>12</v>
      </c>
      <c r="R121" s="43">
        <v>3</v>
      </c>
      <c r="S121" s="45"/>
      <c r="T121" t="b">
        <f>(S119+S120+S121)=N4</f>
        <v>0</v>
      </c>
      <c r="X121" s="1">
        <f t="shared" si="11"/>
        <v>0</v>
      </c>
      <c r="Y121" s="48">
        <v>0</v>
      </c>
      <c r="AA121" s="1">
        <v>10</v>
      </c>
      <c r="AB121" s="1" t="s">
        <v>15</v>
      </c>
      <c r="AC121" s="1" t="s">
        <v>21</v>
      </c>
      <c r="AD121" s="1">
        <v>18</v>
      </c>
      <c r="AE121" s="1">
        <v>13</v>
      </c>
      <c r="AF121" s="1">
        <v>0.76</v>
      </c>
      <c r="AG121" s="1">
        <v>0.84</v>
      </c>
      <c r="AH121" s="1">
        <v>0</v>
      </c>
      <c r="AI121" s="1">
        <v>0</v>
      </c>
      <c r="AJ121" s="1">
        <f t="shared" si="7"/>
        <v>0</v>
      </c>
      <c r="AK121" s="1">
        <f>E12</f>
        <v>16</v>
      </c>
      <c r="AL121" s="1">
        <f>E18</f>
        <v>0</v>
      </c>
      <c r="AM121" s="1">
        <f t="shared" si="8"/>
        <v>0</v>
      </c>
      <c r="AN121" s="1">
        <f t="shared" si="9"/>
        <v>0</v>
      </c>
      <c r="AO121" s="1">
        <f t="shared" si="10"/>
        <v>0</v>
      </c>
      <c r="AP121" t="b" cm="1">
        <f t="array" ref="AP121">INDEX($AU$8:$BB$25,6*(R121-1)+MATCH(AB121,$AS$8:$AS$13,0),MATCH(O121,$AU$7:$BB$7,0))</f>
        <v>1</v>
      </c>
    </row>
    <row r="122" spans="15:42" ht="14.25" x14ac:dyDescent="0.45">
      <c r="O122" s="43" t="s">
        <v>11</v>
      </c>
      <c r="P122" s="43">
        <v>3</v>
      </c>
      <c r="Q122" s="43">
        <v>13</v>
      </c>
      <c r="R122" s="43">
        <v>1</v>
      </c>
      <c r="S122" s="45"/>
      <c r="T122" t="b">
        <f>(S122+S123+S124)=N4</f>
        <v>0</v>
      </c>
      <c r="X122" s="1">
        <f t="shared" si="11"/>
        <v>0</v>
      </c>
      <c r="Y122" s="48">
        <v>0</v>
      </c>
      <c r="AA122" s="1">
        <v>2</v>
      </c>
      <c r="AB122" s="1" t="s">
        <v>16</v>
      </c>
      <c r="AC122" s="1" t="s">
        <v>22</v>
      </c>
      <c r="AD122" s="1">
        <v>20</v>
      </c>
      <c r="AE122" s="1">
        <v>18</v>
      </c>
      <c r="AF122" s="1">
        <v>0.8</v>
      </c>
      <c r="AG122" s="1">
        <v>0.9</v>
      </c>
      <c r="AH122" s="1">
        <v>0</v>
      </c>
      <c r="AI122" s="1">
        <v>0</v>
      </c>
      <c r="AJ122" s="1">
        <f t="shared" si="7"/>
        <v>0</v>
      </c>
      <c r="AK122" s="1">
        <f>C13</f>
        <v>90</v>
      </c>
      <c r="AL122" s="1">
        <f>C19</f>
        <v>0</v>
      </c>
      <c r="AM122" s="1">
        <f t="shared" si="8"/>
        <v>0</v>
      </c>
      <c r="AN122" s="1">
        <f t="shared" si="9"/>
        <v>0</v>
      </c>
      <c r="AO122" s="1">
        <f t="shared" si="10"/>
        <v>0</v>
      </c>
      <c r="AP122" t="b" cm="1">
        <f t="array" ref="AP122">INDEX($AU$8:$BB$25,6*(R122-1)+MATCH(AB122,$AS$8:$AS$13,0),MATCH(O122,$AU$7:$BB$7,0))</f>
        <v>1</v>
      </c>
    </row>
    <row r="123" spans="15:42" ht="14.25" x14ac:dyDescent="0.45">
      <c r="O123" s="43" t="s">
        <v>11</v>
      </c>
      <c r="P123" s="43">
        <v>3</v>
      </c>
      <c r="Q123" s="43">
        <v>13</v>
      </c>
      <c r="R123" s="43">
        <v>2</v>
      </c>
      <c r="S123" s="45"/>
      <c r="T123" t="b">
        <f>(S122+S123+S124)=N4</f>
        <v>0</v>
      </c>
      <c r="X123" s="1">
        <f t="shared" si="11"/>
        <v>0</v>
      </c>
      <c r="Y123" s="48">
        <v>0</v>
      </c>
      <c r="AA123" s="1">
        <v>2</v>
      </c>
      <c r="AB123" s="1" t="s">
        <v>16</v>
      </c>
      <c r="AC123" s="1" t="s">
        <v>22</v>
      </c>
      <c r="AD123" s="1">
        <v>20</v>
      </c>
      <c r="AE123" s="1">
        <v>18</v>
      </c>
      <c r="AF123" s="1">
        <v>0.8</v>
      </c>
      <c r="AG123" s="1">
        <v>0.9</v>
      </c>
      <c r="AH123" s="1">
        <v>0</v>
      </c>
      <c r="AI123" s="1">
        <v>0</v>
      </c>
      <c r="AJ123" s="1">
        <f t="shared" si="7"/>
        <v>0</v>
      </c>
      <c r="AK123" s="1">
        <f>D13</f>
        <v>60</v>
      </c>
      <c r="AL123" s="1">
        <f>D19</f>
        <v>0</v>
      </c>
      <c r="AM123" s="1">
        <f t="shared" si="8"/>
        <v>0</v>
      </c>
      <c r="AN123" s="1">
        <f t="shared" si="9"/>
        <v>0</v>
      </c>
      <c r="AO123" s="1">
        <f t="shared" si="10"/>
        <v>0</v>
      </c>
      <c r="AP123" t="b" cm="1">
        <f t="array" ref="AP123">INDEX($AU$8:$BB$25,6*(R123-1)+MATCH(AB123,$AS$8:$AS$13,0),MATCH(O123,$AU$7:$BB$7,0))</f>
        <v>1</v>
      </c>
    </row>
    <row r="124" spans="15:42" ht="14.25" x14ac:dyDescent="0.45">
      <c r="O124" s="43" t="s">
        <v>11</v>
      </c>
      <c r="P124" s="43">
        <v>3</v>
      </c>
      <c r="Q124" s="43">
        <v>13</v>
      </c>
      <c r="R124" s="43">
        <v>3</v>
      </c>
      <c r="S124" s="45"/>
      <c r="T124" t="b">
        <f>(S122+S123+S124)=N4</f>
        <v>0</v>
      </c>
      <c r="X124" s="1">
        <f t="shared" si="11"/>
        <v>0</v>
      </c>
      <c r="Y124" s="48">
        <v>0</v>
      </c>
      <c r="AA124" s="1">
        <v>2</v>
      </c>
      <c r="AB124" s="1" t="s">
        <v>16</v>
      </c>
      <c r="AC124" s="1" t="s">
        <v>22</v>
      </c>
      <c r="AD124" s="1">
        <v>20</v>
      </c>
      <c r="AE124" s="1">
        <v>18</v>
      </c>
      <c r="AF124" s="1">
        <v>0.8</v>
      </c>
      <c r="AG124" s="1">
        <v>0.9</v>
      </c>
      <c r="AH124" s="1">
        <v>0</v>
      </c>
      <c r="AI124" s="1">
        <v>0</v>
      </c>
      <c r="AJ124" s="1">
        <f t="shared" si="7"/>
        <v>0</v>
      </c>
      <c r="AK124" s="1">
        <f>E13</f>
        <v>36</v>
      </c>
      <c r="AL124" s="1">
        <f>E19</f>
        <v>0</v>
      </c>
      <c r="AM124" s="1">
        <f t="shared" si="8"/>
        <v>0</v>
      </c>
      <c r="AN124" s="1">
        <f t="shared" si="9"/>
        <v>0</v>
      </c>
      <c r="AO124" s="1">
        <f t="shared" si="10"/>
        <v>0</v>
      </c>
      <c r="AP124" t="b" cm="1">
        <f t="array" ref="AP124">INDEX($AU$8:$BB$25,6*(R124-1)+MATCH(AB124,$AS$8:$AS$13,0),MATCH(O124,$AU$7:$BB$7,0))</f>
        <v>1</v>
      </c>
    </row>
    <row r="125" spans="15:42" ht="14.25" x14ac:dyDescent="0.45">
      <c r="O125" s="43" t="s">
        <v>11</v>
      </c>
      <c r="P125" s="43">
        <v>3</v>
      </c>
      <c r="Q125" s="43">
        <v>14</v>
      </c>
      <c r="R125" s="43">
        <v>1</v>
      </c>
      <c r="S125" s="45"/>
      <c r="T125" t="b">
        <f>(S125+S126+S127)=N4</f>
        <v>0</v>
      </c>
      <c r="X125" s="1">
        <f t="shared" si="11"/>
        <v>0</v>
      </c>
      <c r="Y125" s="48">
        <v>0</v>
      </c>
      <c r="AA125" s="1">
        <v>2</v>
      </c>
      <c r="AB125" s="1" t="s">
        <v>13</v>
      </c>
      <c r="AC125" s="1" t="s">
        <v>19</v>
      </c>
      <c r="AD125" s="1">
        <v>12</v>
      </c>
      <c r="AE125" s="1">
        <v>11</v>
      </c>
      <c r="AF125" s="1">
        <v>0.8</v>
      </c>
      <c r="AG125" s="1">
        <v>0.86</v>
      </c>
      <c r="AH125" s="1">
        <v>0</v>
      </c>
      <c r="AI125" s="1">
        <v>0</v>
      </c>
      <c r="AJ125" s="1">
        <f t="shared" si="7"/>
        <v>0</v>
      </c>
      <c r="AK125" s="1">
        <f>C10</f>
        <v>0</v>
      </c>
      <c r="AL125" s="1">
        <f>C16</f>
        <v>0</v>
      </c>
      <c r="AM125" s="1">
        <f t="shared" si="8"/>
        <v>0</v>
      </c>
      <c r="AN125" s="1">
        <f t="shared" si="9"/>
        <v>0</v>
      </c>
      <c r="AO125" s="1">
        <f t="shared" si="10"/>
        <v>0</v>
      </c>
      <c r="AP125" t="b" cm="1">
        <f t="array" ref="AP125">INDEX($AU$8:$BB$25,6*(R125-1)+MATCH(AB125,$AS$8:$AS$13,0),MATCH(O125,$AU$7:$BB$7,0))</f>
        <v>1</v>
      </c>
    </row>
    <row r="126" spans="15:42" ht="14.25" x14ac:dyDescent="0.45">
      <c r="O126" s="43" t="s">
        <v>11</v>
      </c>
      <c r="P126" s="43">
        <v>3</v>
      </c>
      <c r="Q126" s="43">
        <v>14</v>
      </c>
      <c r="R126" s="43">
        <v>2</v>
      </c>
      <c r="S126" s="45"/>
      <c r="T126" t="b">
        <f>(S125+S126+S127)=N4</f>
        <v>0</v>
      </c>
      <c r="X126" s="1">
        <f t="shared" si="11"/>
        <v>0</v>
      </c>
      <c r="Y126" s="48">
        <v>0</v>
      </c>
      <c r="AA126" s="1">
        <v>2</v>
      </c>
      <c r="AB126" s="1" t="s">
        <v>13</v>
      </c>
      <c r="AC126" s="1" t="s">
        <v>19</v>
      </c>
      <c r="AD126" s="1">
        <v>12</v>
      </c>
      <c r="AE126" s="1">
        <v>11</v>
      </c>
      <c r="AF126" s="1">
        <v>0.8</v>
      </c>
      <c r="AG126" s="1">
        <v>0.86</v>
      </c>
      <c r="AH126" s="1">
        <v>0</v>
      </c>
      <c r="AI126" s="1">
        <v>0</v>
      </c>
      <c r="AJ126" s="1">
        <f t="shared" si="7"/>
        <v>0</v>
      </c>
      <c r="AK126" s="1">
        <f>D10</f>
        <v>0</v>
      </c>
      <c r="AL126" s="1">
        <f>D16</f>
        <v>0</v>
      </c>
      <c r="AM126" s="1">
        <f t="shared" si="8"/>
        <v>0</v>
      </c>
      <c r="AN126" s="1">
        <f t="shared" si="9"/>
        <v>0</v>
      </c>
      <c r="AO126" s="1">
        <f t="shared" si="10"/>
        <v>0</v>
      </c>
      <c r="AP126" t="b" cm="1">
        <f t="array" ref="AP126">INDEX($AU$8:$BB$25,6*(R126-1)+MATCH(AB126,$AS$8:$AS$13,0),MATCH(O126,$AU$7:$BB$7,0))</f>
        <v>1</v>
      </c>
    </row>
    <row r="127" spans="15:42" ht="14.25" x14ac:dyDescent="0.45">
      <c r="O127" s="43" t="s">
        <v>11</v>
      </c>
      <c r="P127" s="43">
        <v>3</v>
      </c>
      <c r="Q127" s="43">
        <v>14</v>
      </c>
      <c r="R127" s="43">
        <v>3</v>
      </c>
      <c r="S127" s="45"/>
      <c r="T127" t="b">
        <f>(S125+S126+S127)=N4</f>
        <v>0</v>
      </c>
      <c r="X127" s="1">
        <f t="shared" si="11"/>
        <v>0</v>
      </c>
      <c r="Y127" s="48">
        <v>0</v>
      </c>
      <c r="AA127" s="1">
        <v>2</v>
      </c>
      <c r="AB127" s="1" t="s">
        <v>13</v>
      </c>
      <c r="AC127" s="1" t="s">
        <v>19</v>
      </c>
      <c r="AD127" s="1">
        <v>12</v>
      </c>
      <c r="AE127" s="1">
        <v>11</v>
      </c>
      <c r="AF127" s="1">
        <v>0.8</v>
      </c>
      <c r="AG127" s="1">
        <v>0.86</v>
      </c>
      <c r="AH127" s="1">
        <v>0</v>
      </c>
      <c r="AI127" s="1">
        <v>0</v>
      </c>
      <c r="AJ127" s="1">
        <f t="shared" si="7"/>
        <v>0</v>
      </c>
      <c r="AK127" s="1">
        <f>E10</f>
        <v>40</v>
      </c>
      <c r="AL127" s="1">
        <f>E16</f>
        <v>0</v>
      </c>
      <c r="AM127" s="1">
        <f t="shared" si="8"/>
        <v>0</v>
      </c>
      <c r="AN127" s="1">
        <f t="shared" si="9"/>
        <v>0</v>
      </c>
      <c r="AO127" s="1">
        <f t="shared" si="10"/>
        <v>0</v>
      </c>
      <c r="AP127" t="b" cm="1">
        <f t="array" ref="AP127">INDEX($AU$8:$BB$25,6*(R127-1)+MATCH(AB127,$AS$8:$AS$13,0),MATCH(O127,$AU$7:$BB$7,0))</f>
        <v>1</v>
      </c>
    </row>
    <row r="128" spans="15:42" ht="14.25" x14ac:dyDescent="0.45">
      <c r="O128" s="43" t="s">
        <v>11</v>
      </c>
      <c r="P128" s="43">
        <v>3</v>
      </c>
      <c r="Q128" s="43">
        <v>15</v>
      </c>
      <c r="R128" s="43">
        <v>1</v>
      </c>
      <c r="S128" s="45"/>
      <c r="T128" t="b">
        <f>(S128+S129+S130)=N4</f>
        <v>0</v>
      </c>
      <c r="X128" s="1">
        <f t="shared" si="11"/>
        <v>0</v>
      </c>
      <c r="Y128" s="48">
        <v>0</v>
      </c>
      <c r="AA128" s="1">
        <v>2</v>
      </c>
      <c r="AB128" s="1" t="s">
        <v>14</v>
      </c>
      <c r="AC128" s="1" t="s">
        <v>20</v>
      </c>
      <c r="AD128" s="1">
        <v>11</v>
      </c>
      <c r="AE128" s="1">
        <v>10</v>
      </c>
      <c r="AF128" s="1">
        <v>0.8</v>
      </c>
      <c r="AG128" s="1">
        <v>0.88</v>
      </c>
      <c r="AH128" s="1">
        <v>0</v>
      </c>
      <c r="AI128" s="1">
        <v>0</v>
      </c>
      <c r="AJ128" s="1">
        <f t="shared" si="7"/>
        <v>0</v>
      </c>
      <c r="AK128" s="1">
        <f>C11</f>
        <v>50</v>
      </c>
      <c r="AL128" s="1">
        <f>C17</f>
        <v>0</v>
      </c>
      <c r="AM128" s="1">
        <f t="shared" si="8"/>
        <v>0</v>
      </c>
      <c r="AN128" s="1">
        <f t="shared" si="9"/>
        <v>0</v>
      </c>
      <c r="AO128" s="1">
        <f t="shared" si="10"/>
        <v>0</v>
      </c>
      <c r="AP128" t="b" cm="1">
        <f t="array" ref="AP128">INDEX($AU$8:$BB$25,6*(R128-1)+MATCH(AB128,$AS$8:$AS$13,0),MATCH(O128,$AU$7:$BB$7,0))</f>
        <v>1</v>
      </c>
    </row>
    <row r="129" spans="15:42" ht="14.25" x14ac:dyDescent="0.45">
      <c r="O129" s="43" t="s">
        <v>11</v>
      </c>
      <c r="P129" s="43">
        <v>3</v>
      </c>
      <c r="Q129" s="43">
        <v>15</v>
      </c>
      <c r="R129" s="43">
        <v>2</v>
      </c>
      <c r="S129" s="45"/>
      <c r="T129" t="b">
        <f>(S128+S129+S130)=N4</f>
        <v>0</v>
      </c>
      <c r="X129" s="1">
        <f t="shared" si="11"/>
        <v>0</v>
      </c>
      <c r="Y129" s="48">
        <v>0</v>
      </c>
      <c r="AA129" s="1">
        <v>2</v>
      </c>
      <c r="AB129" s="1" t="s">
        <v>14</v>
      </c>
      <c r="AC129" s="1" t="s">
        <v>20</v>
      </c>
      <c r="AD129" s="1">
        <v>11</v>
      </c>
      <c r="AE129" s="1">
        <v>10</v>
      </c>
      <c r="AF129" s="1">
        <v>0.8</v>
      </c>
      <c r="AG129" s="1">
        <v>0.88</v>
      </c>
      <c r="AH129" s="1">
        <v>0</v>
      </c>
      <c r="AI129" s="1">
        <v>0</v>
      </c>
      <c r="AJ129" s="1">
        <f t="shared" si="7"/>
        <v>0</v>
      </c>
      <c r="AK129" s="1">
        <f>D11</f>
        <v>50</v>
      </c>
      <c r="AL129" s="1">
        <f>D17</f>
        <v>0</v>
      </c>
      <c r="AM129" s="1">
        <f t="shared" si="8"/>
        <v>0</v>
      </c>
      <c r="AN129" s="1">
        <f t="shared" si="9"/>
        <v>0</v>
      </c>
      <c r="AO129" s="1">
        <f t="shared" si="10"/>
        <v>0</v>
      </c>
      <c r="AP129" t="b" cm="1">
        <f t="array" ref="AP129">INDEX($AU$8:$BB$25,6*(R129-1)+MATCH(AB129,$AS$8:$AS$13,0),MATCH(O129,$AU$7:$BB$7,0))</f>
        <v>1</v>
      </c>
    </row>
    <row r="130" spans="15:42" ht="14.25" x14ac:dyDescent="0.45">
      <c r="O130" s="43" t="s">
        <v>11</v>
      </c>
      <c r="P130" s="43">
        <v>3</v>
      </c>
      <c r="Q130" s="43">
        <v>15</v>
      </c>
      <c r="R130" s="43">
        <v>3</v>
      </c>
      <c r="S130" s="45"/>
      <c r="T130" t="b">
        <f>(S128+S129+S130)=N4</f>
        <v>0</v>
      </c>
      <c r="X130" s="1">
        <f t="shared" si="11"/>
        <v>0</v>
      </c>
      <c r="Y130" s="48">
        <v>0</v>
      </c>
      <c r="AA130" s="1">
        <v>2</v>
      </c>
      <c r="AB130" s="1" t="s">
        <v>14</v>
      </c>
      <c r="AC130" s="1" t="s">
        <v>20</v>
      </c>
      <c r="AD130" s="1">
        <v>11</v>
      </c>
      <c r="AE130" s="1">
        <v>10</v>
      </c>
      <c r="AF130" s="1">
        <v>0.8</v>
      </c>
      <c r="AG130" s="1">
        <v>0.88</v>
      </c>
      <c r="AH130" s="1">
        <v>0</v>
      </c>
      <c r="AI130" s="1">
        <v>0</v>
      </c>
      <c r="AJ130" s="1">
        <f t="shared" si="7"/>
        <v>0</v>
      </c>
      <c r="AK130" s="1">
        <f>E11</f>
        <v>35</v>
      </c>
      <c r="AL130" s="1">
        <f>E17</f>
        <v>0</v>
      </c>
      <c r="AM130" s="1">
        <f t="shared" si="8"/>
        <v>0</v>
      </c>
      <c r="AN130" s="1">
        <f t="shared" si="9"/>
        <v>0</v>
      </c>
      <c r="AO130" s="1">
        <f t="shared" si="10"/>
        <v>0</v>
      </c>
      <c r="AP130" t="b" cm="1">
        <f t="array" ref="AP130">INDEX($AU$8:$BB$25,6*(R130-1)+MATCH(AB130,$AS$8:$AS$13,0),MATCH(O130,$AU$7:$BB$7,0))</f>
        <v>1</v>
      </c>
    </row>
    <row r="131" spans="15:42" ht="14.25" x14ac:dyDescent="0.45">
      <c r="O131" s="43" t="s">
        <v>11</v>
      </c>
      <c r="P131" s="43">
        <v>3</v>
      </c>
      <c r="Q131" s="43">
        <v>16</v>
      </c>
      <c r="R131" s="43">
        <v>1</v>
      </c>
      <c r="S131" s="45"/>
      <c r="T131" t="b">
        <f>(S131+S132+S133)=N4</f>
        <v>0</v>
      </c>
      <c r="X131" s="1">
        <f t="shared" si="11"/>
        <v>0</v>
      </c>
      <c r="Y131" s="48">
        <v>0</v>
      </c>
      <c r="AA131" s="1">
        <v>4</v>
      </c>
      <c r="AB131" s="1" t="s">
        <v>13</v>
      </c>
      <c r="AC131" s="1" t="s">
        <v>19</v>
      </c>
      <c r="AD131" s="1">
        <v>25</v>
      </c>
      <c r="AE131" s="1">
        <v>20</v>
      </c>
      <c r="AF131" s="1">
        <v>0.8</v>
      </c>
      <c r="AG131" s="1">
        <v>0.86</v>
      </c>
      <c r="AH131" s="1">
        <v>0</v>
      </c>
      <c r="AI131" s="1">
        <v>0</v>
      </c>
      <c r="AJ131" s="1">
        <f t="shared" si="7"/>
        <v>0</v>
      </c>
      <c r="AK131" s="1">
        <f>C10</f>
        <v>0</v>
      </c>
      <c r="AL131" s="1">
        <f>C16</f>
        <v>0</v>
      </c>
      <c r="AM131" s="1">
        <f t="shared" si="8"/>
        <v>0</v>
      </c>
      <c r="AN131" s="1">
        <f t="shared" si="9"/>
        <v>0</v>
      </c>
      <c r="AO131" s="1">
        <f t="shared" si="10"/>
        <v>0</v>
      </c>
      <c r="AP131" t="b" cm="1">
        <f t="array" ref="AP131">INDEX($AU$8:$BB$25,6*(R131-1)+MATCH(AB131,$AS$8:$AS$13,0),MATCH(O131,$AU$7:$BB$7,0))</f>
        <v>1</v>
      </c>
    </row>
    <row r="132" spans="15:42" ht="14.25" x14ac:dyDescent="0.45">
      <c r="O132" s="43" t="s">
        <v>11</v>
      </c>
      <c r="P132" s="43">
        <v>3</v>
      </c>
      <c r="Q132" s="43">
        <v>16</v>
      </c>
      <c r="R132" s="43">
        <v>2</v>
      </c>
      <c r="S132" s="45"/>
      <c r="T132" t="b">
        <f>(S131+S132+S133)=N4</f>
        <v>0</v>
      </c>
      <c r="X132" s="1">
        <f t="shared" si="11"/>
        <v>0</v>
      </c>
      <c r="Y132" s="48">
        <v>0</v>
      </c>
      <c r="AA132" s="1">
        <v>4</v>
      </c>
      <c r="AB132" s="1" t="s">
        <v>13</v>
      </c>
      <c r="AC132" s="1" t="s">
        <v>19</v>
      </c>
      <c r="AD132" s="1">
        <v>25</v>
      </c>
      <c r="AE132" s="1">
        <v>20</v>
      </c>
      <c r="AF132" s="1">
        <v>0.8</v>
      </c>
      <c r="AG132" s="1">
        <v>0.86</v>
      </c>
      <c r="AH132" s="1">
        <v>0</v>
      </c>
      <c r="AI132" s="1">
        <v>0</v>
      </c>
      <c r="AJ132" s="1">
        <f t="shared" si="7"/>
        <v>0</v>
      </c>
      <c r="AK132" s="1">
        <f>D10</f>
        <v>0</v>
      </c>
      <c r="AL132" s="1">
        <f>D16</f>
        <v>0</v>
      </c>
      <c r="AM132" s="1">
        <f t="shared" si="8"/>
        <v>0</v>
      </c>
      <c r="AN132" s="1">
        <f t="shared" si="9"/>
        <v>0</v>
      </c>
      <c r="AO132" s="1">
        <f t="shared" si="10"/>
        <v>0</v>
      </c>
      <c r="AP132" t="b" cm="1">
        <f t="array" ref="AP132">INDEX($AU$8:$BB$25,6*(R132-1)+MATCH(AB132,$AS$8:$AS$13,0),MATCH(O132,$AU$7:$BB$7,0))</f>
        <v>1</v>
      </c>
    </row>
    <row r="133" spans="15:42" ht="14.25" x14ac:dyDescent="0.45">
      <c r="O133" s="43" t="s">
        <v>11</v>
      </c>
      <c r="P133" s="43">
        <v>3</v>
      </c>
      <c r="Q133" s="43">
        <v>16</v>
      </c>
      <c r="R133" s="43">
        <v>3</v>
      </c>
      <c r="S133" s="45"/>
      <c r="T133" t="b">
        <f>(S131+S132+S133)=N4</f>
        <v>0</v>
      </c>
      <c r="X133" s="1">
        <f t="shared" si="11"/>
        <v>0</v>
      </c>
      <c r="Y133" s="48">
        <v>0</v>
      </c>
      <c r="AA133" s="1">
        <v>4</v>
      </c>
      <c r="AB133" s="1" t="s">
        <v>13</v>
      </c>
      <c r="AC133" s="1" t="s">
        <v>19</v>
      </c>
      <c r="AD133" s="1">
        <v>25</v>
      </c>
      <c r="AE133" s="1">
        <v>20</v>
      </c>
      <c r="AF133" s="1">
        <v>0.8</v>
      </c>
      <c r="AG133" s="1">
        <v>0.86</v>
      </c>
      <c r="AH133" s="1">
        <v>0</v>
      </c>
      <c r="AI133" s="1">
        <v>0</v>
      </c>
      <c r="AJ133" s="1">
        <f t="shared" si="7"/>
        <v>0</v>
      </c>
      <c r="AK133" s="1">
        <f>E10</f>
        <v>40</v>
      </c>
      <c r="AL133" s="1">
        <f>E16</f>
        <v>0</v>
      </c>
      <c r="AM133" s="1">
        <f t="shared" si="8"/>
        <v>0</v>
      </c>
      <c r="AN133" s="1">
        <f t="shared" si="9"/>
        <v>0</v>
      </c>
      <c r="AO133" s="1">
        <f t="shared" si="10"/>
        <v>0</v>
      </c>
      <c r="AP133" t="b" cm="1">
        <f t="array" ref="AP133">INDEX($AU$8:$BB$25,6*(R133-1)+MATCH(AB133,$AS$8:$AS$13,0),MATCH(O133,$AU$7:$BB$7,0))</f>
        <v>1</v>
      </c>
    </row>
    <row r="134" spans="15:42" ht="14.25" x14ac:dyDescent="0.45">
      <c r="O134" s="43" t="s">
        <v>11</v>
      </c>
      <c r="P134" s="43">
        <v>3</v>
      </c>
      <c r="Q134" s="43">
        <v>17</v>
      </c>
      <c r="R134" s="43">
        <v>1</v>
      </c>
      <c r="S134" s="45"/>
      <c r="T134" t="b">
        <f>(S134+S135+S136)=N4</f>
        <v>0</v>
      </c>
      <c r="X134" s="1">
        <f t="shared" si="11"/>
        <v>0</v>
      </c>
      <c r="Y134" s="48">
        <v>0</v>
      </c>
      <c r="AA134" s="1">
        <v>1</v>
      </c>
      <c r="AB134" s="1" t="s">
        <v>16</v>
      </c>
      <c r="AC134" s="1" t="s">
        <v>22</v>
      </c>
      <c r="AD134" s="1">
        <v>14</v>
      </c>
      <c r="AE134" s="1">
        <v>13</v>
      </c>
      <c r="AF134" s="1">
        <v>0.8</v>
      </c>
      <c r="AG134" s="1">
        <v>0.9</v>
      </c>
      <c r="AH134" s="1">
        <v>0</v>
      </c>
      <c r="AI134" s="1">
        <v>0</v>
      </c>
      <c r="AJ134" s="1">
        <f t="shared" si="7"/>
        <v>0</v>
      </c>
      <c r="AK134" s="1">
        <f>C13</f>
        <v>90</v>
      </c>
      <c r="AL134" s="1">
        <f>C19</f>
        <v>0</v>
      </c>
      <c r="AM134" s="1">
        <f t="shared" si="8"/>
        <v>0</v>
      </c>
      <c r="AN134" s="1">
        <f t="shared" si="9"/>
        <v>0</v>
      </c>
      <c r="AO134" s="1">
        <f t="shared" si="10"/>
        <v>0</v>
      </c>
      <c r="AP134" t="b" cm="1">
        <f t="array" ref="AP134">INDEX($AU$8:$BB$25,6*(R134-1)+MATCH(AB134,$AS$8:$AS$13,0),MATCH(O134,$AU$7:$BB$7,0))</f>
        <v>1</v>
      </c>
    </row>
    <row r="135" spans="15:42" ht="14.25" x14ac:dyDescent="0.45">
      <c r="O135" s="43" t="s">
        <v>11</v>
      </c>
      <c r="P135" s="43">
        <v>3</v>
      </c>
      <c r="Q135" s="43">
        <v>17</v>
      </c>
      <c r="R135" s="43">
        <v>2</v>
      </c>
      <c r="S135" s="45"/>
      <c r="T135" t="b">
        <f>(S134+S135+S136)=N4</f>
        <v>0</v>
      </c>
      <c r="X135" s="1">
        <f t="shared" si="11"/>
        <v>0</v>
      </c>
      <c r="Y135" s="48">
        <v>0</v>
      </c>
      <c r="AA135" s="1">
        <v>1</v>
      </c>
      <c r="AB135" s="1" t="s">
        <v>16</v>
      </c>
      <c r="AC135" s="1" t="s">
        <v>22</v>
      </c>
      <c r="AD135" s="1">
        <v>14</v>
      </c>
      <c r="AE135" s="1">
        <v>13</v>
      </c>
      <c r="AF135" s="1">
        <v>0.8</v>
      </c>
      <c r="AG135" s="1">
        <v>0.9</v>
      </c>
      <c r="AH135" s="1">
        <v>0</v>
      </c>
      <c r="AI135" s="1">
        <v>0</v>
      </c>
      <c r="AJ135" s="1">
        <f t="shared" si="7"/>
        <v>0</v>
      </c>
      <c r="AK135" s="1">
        <f>D13</f>
        <v>60</v>
      </c>
      <c r="AL135" s="1">
        <f>D19</f>
        <v>0</v>
      </c>
      <c r="AM135" s="1">
        <f t="shared" si="8"/>
        <v>0</v>
      </c>
      <c r="AN135" s="1">
        <f t="shared" si="9"/>
        <v>0</v>
      </c>
      <c r="AO135" s="1">
        <f t="shared" si="10"/>
        <v>0</v>
      </c>
      <c r="AP135" t="b" cm="1">
        <f t="array" ref="AP135">INDEX($AU$8:$BB$25,6*(R135-1)+MATCH(AB135,$AS$8:$AS$13,0),MATCH(O135,$AU$7:$BB$7,0))</f>
        <v>1</v>
      </c>
    </row>
    <row r="136" spans="15:42" ht="14.25" x14ac:dyDescent="0.45">
      <c r="O136" s="43" t="s">
        <v>11</v>
      </c>
      <c r="P136" s="43">
        <v>3</v>
      </c>
      <c r="Q136" s="43">
        <v>17</v>
      </c>
      <c r="R136" s="43">
        <v>3</v>
      </c>
      <c r="S136" s="45"/>
      <c r="T136" t="b">
        <f>(S134+S135+S136)=N4</f>
        <v>0</v>
      </c>
      <c r="X136" s="1">
        <f t="shared" si="11"/>
        <v>0</v>
      </c>
      <c r="Y136" s="48">
        <v>0</v>
      </c>
      <c r="AA136" s="1">
        <v>1</v>
      </c>
      <c r="AB136" s="1" t="s">
        <v>16</v>
      </c>
      <c r="AC136" s="1" t="s">
        <v>22</v>
      </c>
      <c r="AD136" s="1">
        <v>14</v>
      </c>
      <c r="AE136" s="1">
        <v>13</v>
      </c>
      <c r="AF136" s="1">
        <v>0.8</v>
      </c>
      <c r="AG136" s="1">
        <v>0.9</v>
      </c>
      <c r="AH136" s="1">
        <v>0</v>
      </c>
      <c r="AI136" s="1">
        <v>0</v>
      </c>
      <c r="AJ136" s="1">
        <f t="shared" si="7"/>
        <v>0</v>
      </c>
      <c r="AK136" s="1">
        <f>E13</f>
        <v>36</v>
      </c>
      <c r="AL136" s="1">
        <f>E19</f>
        <v>0</v>
      </c>
      <c r="AM136" s="1">
        <f t="shared" si="8"/>
        <v>0</v>
      </c>
      <c r="AN136" s="1">
        <f t="shared" si="9"/>
        <v>0</v>
      </c>
      <c r="AO136" s="1">
        <f t="shared" si="10"/>
        <v>0</v>
      </c>
      <c r="AP136" t="b" cm="1">
        <f t="array" ref="AP136">INDEX($AU$8:$BB$25,6*(R136-1)+MATCH(AB136,$AS$8:$AS$13,0),MATCH(O136,$AU$7:$BB$7,0))</f>
        <v>1</v>
      </c>
    </row>
    <row r="137" spans="15:42" ht="14.25" x14ac:dyDescent="0.45">
      <c r="O137" s="43" t="s">
        <v>30</v>
      </c>
      <c r="P137" s="43">
        <v>1</v>
      </c>
      <c r="Q137" s="43">
        <v>1</v>
      </c>
      <c r="R137" s="43">
        <v>1</v>
      </c>
      <c r="S137" s="45"/>
      <c r="T137" t="b">
        <f>(S137+S138+S139)=O2</f>
        <v>0</v>
      </c>
      <c r="X137" s="1">
        <v>0</v>
      </c>
      <c r="Y137" s="48">
        <v>0</v>
      </c>
      <c r="AA137" s="1">
        <v>4</v>
      </c>
      <c r="AB137" s="1" t="s">
        <v>14</v>
      </c>
      <c r="AC137" s="1" t="s">
        <v>20</v>
      </c>
      <c r="AD137" s="1">
        <v>14</v>
      </c>
      <c r="AE137" s="1">
        <v>12</v>
      </c>
      <c r="AF137" s="1">
        <v>0.8</v>
      </c>
      <c r="AG137" s="1">
        <v>0.88</v>
      </c>
      <c r="AH137" s="1">
        <v>0</v>
      </c>
      <c r="AI137" s="1">
        <v>0</v>
      </c>
      <c r="AJ137" s="1">
        <f t="shared" ref="AJ137:AJ200" si="12">SUMIFS(AH$8:AH$1039,$O$8:$O$1039,O137,$AB$8:$AB$1039,AB137,$R$8:$R$1039,R137,$AA$8:$AA$1039,"&lt;="&amp;AA137)</f>
        <v>0</v>
      </c>
      <c r="AK137" s="1">
        <f>C23</f>
        <v>0</v>
      </c>
      <c r="AL137" s="1">
        <f>C29</f>
        <v>0</v>
      </c>
      <c r="AM137" s="1">
        <f t="shared" ref="AM137:AM200" si="13">MAX(0,AJ137-AK137)</f>
        <v>0</v>
      </c>
      <c r="AN137" s="1">
        <f t="shared" ref="AN137:AN200" si="14">IF(AM137=0,AH137,IF(AM137&gt;=AH137,0,AH137-AM137))</f>
        <v>0</v>
      </c>
      <c r="AO137" s="1">
        <f t="shared" ref="AO137:AO200" si="15">IF(AM137&gt;=AH137,AI137,AI137*AM137/AH137)</f>
        <v>0</v>
      </c>
      <c r="AP137" t="b" cm="1">
        <f t="array" ref="AP137">INDEX($AU$8:$BB$25,6*(R137-1)+MATCH(AB137,$AS$8:$AS$13,0),MATCH(O137,$AU$7:$BB$7,0))</f>
        <v>1</v>
      </c>
    </row>
    <row r="138" spans="15:42" ht="14.25" x14ac:dyDescent="0.45">
      <c r="O138" s="43" t="s">
        <v>30</v>
      </c>
      <c r="P138" s="43">
        <v>1</v>
      </c>
      <c r="Q138" s="43">
        <v>1</v>
      </c>
      <c r="R138" s="43">
        <v>2</v>
      </c>
      <c r="S138" s="45"/>
      <c r="T138" t="b">
        <f>(S137+S138+S139)=O2</f>
        <v>0</v>
      </c>
      <c r="X138" s="1">
        <v>0</v>
      </c>
      <c r="Y138" s="48">
        <v>0</v>
      </c>
      <c r="AA138" s="1">
        <v>4</v>
      </c>
      <c r="AB138" s="1" t="s">
        <v>14</v>
      </c>
      <c r="AC138" s="1" t="s">
        <v>20</v>
      </c>
      <c r="AD138" s="1">
        <v>14</v>
      </c>
      <c r="AE138" s="1">
        <v>12</v>
      </c>
      <c r="AF138" s="1">
        <v>0.8</v>
      </c>
      <c r="AG138" s="1">
        <v>0.88</v>
      </c>
      <c r="AH138" s="1">
        <v>0</v>
      </c>
      <c r="AI138" s="1">
        <v>0</v>
      </c>
      <c r="AJ138" s="1">
        <f t="shared" si="12"/>
        <v>0</v>
      </c>
      <c r="AK138" s="1">
        <f>D23</f>
        <v>0</v>
      </c>
      <c r="AL138" s="1">
        <f>D29</f>
        <v>0</v>
      </c>
      <c r="AM138" s="1">
        <f t="shared" si="13"/>
        <v>0</v>
      </c>
      <c r="AN138" s="1">
        <f t="shared" si="14"/>
        <v>0</v>
      </c>
      <c r="AO138" s="1">
        <f t="shared" si="15"/>
        <v>0</v>
      </c>
      <c r="AP138" t="b" cm="1">
        <f t="array" ref="AP138">INDEX($AU$8:$BB$25,6*(R138-1)+MATCH(AB138,$AS$8:$AS$13,0),MATCH(O138,$AU$7:$BB$7,0))</f>
        <v>1</v>
      </c>
    </row>
    <row r="139" spans="15:42" ht="14.25" x14ac:dyDescent="0.45">
      <c r="O139" s="43" t="s">
        <v>30</v>
      </c>
      <c r="P139" s="43">
        <v>1</v>
      </c>
      <c r="Q139" s="43">
        <v>1</v>
      </c>
      <c r="R139" s="43">
        <v>3</v>
      </c>
      <c r="S139" s="45"/>
      <c r="T139" t="b">
        <f>(S137+S138+S139)=O2</f>
        <v>0</v>
      </c>
      <c r="X139" s="1">
        <v>0</v>
      </c>
      <c r="Y139" s="48">
        <v>0</v>
      </c>
      <c r="AA139" s="1">
        <v>4</v>
      </c>
      <c r="AB139" s="1" t="s">
        <v>14</v>
      </c>
      <c r="AC139" s="1" t="s">
        <v>20</v>
      </c>
      <c r="AD139" s="1">
        <v>14</v>
      </c>
      <c r="AE139" s="1">
        <v>12</v>
      </c>
      <c r="AF139" s="1">
        <v>0.8</v>
      </c>
      <c r="AG139" s="1">
        <v>0.88</v>
      </c>
      <c r="AH139" s="1">
        <v>0</v>
      </c>
      <c r="AI139" s="1">
        <v>0</v>
      </c>
      <c r="AJ139" s="1">
        <f t="shared" si="12"/>
        <v>0</v>
      </c>
      <c r="AK139" s="1">
        <f>E23</f>
        <v>0</v>
      </c>
      <c r="AL139" s="1">
        <f>E29</f>
        <v>0</v>
      </c>
      <c r="AM139" s="1">
        <f t="shared" si="13"/>
        <v>0</v>
      </c>
      <c r="AN139" s="1">
        <f t="shared" si="14"/>
        <v>0</v>
      </c>
      <c r="AO139" s="1">
        <f t="shared" si="15"/>
        <v>0</v>
      </c>
      <c r="AP139" t="b" cm="1">
        <f t="array" ref="AP139">INDEX($AU$8:$BB$25,6*(R139-1)+MATCH(AB139,$AS$8:$AS$13,0),MATCH(O139,$AU$7:$BB$7,0))</f>
        <v>1</v>
      </c>
    </row>
    <row r="140" spans="15:42" ht="14.25" x14ac:dyDescent="0.45">
      <c r="O140" s="43" t="s">
        <v>30</v>
      </c>
      <c r="P140" s="43">
        <v>1</v>
      </c>
      <c r="Q140" s="43">
        <v>2</v>
      </c>
      <c r="R140" s="43">
        <v>1</v>
      </c>
      <c r="S140" s="45"/>
      <c r="T140" t="b">
        <f>(S140+S141+S142)=O2</f>
        <v>0</v>
      </c>
      <c r="X140" s="1">
        <f>MAX(S137-S140,0)</f>
        <v>0</v>
      </c>
      <c r="Y140" s="48">
        <v>0</v>
      </c>
      <c r="AA140" s="1">
        <v>10</v>
      </c>
      <c r="AB140" s="1" t="s">
        <v>16</v>
      </c>
      <c r="AC140" s="1" t="s">
        <v>22</v>
      </c>
      <c r="AD140" s="1">
        <v>25</v>
      </c>
      <c r="AE140" s="1">
        <v>21</v>
      </c>
      <c r="AF140" s="1">
        <v>0.8</v>
      </c>
      <c r="AG140" s="1">
        <v>0.9</v>
      </c>
      <c r="AH140" s="1">
        <v>0</v>
      </c>
      <c r="AI140" s="1">
        <v>0</v>
      </c>
      <c r="AJ140" s="1">
        <f t="shared" si="12"/>
        <v>0</v>
      </c>
      <c r="AK140" s="1">
        <f>C25</f>
        <v>0</v>
      </c>
      <c r="AL140" s="1">
        <f>C31</f>
        <v>0</v>
      </c>
      <c r="AM140" s="1">
        <f t="shared" si="13"/>
        <v>0</v>
      </c>
      <c r="AN140" s="1">
        <f t="shared" si="14"/>
        <v>0</v>
      </c>
      <c r="AO140" s="1">
        <f t="shared" si="15"/>
        <v>0</v>
      </c>
      <c r="AP140" t="b" cm="1">
        <f t="array" ref="AP140">INDEX($AU$8:$BB$25,6*(R140-1)+MATCH(AB140,$AS$8:$AS$13,0),MATCH(O140,$AU$7:$BB$7,0))</f>
        <v>1</v>
      </c>
    </row>
    <row r="141" spans="15:42" ht="14.25" x14ac:dyDescent="0.45">
      <c r="O141" s="43" t="s">
        <v>30</v>
      </c>
      <c r="P141" s="43">
        <v>1</v>
      </c>
      <c r="Q141" s="43">
        <v>2</v>
      </c>
      <c r="R141" s="43">
        <v>2</v>
      </c>
      <c r="S141" s="45"/>
      <c r="T141" t="b">
        <f>(S140+S141+S142)=O2</f>
        <v>0</v>
      </c>
      <c r="X141" s="1">
        <f t="shared" ref="X141:X169" si="16">MAX(S138-S141,0)</f>
        <v>0</v>
      </c>
      <c r="Y141" s="48">
        <v>0</v>
      </c>
      <c r="AA141" s="1">
        <v>10</v>
      </c>
      <c r="AB141" s="1" t="s">
        <v>16</v>
      </c>
      <c r="AC141" s="1" t="s">
        <v>22</v>
      </c>
      <c r="AD141" s="1">
        <v>25</v>
      </c>
      <c r="AE141" s="1">
        <v>21</v>
      </c>
      <c r="AF141" s="1">
        <v>0.8</v>
      </c>
      <c r="AG141" s="1">
        <v>0.9</v>
      </c>
      <c r="AH141" s="1">
        <v>0</v>
      </c>
      <c r="AI141" s="1">
        <v>0</v>
      </c>
      <c r="AJ141" s="1">
        <f t="shared" si="12"/>
        <v>0</v>
      </c>
      <c r="AK141" s="1">
        <f>D25</f>
        <v>0</v>
      </c>
      <c r="AL141" s="1">
        <f>D31</f>
        <v>0</v>
      </c>
      <c r="AM141" s="1">
        <f t="shared" si="13"/>
        <v>0</v>
      </c>
      <c r="AN141" s="1">
        <f t="shared" si="14"/>
        <v>0</v>
      </c>
      <c r="AO141" s="1">
        <f t="shared" si="15"/>
        <v>0</v>
      </c>
      <c r="AP141" t="b" cm="1">
        <f t="array" ref="AP141">INDEX($AU$8:$BB$25,6*(R141-1)+MATCH(AB141,$AS$8:$AS$13,0),MATCH(O141,$AU$7:$BB$7,0))</f>
        <v>1</v>
      </c>
    </row>
    <row r="142" spans="15:42" ht="14.25" x14ac:dyDescent="0.45">
      <c r="O142" s="43" t="s">
        <v>30</v>
      </c>
      <c r="P142" s="43">
        <v>1</v>
      </c>
      <c r="Q142" s="43">
        <v>2</v>
      </c>
      <c r="R142" s="43">
        <v>3</v>
      </c>
      <c r="S142" s="45"/>
      <c r="T142" t="b">
        <f>(S140+S141+S142)=O2</f>
        <v>0</v>
      </c>
      <c r="X142" s="1">
        <f t="shared" si="16"/>
        <v>0</v>
      </c>
      <c r="Y142" s="48">
        <v>0</v>
      </c>
      <c r="AA142" s="1">
        <v>10</v>
      </c>
      <c r="AB142" s="1" t="s">
        <v>16</v>
      </c>
      <c r="AC142" s="1" t="s">
        <v>22</v>
      </c>
      <c r="AD142" s="1">
        <v>25</v>
      </c>
      <c r="AE142" s="1">
        <v>21</v>
      </c>
      <c r="AF142" s="1">
        <v>0.8</v>
      </c>
      <c r="AG142" s="1">
        <v>0.9</v>
      </c>
      <c r="AH142" s="1">
        <v>0</v>
      </c>
      <c r="AI142" s="1">
        <v>0</v>
      </c>
      <c r="AJ142" s="1">
        <f t="shared" si="12"/>
        <v>0</v>
      </c>
      <c r="AK142" s="1">
        <f>E25</f>
        <v>0</v>
      </c>
      <c r="AL142" s="1">
        <f>E31</f>
        <v>0</v>
      </c>
      <c r="AM142" s="1">
        <f t="shared" si="13"/>
        <v>0</v>
      </c>
      <c r="AN142" s="1">
        <f t="shared" si="14"/>
        <v>0</v>
      </c>
      <c r="AO142" s="1">
        <f t="shared" si="15"/>
        <v>0</v>
      </c>
      <c r="AP142" t="b" cm="1">
        <f t="array" ref="AP142">INDEX($AU$8:$BB$25,6*(R142-1)+MATCH(AB142,$AS$8:$AS$13,0),MATCH(O142,$AU$7:$BB$7,0))</f>
        <v>1</v>
      </c>
    </row>
    <row r="143" spans="15:42" ht="14.25" x14ac:dyDescent="0.45">
      <c r="O143" s="43" t="s">
        <v>30</v>
      </c>
      <c r="P143" s="43">
        <v>1</v>
      </c>
      <c r="Q143" s="43">
        <v>3</v>
      </c>
      <c r="R143" s="43">
        <v>1</v>
      </c>
      <c r="S143" s="45"/>
      <c r="T143" t="b">
        <f>(S143+S144+S145)=O2</f>
        <v>0</v>
      </c>
      <c r="X143" s="1">
        <f t="shared" si="16"/>
        <v>0</v>
      </c>
      <c r="Y143" s="48">
        <v>0</v>
      </c>
      <c r="AA143" s="1">
        <v>8</v>
      </c>
      <c r="AB143" s="1" t="s">
        <v>16</v>
      </c>
      <c r="AC143" s="1" t="s">
        <v>22</v>
      </c>
      <c r="AD143" s="1">
        <v>27</v>
      </c>
      <c r="AE143" s="1">
        <v>23</v>
      </c>
      <c r="AF143" s="1">
        <v>0.8</v>
      </c>
      <c r="AG143" s="1">
        <v>0.9</v>
      </c>
      <c r="AH143" s="1">
        <v>0</v>
      </c>
      <c r="AI143" s="1">
        <v>0</v>
      </c>
      <c r="AJ143" s="1">
        <f t="shared" si="12"/>
        <v>0</v>
      </c>
      <c r="AK143" s="1">
        <f>C25</f>
        <v>0</v>
      </c>
      <c r="AL143" s="1">
        <f>C31</f>
        <v>0</v>
      </c>
      <c r="AM143" s="1">
        <f t="shared" si="13"/>
        <v>0</v>
      </c>
      <c r="AN143" s="1">
        <f t="shared" si="14"/>
        <v>0</v>
      </c>
      <c r="AO143" s="1">
        <f t="shared" si="15"/>
        <v>0</v>
      </c>
      <c r="AP143" t="b" cm="1">
        <f t="array" ref="AP143">INDEX($AU$8:$BB$25,6*(R143-1)+MATCH(AB143,$AS$8:$AS$13,0),MATCH(O143,$AU$7:$BB$7,0))</f>
        <v>1</v>
      </c>
    </row>
    <row r="144" spans="15:42" ht="14.25" x14ac:dyDescent="0.45">
      <c r="O144" s="43" t="s">
        <v>30</v>
      </c>
      <c r="P144" s="43">
        <v>1</v>
      </c>
      <c r="Q144" s="43">
        <v>3</v>
      </c>
      <c r="R144" s="43">
        <v>2</v>
      </c>
      <c r="S144" s="45"/>
      <c r="T144" t="b">
        <f>(S143+S144+S145)=O2</f>
        <v>0</v>
      </c>
      <c r="X144" s="1">
        <f t="shared" si="16"/>
        <v>0</v>
      </c>
      <c r="Y144" s="48">
        <v>0</v>
      </c>
      <c r="AA144" s="1">
        <v>8</v>
      </c>
      <c r="AB144" s="1" t="s">
        <v>16</v>
      </c>
      <c r="AC144" s="1" t="s">
        <v>22</v>
      </c>
      <c r="AD144" s="1">
        <v>27</v>
      </c>
      <c r="AE144" s="1">
        <v>23</v>
      </c>
      <c r="AF144" s="1">
        <v>0.8</v>
      </c>
      <c r="AG144" s="1">
        <v>0.9</v>
      </c>
      <c r="AH144" s="1">
        <v>0</v>
      </c>
      <c r="AI144" s="1">
        <v>0</v>
      </c>
      <c r="AJ144" s="1">
        <f t="shared" si="12"/>
        <v>0</v>
      </c>
      <c r="AK144" s="1">
        <f>D25</f>
        <v>0</v>
      </c>
      <c r="AL144" s="1">
        <f>D31</f>
        <v>0</v>
      </c>
      <c r="AM144" s="1">
        <f t="shared" si="13"/>
        <v>0</v>
      </c>
      <c r="AN144" s="1">
        <f t="shared" si="14"/>
        <v>0</v>
      </c>
      <c r="AO144" s="1">
        <f t="shared" si="15"/>
        <v>0</v>
      </c>
      <c r="AP144" t="b" cm="1">
        <f t="array" ref="AP144">INDEX($AU$8:$BB$25,6*(R144-1)+MATCH(AB144,$AS$8:$AS$13,0),MATCH(O144,$AU$7:$BB$7,0))</f>
        <v>1</v>
      </c>
    </row>
    <row r="145" spans="15:42" ht="14.25" x14ac:dyDescent="0.45">
      <c r="O145" s="43" t="s">
        <v>30</v>
      </c>
      <c r="P145" s="43">
        <v>1</v>
      </c>
      <c r="Q145" s="43">
        <v>3</v>
      </c>
      <c r="R145" s="43">
        <v>3</v>
      </c>
      <c r="S145" s="45"/>
      <c r="T145" t="b">
        <f>(S143+S144+S145)=O2</f>
        <v>0</v>
      </c>
      <c r="X145" s="1">
        <f t="shared" si="16"/>
        <v>0</v>
      </c>
      <c r="Y145" s="48">
        <v>0</v>
      </c>
      <c r="AA145" s="1">
        <v>8</v>
      </c>
      <c r="AB145" s="1" t="s">
        <v>16</v>
      </c>
      <c r="AC145" s="1" t="s">
        <v>22</v>
      </c>
      <c r="AD145" s="1">
        <v>27</v>
      </c>
      <c r="AE145" s="1">
        <v>23</v>
      </c>
      <c r="AF145" s="1">
        <v>0.8</v>
      </c>
      <c r="AG145" s="1">
        <v>0.9</v>
      </c>
      <c r="AH145" s="1">
        <v>0</v>
      </c>
      <c r="AI145" s="1">
        <v>0</v>
      </c>
      <c r="AJ145" s="1">
        <f t="shared" si="12"/>
        <v>0</v>
      </c>
      <c r="AK145" s="1">
        <f>E25</f>
        <v>0</v>
      </c>
      <c r="AL145" s="1">
        <f>E31</f>
        <v>0</v>
      </c>
      <c r="AM145" s="1">
        <f t="shared" si="13"/>
        <v>0</v>
      </c>
      <c r="AN145" s="1">
        <f t="shared" si="14"/>
        <v>0</v>
      </c>
      <c r="AO145" s="1">
        <f t="shared" si="15"/>
        <v>0</v>
      </c>
      <c r="AP145" t="b" cm="1">
        <f t="array" ref="AP145">INDEX($AU$8:$BB$25,6*(R145-1)+MATCH(AB145,$AS$8:$AS$13,0),MATCH(O145,$AU$7:$BB$7,0))</f>
        <v>1</v>
      </c>
    </row>
    <row r="146" spans="15:42" ht="14.25" x14ac:dyDescent="0.45">
      <c r="O146" s="43" t="s">
        <v>30</v>
      </c>
      <c r="P146" s="43">
        <v>1</v>
      </c>
      <c r="Q146" s="43">
        <v>4</v>
      </c>
      <c r="R146" s="43">
        <v>1</v>
      </c>
      <c r="S146" s="45"/>
      <c r="T146" t="b">
        <f>(S146+S147+S148)=O2</f>
        <v>0</v>
      </c>
      <c r="X146" s="1">
        <f t="shared" si="16"/>
        <v>0</v>
      </c>
      <c r="Y146" s="48">
        <v>0</v>
      </c>
      <c r="AA146" s="1">
        <v>3</v>
      </c>
      <c r="AB146" s="1" t="s">
        <v>10</v>
      </c>
      <c r="AC146" s="1" t="s">
        <v>17</v>
      </c>
      <c r="AD146" s="1">
        <v>20</v>
      </c>
      <c r="AE146" s="1">
        <v>16</v>
      </c>
      <c r="AF146" s="1">
        <v>0.78</v>
      </c>
      <c r="AG146" s="1">
        <v>0.84</v>
      </c>
      <c r="AH146" s="1">
        <v>0</v>
      </c>
      <c r="AI146" s="1">
        <v>0</v>
      </c>
      <c r="AJ146" s="1">
        <f t="shared" si="12"/>
        <v>0</v>
      </c>
      <c r="AK146" s="1">
        <f>C20</f>
        <v>0</v>
      </c>
      <c r="AL146" s="1">
        <f>C26</f>
        <v>0</v>
      </c>
      <c r="AM146" s="1">
        <f t="shared" si="13"/>
        <v>0</v>
      </c>
      <c r="AN146" s="1">
        <f t="shared" si="14"/>
        <v>0</v>
      </c>
      <c r="AO146" s="1">
        <f t="shared" si="15"/>
        <v>0</v>
      </c>
      <c r="AP146" t="b" cm="1">
        <f t="array" ref="AP146">INDEX($AU$8:$BB$25,6*(R146-1)+MATCH(AB146,$AS$8:$AS$13,0),MATCH(O146,$AU$7:$BB$7,0))</f>
        <v>1</v>
      </c>
    </row>
    <row r="147" spans="15:42" ht="14.25" x14ac:dyDescent="0.45">
      <c r="O147" s="43" t="s">
        <v>30</v>
      </c>
      <c r="P147" s="43">
        <v>1</v>
      </c>
      <c r="Q147" s="43">
        <v>4</v>
      </c>
      <c r="R147" s="43">
        <v>2</v>
      </c>
      <c r="S147" s="45"/>
      <c r="T147" t="b">
        <f>(S146+S147+S148)=O2</f>
        <v>0</v>
      </c>
      <c r="X147" s="1">
        <f t="shared" si="16"/>
        <v>0</v>
      </c>
      <c r="Y147" s="48">
        <v>0</v>
      </c>
      <c r="AA147" s="1">
        <v>3</v>
      </c>
      <c r="AB147" s="1" t="s">
        <v>10</v>
      </c>
      <c r="AC147" s="1" t="s">
        <v>17</v>
      </c>
      <c r="AD147" s="1">
        <v>20</v>
      </c>
      <c r="AE147" s="1">
        <v>16</v>
      </c>
      <c r="AF147" s="1">
        <v>0.78</v>
      </c>
      <c r="AG147" s="1">
        <v>0.84</v>
      </c>
      <c r="AH147" s="1">
        <v>0</v>
      </c>
      <c r="AI147" s="1">
        <v>0</v>
      </c>
      <c r="AJ147" s="1">
        <f t="shared" si="12"/>
        <v>0</v>
      </c>
      <c r="AK147" s="1">
        <f>D20</f>
        <v>0</v>
      </c>
      <c r="AL147" s="1">
        <f>D26</f>
        <v>0</v>
      </c>
      <c r="AM147" s="1">
        <f t="shared" si="13"/>
        <v>0</v>
      </c>
      <c r="AN147" s="1">
        <f t="shared" si="14"/>
        <v>0</v>
      </c>
      <c r="AO147" s="1">
        <f t="shared" si="15"/>
        <v>0</v>
      </c>
      <c r="AP147" t="b" cm="1">
        <f t="array" ref="AP147">INDEX($AU$8:$BB$25,6*(R147-1)+MATCH(AB147,$AS$8:$AS$13,0),MATCH(O147,$AU$7:$BB$7,0))</f>
        <v>1</v>
      </c>
    </row>
    <row r="148" spans="15:42" ht="14.25" x14ac:dyDescent="0.45">
      <c r="O148" s="43" t="s">
        <v>30</v>
      </c>
      <c r="P148" s="43">
        <v>1</v>
      </c>
      <c r="Q148" s="43">
        <v>4</v>
      </c>
      <c r="R148" s="43">
        <v>3</v>
      </c>
      <c r="S148" s="45"/>
      <c r="T148" t="b">
        <f>(S146+S147+S148)=O2</f>
        <v>0</v>
      </c>
      <c r="X148" s="1">
        <f t="shared" si="16"/>
        <v>0</v>
      </c>
      <c r="Y148" s="48">
        <v>0</v>
      </c>
      <c r="AA148" s="1">
        <v>3</v>
      </c>
      <c r="AB148" s="1" t="s">
        <v>10</v>
      </c>
      <c r="AC148" s="1" t="s">
        <v>17</v>
      </c>
      <c r="AD148" s="1">
        <v>20</v>
      </c>
      <c r="AE148" s="1">
        <v>16</v>
      </c>
      <c r="AF148" s="1">
        <v>0.78</v>
      </c>
      <c r="AG148" s="1">
        <v>0.84</v>
      </c>
      <c r="AH148" s="1">
        <v>0</v>
      </c>
      <c r="AI148" s="1">
        <v>0</v>
      </c>
      <c r="AJ148" s="1">
        <f t="shared" si="12"/>
        <v>0</v>
      </c>
      <c r="AK148" s="1">
        <f>E20</f>
        <v>0</v>
      </c>
      <c r="AL148" s="1">
        <f>E26</f>
        <v>0</v>
      </c>
      <c r="AM148" s="1">
        <f t="shared" si="13"/>
        <v>0</v>
      </c>
      <c r="AN148" s="1">
        <f t="shared" si="14"/>
        <v>0</v>
      </c>
      <c r="AO148" s="1">
        <f t="shared" si="15"/>
        <v>0</v>
      </c>
      <c r="AP148" t="b" cm="1">
        <f t="array" ref="AP148">INDEX($AU$8:$BB$25,6*(R148-1)+MATCH(AB148,$AS$8:$AS$13,0),MATCH(O148,$AU$7:$BB$7,0))</f>
        <v>1</v>
      </c>
    </row>
    <row r="149" spans="15:42" ht="14.25" x14ac:dyDescent="0.45">
      <c r="O149" s="43" t="s">
        <v>30</v>
      </c>
      <c r="P149" s="43">
        <v>1</v>
      </c>
      <c r="Q149" s="43">
        <v>5</v>
      </c>
      <c r="R149" s="43">
        <v>1</v>
      </c>
      <c r="S149" s="45"/>
      <c r="T149" t="b">
        <f>(S149+S150+S151)=O2</f>
        <v>0</v>
      </c>
      <c r="X149" s="1">
        <f t="shared" si="16"/>
        <v>0</v>
      </c>
      <c r="Y149" s="48">
        <v>0</v>
      </c>
      <c r="AA149" s="1">
        <v>11</v>
      </c>
      <c r="AB149" s="1" t="s">
        <v>16</v>
      </c>
      <c r="AC149" s="1" t="s">
        <v>22</v>
      </c>
      <c r="AD149" s="1">
        <v>12</v>
      </c>
      <c r="AE149" s="1">
        <v>9</v>
      </c>
      <c r="AF149" s="1">
        <v>0.8</v>
      </c>
      <c r="AG149" s="1">
        <v>0.9</v>
      </c>
      <c r="AH149" s="1">
        <v>0</v>
      </c>
      <c r="AI149" s="1">
        <v>0</v>
      </c>
      <c r="AJ149" s="1">
        <f t="shared" si="12"/>
        <v>0</v>
      </c>
      <c r="AK149" s="1">
        <f>C25</f>
        <v>0</v>
      </c>
      <c r="AL149" s="1">
        <f>C31</f>
        <v>0</v>
      </c>
      <c r="AM149" s="1">
        <f t="shared" si="13"/>
        <v>0</v>
      </c>
      <c r="AN149" s="1">
        <f t="shared" si="14"/>
        <v>0</v>
      </c>
      <c r="AO149" s="1">
        <f t="shared" si="15"/>
        <v>0</v>
      </c>
      <c r="AP149" t="b" cm="1">
        <f t="array" ref="AP149">INDEX($AU$8:$BB$25,6*(R149-1)+MATCH(AB149,$AS$8:$AS$13,0),MATCH(O149,$AU$7:$BB$7,0))</f>
        <v>1</v>
      </c>
    </row>
    <row r="150" spans="15:42" ht="14.25" x14ac:dyDescent="0.45">
      <c r="O150" s="43" t="s">
        <v>30</v>
      </c>
      <c r="P150" s="43">
        <v>1</v>
      </c>
      <c r="Q150" s="43">
        <v>5</v>
      </c>
      <c r="R150" s="43">
        <v>2</v>
      </c>
      <c r="S150" s="45"/>
      <c r="T150" t="b">
        <f>(S149+S150+S151)=O2</f>
        <v>0</v>
      </c>
      <c r="X150" s="1">
        <f t="shared" si="16"/>
        <v>0</v>
      </c>
      <c r="Y150" s="48">
        <v>0</v>
      </c>
      <c r="AA150" s="1">
        <v>11</v>
      </c>
      <c r="AB150" s="1" t="s">
        <v>16</v>
      </c>
      <c r="AC150" s="1" t="s">
        <v>22</v>
      </c>
      <c r="AD150" s="1">
        <v>12</v>
      </c>
      <c r="AE150" s="1">
        <v>9</v>
      </c>
      <c r="AF150" s="1">
        <v>0.8</v>
      </c>
      <c r="AG150" s="1">
        <v>0.9</v>
      </c>
      <c r="AH150" s="1">
        <v>0</v>
      </c>
      <c r="AI150" s="1">
        <v>0</v>
      </c>
      <c r="AJ150" s="1">
        <f t="shared" si="12"/>
        <v>0</v>
      </c>
      <c r="AK150" s="1">
        <f>D25</f>
        <v>0</v>
      </c>
      <c r="AL150" s="1">
        <f>D31</f>
        <v>0</v>
      </c>
      <c r="AM150" s="1">
        <f t="shared" si="13"/>
        <v>0</v>
      </c>
      <c r="AN150" s="1">
        <f t="shared" si="14"/>
        <v>0</v>
      </c>
      <c r="AO150" s="1">
        <f t="shared" si="15"/>
        <v>0</v>
      </c>
      <c r="AP150" t="b" cm="1">
        <f t="array" ref="AP150">INDEX($AU$8:$BB$25,6*(R150-1)+MATCH(AB150,$AS$8:$AS$13,0),MATCH(O150,$AU$7:$BB$7,0))</f>
        <v>1</v>
      </c>
    </row>
    <row r="151" spans="15:42" ht="14.25" x14ac:dyDescent="0.45">
      <c r="O151" s="43" t="s">
        <v>30</v>
      </c>
      <c r="P151" s="43">
        <v>1</v>
      </c>
      <c r="Q151" s="43">
        <v>5</v>
      </c>
      <c r="R151" s="43">
        <v>3</v>
      </c>
      <c r="S151" s="45"/>
      <c r="T151" t="b">
        <f>(S149+S150+S151)=O2</f>
        <v>0</v>
      </c>
      <c r="X151" s="1">
        <f t="shared" si="16"/>
        <v>0</v>
      </c>
      <c r="Y151" s="48">
        <v>0</v>
      </c>
      <c r="AA151" s="1">
        <v>11</v>
      </c>
      <c r="AB151" s="1" t="s">
        <v>16</v>
      </c>
      <c r="AC151" s="1" t="s">
        <v>22</v>
      </c>
      <c r="AD151" s="1">
        <v>12</v>
      </c>
      <c r="AE151" s="1">
        <v>9</v>
      </c>
      <c r="AF151" s="1">
        <v>0.8</v>
      </c>
      <c r="AG151" s="1">
        <v>0.9</v>
      </c>
      <c r="AH151" s="1">
        <v>0</v>
      </c>
      <c r="AI151" s="1">
        <v>0</v>
      </c>
      <c r="AJ151" s="1">
        <f t="shared" si="12"/>
        <v>0</v>
      </c>
      <c r="AK151" s="1">
        <f>E25</f>
        <v>0</v>
      </c>
      <c r="AL151" s="1">
        <f>E31</f>
        <v>0</v>
      </c>
      <c r="AM151" s="1">
        <f t="shared" si="13"/>
        <v>0</v>
      </c>
      <c r="AN151" s="1">
        <f t="shared" si="14"/>
        <v>0</v>
      </c>
      <c r="AO151" s="1">
        <f t="shared" si="15"/>
        <v>0</v>
      </c>
      <c r="AP151" t="b" cm="1">
        <f t="array" ref="AP151">INDEX($AU$8:$BB$25,6*(R151-1)+MATCH(AB151,$AS$8:$AS$13,0),MATCH(O151,$AU$7:$BB$7,0))</f>
        <v>1</v>
      </c>
    </row>
    <row r="152" spans="15:42" ht="14.25" x14ac:dyDescent="0.45">
      <c r="O152" s="43" t="s">
        <v>30</v>
      </c>
      <c r="P152" s="43">
        <v>1</v>
      </c>
      <c r="Q152" s="43">
        <v>6</v>
      </c>
      <c r="R152" s="43">
        <v>1</v>
      </c>
      <c r="S152" s="45"/>
      <c r="T152" t="b">
        <f>(S152+S153+S154)=O2</f>
        <v>0</v>
      </c>
      <c r="X152" s="1">
        <f t="shared" si="16"/>
        <v>0</v>
      </c>
      <c r="Y152" s="48">
        <v>0</v>
      </c>
      <c r="AA152" s="1">
        <v>7</v>
      </c>
      <c r="AB152" s="1" t="s">
        <v>14</v>
      </c>
      <c r="AC152" s="1" t="s">
        <v>20</v>
      </c>
      <c r="AD152" s="1">
        <v>27</v>
      </c>
      <c r="AE152" s="1">
        <v>21</v>
      </c>
      <c r="AF152" s="1">
        <v>0.8</v>
      </c>
      <c r="AG152" s="1">
        <v>0.88</v>
      </c>
      <c r="AH152" s="1">
        <v>0</v>
      </c>
      <c r="AI152" s="1">
        <v>0</v>
      </c>
      <c r="AJ152" s="1">
        <f t="shared" si="12"/>
        <v>0</v>
      </c>
      <c r="AK152" s="1">
        <f>C23</f>
        <v>0</v>
      </c>
      <c r="AL152" s="1">
        <f>C29</f>
        <v>0</v>
      </c>
      <c r="AM152" s="1">
        <f t="shared" si="13"/>
        <v>0</v>
      </c>
      <c r="AN152" s="1">
        <f t="shared" si="14"/>
        <v>0</v>
      </c>
      <c r="AO152" s="1">
        <f t="shared" si="15"/>
        <v>0</v>
      </c>
      <c r="AP152" t="b" cm="1">
        <f t="array" ref="AP152">INDEX($AU$8:$BB$25,6*(R152-1)+MATCH(AB152,$AS$8:$AS$13,0),MATCH(O152,$AU$7:$BB$7,0))</f>
        <v>1</v>
      </c>
    </row>
    <row r="153" spans="15:42" ht="14.25" x14ac:dyDescent="0.45">
      <c r="O153" s="43" t="s">
        <v>30</v>
      </c>
      <c r="P153" s="43">
        <v>1</v>
      </c>
      <c r="Q153" s="43">
        <v>6</v>
      </c>
      <c r="R153" s="43">
        <v>2</v>
      </c>
      <c r="S153" s="45"/>
      <c r="T153" t="b">
        <f>(S152+S153+S154)=O2</f>
        <v>0</v>
      </c>
      <c r="X153" s="1">
        <f t="shared" si="16"/>
        <v>0</v>
      </c>
      <c r="Y153" s="48">
        <v>0</v>
      </c>
      <c r="AA153" s="1">
        <v>7</v>
      </c>
      <c r="AB153" s="1" t="s">
        <v>14</v>
      </c>
      <c r="AC153" s="1" t="s">
        <v>20</v>
      </c>
      <c r="AD153" s="1">
        <v>27</v>
      </c>
      <c r="AE153" s="1">
        <v>21</v>
      </c>
      <c r="AF153" s="1">
        <v>0.8</v>
      </c>
      <c r="AG153" s="1">
        <v>0.88</v>
      </c>
      <c r="AH153" s="1">
        <v>0</v>
      </c>
      <c r="AI153" s="1">
        <v>0</v>
      </c>
      <c r="AJ153" s="1">
        <f t="shared" si="12"/>
        <v>0</v>
      </c>
      <c r="AK153" s="1">
        <f>D23</f>
        <v>0</v>
      </c>
      <c r="AL153" s="1">
        <f>D29</f>
        <v>0</v>
      </c>
      <c r="AM153" s="1">
        <f t="shared" si="13"/>
        <v>0</v>
      </c>
      <c r="AN153" s="1">
        <f t="shared" si="14"/>
        <v>0</v>
      </c>
      <c r="AO153" s="1">
        <f t="shared" si="15"/>
        <v>0</v>
      </c>
      <c r="AP153" t="b" cm="1">
        <f t="array" ref="AP153">INDEX($AU$8:$BB$25,6*(R153-1)+MATCH(AB153,$AS$8:$AS$13,0),MATCH(O153,$AU$7:$BB$7,0))</f>
        <v>1</v>
      </c>
    </row>
    <row r="154" spans="15:42" ht="14.25" x14ac:dyDescent="0.45">
      <c r="O154" s="43" t="s">
        <v>30</v>
      </c>
      <c r="P154" s="43">
        <v>1</v>
      </c>
      <c r="Q154" s="43">
        <v>6</v>
      </c>
      <c r="R154" s="43">
        <v>3</v>
      </c>
      <c r="S154" s="45"/>
      <c r="T154" t="b">
        <f>(S152+S153+S154)=O2</f>
        <v>0</v>
      </c>
      <c r="X154" s="1">
        <f t="shared" si="16"/>
        <v>0</v>
      </c>
      <c r="Y154" s="48">
        <v>0</v>
      </c>
      <c r="AA154" s="1">
        <v>7</v>
      </c>
      <c r="AB154" s="1" t="s">
        <v>14</v>
      </c>
      <c r="AC154" s="1" t="s">
        <v>20</v>
      </c>
      <c r="AD154" s="1">
        <v>27</v>
      </c>
      <c r="AE154" s="1">
        <v>21</v>
      </c>
      <c r="AF154" s="1">
        <v>0.8</v>
      </c>
      <c r="AG154" s="1">
        <v>0.88</v>
      </c>
      <c r="AH154" s="1">
        <v>0</v>
      </c>
      <c r="AI154" s="1">
        <v>0</v>
      </c>
      <c r="AJ154" s="1">
        <f t="shared" si="12"/>
        <v>0</v>
      </c>
      <c r="AK154" s="1">
        <f>E23</f>
        <v>0</v>
      </c>
      <c r="AL154" s="1">
        <f>E29</f>
        <v>0</v>
      </c>
      <c r="AM154" s="1">
        <f t="shared" si="13"/>
        <v>0</v>
      </c>
      <c r="AN154" s="1">
        <f t="shared" si="14"/>
        <v>0</v>
      </c>
      <c r="AO154" s="1">
        <f t="shared" si="15"/>
        <v>0</v>
      </c>
      <c r="AP154" t="b" cm="1">
        <f t="array" ref="AP154">INDEX($AU$8:$BB$25,6*(R154-1)+MATCH(AB154,$AS$8:$AS$13,0),MATCH(O154,$AU$7:$BB$7,0))</f>
        <v>1</v>
      </c>
    </row>
    <row r="155" spans="15:42" ht="14.25" x14ac:dyDescent="0.45">
      <c r="O155" s="43" t="s">
        <v>30</v>
      </c>
      <c r="P155" s="43">
        <v>1</v>
      </c>
      <c r="Q155" s="43">
        <v>7</v>
      </c>
      <c r="R155" s="43">
        <v>1</v>
      </c>
      <c r="S155" s="45"/>
      <c r="T155" t="b">
        <f>(S155+S156+S157)=O2</f>
        <v>0</v>
      </c>
      <c r="X155" s="1">
        <f t="shared" si="16"/>
        <v>0</v>
      </c>
      <c r="Y155" s="48">
        <v>0</v>
      </c>
      <c r="AA155" s="1">
        <v>9</v>
      </c>
      <c r="AB155" s="1" t="s">
        <v>14</v>
      </c>
      <c r="AC155" s="1" t="s">
        <v>20</v>
      </c>
      <c r="AD155" s="1">
        <v>17</v>
      </c>
      <c r="AE155" s="1">
        <v>13</v>
      </c>
      <c r="AF155" s="1">
        <v>0.8</v>
      </c>
      <c r="AG155" s="1">
        <v>0.88</v>
      </c>
      <c r="AH155" s="1">
        <v>0</v>
      </c>
      <c r="AI155" s="1">
        <v>0</v>
      </c>
      <c r="AJ155" s="1">
        <f t="shared" si="12"/>
        <v>0</v>
      </c>
      <c r="AK155" s="1">
        <f>C23</f>
        <v>0</v>
      </c>
      <c r="AL155" s="1">
        <f>C29</f>
        <v>0</v>
      </c>
      <c r="AM155" s="1">
        <f t="shared" si="13"/>
        <v>0</v>
      </c>
      <c r="AN155" s="1">
        <f t="shared" si="14"/>
        <v>0</v>
      </c>
      <c r="AO155" s="1">
        <f t="shared" si="15"/>
        <v>0</v>
      </c>
      <c r="AP155" t="b" cm="1">
        <f t="array" ref="AP155">INDEX($AU$8:$BB$25,6*(R155-1)+MATCH(AB155,$AS$8:$AS$13,0),MATCH(O155,$AU$7:$BB$7,0))</f>
        <v>1</v>
      </c>
    </row>
    <row r="156" spans="15:42" ht="14.25" x14ac:dyDescent="0.45">
      <c r="O156" s="43" t="s">
        <v>30</v>
      </c>
      <c r="P156" s="43">
        <v>1</v>
      </c>
      <c r="Q156" s="43">
        <v>7</v>
      </c>
      <c r="R156" s="43">
        <v>2</v>
      </c>
      <c r="S156" s="45"/>
      <c r="T156" t="b">
        <f>(S155+S156+S157)=O2</f>
        <v>0</v>
      </c>
      <c r="X156" s="1">
        <f t="shared" si="16"/>
        <v>0</v>
      </c>
      <c r="Y156" s="48">
        <v>0</v>
      </c>
      <c r="AA156" s="1">
        <v>9</v>
      </c>
      <c r="AB156" s="1" t="s">
        <v>14</v>
      </c>
      <c r="AC156" s="1" t="s">
        <v>20</v>
      </c>
      <c r="AD156" s="1">
        <v>17</v>
      </c>
      <c r="AE156" s="1">
        <v>13</v>
      </c>
      <c r="AF156" s="1">
        <v>0.8</v>
      </c>
      <c r="AG156" s="1">
        <v>0.88</v>
      </c>
      <c r="AH156" s="1">
        <v>0</v>
      </c>
      <c r="AI156" s="1">
        <v>0</v>
      </c>
      <c r="AJ156" s="1">
        <f t="shared" si="12"/>
        <v>0</v>
      </c>
      <c r="AK156" s="1">
        <f>D23</f>
        <v>0</v>
      </c>
      <c r="AL156" s="1">
        <f>D29</f>
        <v>0</v>
      </c>
      <c r="AM156" s="1">
        <f t="shared" si="13"/>
        <v>0</v>
      </c>
      <c r="AN156" s="1">
        <f t="shared" si="14"/>
        <v>0</v>
      </c>
      <c r="AO156" s="1">
        <f t="shared" si="15"/>
        <v>0</v>
      </c>
      <c r="AP156" t="b" cm="1">
        <f t="array" ref="AP156">INDEX($AU$8:$BB$25,6*(R156-1)+MATCH(AB156,$AS$8:$AS$13,0),MATCH(O156,$AU$7:$BB$7,0))</f>
        <v>1</v>
      </c>
    </row>
    <row r="157" spans="15:42" ht="14.25" x14ac:dyDescent="0.45">
      <c r="O157" s="43" t="s">
        <v>30</v>
      </c>
      <c r="P157" s="43">
        <v>1</v>
      </c>
      <c r="Q157" s="43">
        <v>7</v>
      </c>
      <c r="R157" s="43">
        <v>3</v>
      </c>
      <c r="S157" s="45"/>
      <c r="T157" t="b">
        <f>(S155+S156+S157)=O2</f>
        <v>0</v>
      </c>
      <c r="X157" s="1">
        <f t="shared" si="16"/>
        <v>0</v>
      </c>
      <c r="Y157" s="48">
        <v>0</v>
      </c>
      <c r="AA157" s="1">
        <v>9</v>
      </c>
      <c r="AB157" s="1" t="s">
        <v>14</v>
      </c>
      <c r="AC157" s="1" t="s">
        <v>20</v>
      </c>
      <c r="AD157" s="1">
        <v>17</v>
      </c>
      <c r="AE157" s="1">
        <v>13</v>
      </c>
      <c r="AF157" s="1">
        <v>0.8</v>
      </c>
      <c r="AG157" s="1">
        <v>0.88</v>
      </c>
      <c r="AH157" s="1">
        <v>0</v>
      </c>
      <c r="AI157" s="1">
        <v>0</v>
      </c>
      <c r="AJ157" s="1">
        <f t="shared" si="12"/>
        <v>0</v>
      </c>
      <c r="AK157" s="1">
        <f>E23</f>
        <v>0</v>
      </c>
      <c r="AL157" s="1">
        <f>E29</f>
        <v>0</v>
      </c>
      <c r="AM157" s="1">
        <f t="shared" si="13"/>
        <v>0</v>
      </c>
      <c r="AN157" s="1">
        <f t="shared" si="14"/>
        <v>0</v>
      </c>
      <c r="AO157" s="1">
        <f t="shared" si="15"/>
        <v>0</v>
      </c>
      <c r="AP157" t="b" cm="1">
        <f t="array" ref="AP157">INDEX($AU$8:$BB$25,6*(R157-1)+MATCH(AB157,$AS$8:$AS$13,0),MATCH(O157,$AU$7:$BB$7,0))</f>
        <v>1</v>
      </c>
    </row>
    <row r="158" spans="15:42" ht="14.25" x14ac:dyDescent="0.45">
      <c r="O158" s="43" t="s">
        <v>30</v>
      </c>
      <c r="P158" s="43">
        <v>1</v>
      </c>
      <c r="Q158" s="43">
        <v>8</v>
      </c>
      <c r="R158" s="43">
        <v>1</v>
      </c>
      <c r="S158" s="45"/>
      <c r="T158" t="b">
        <f>(S158+S159+S160)=O2</f>
        <v>0</v>
      </c>
      <c r="X158" s="1">
        <f t="shared" si="16"/>
        <v>0</v>
      </c>
      <c r="Y158" s="48">
        <v>0</v>
      </c>
      <c r="AA158" s="1">
        <v>1</v>
      </c>
      <c r="AB158" s="1" t="s">
        <v>10</v>
      </c>
      <c r="AC158" s="1" t="s">
        <v>17</v>
      </c>
      <c r="AD158" s="1">
        <v>18</v>
      </c>
      <c r="AE158" s="1">
        <v>16</v>
      </c>
      <c r="AF158" s="1">
        <v>0.78</v>
      </c>
      <c r="AG158" s="1">
        <v>0.84</v>
      </c>
      <c r="AH158" s="1">
        <v>0</v>
      </c>
      <c r="AI158" s="1">
        <v>0</v>
      </c>
      <c r="AJ158" s="1">
        <f t="shared" si="12"/>
        <v>0</v>
      </c>
      <c r="AK158" s="1">
        <f>C20</f>
        <v>0</v>
      </c>
      <c r="AL158" s="1">
        <f>C26</f>
        <v>0</v>
      </c>
      <c r="AM158" s="1">
        <f t="shared" si="13"/>
        <v>0</v>
      </c>
      <c r="AN158" s="1">
        <f t="shared" si="14"/>
        <v>0</v>
      </c>
      <c r="AO158" s="1">
        <f t="shared" si="15"/>
        <v>0</v>
      </c>
      <c r="AP158" t="b" cm="1">
        <f t="array" ref="AP158">INDEX($AU$8:$BB$25,6*(R158-1)+MATCH(AB158,$AS$8:$AS$13,0),MATCH(O158,$AU$7:$BB$7,0))</f>
        <v>1</v>
      </c>
    </row>
    <row r="159" spans="15:42" ht="14.25" x14ac:dyDescent="0.45">
      <c r="O159" s="43" t="s">
        <v>30</v>
      </c>
      <c r="P159" s="43">
        <v>1</v>
      </c>
      <c r="Q159" s="43">
        <v>8</v>
      </c>
      <c r="R159" s="43">
        <v>2</v>
      </c>
      <c r="S159" s="45"/>
      <c r="T159" t="b">
        <f>(S158+S159+S160)=O2</f>
        <v>0</v>
      </c>
      <c r="X159" s="1">
        <f t="shared" si="16"/>
        <v>0</v>
      </c>
      <c r="Y159" s="48">
        <v>0</v>
      </c>
      <c r="AA159" s="1">
        <v>1</v>
      </c>
      <c r="AB159" s="1" t="s">
        <v>10</v>
      </c>
      <c r="AC159" s="1" t="s">
        <v>17</v>
      </c>
      <c r="AD159" s="1">
        <v>18</v>
      </c>
      <c r="AE159" s="1">
        <v>16</v>
      </c>
      <c r="AF159" s="1">
        <v>0.78</v>
      </c>
      <c r="AG159" s="1">
        <v>0.84</v>
      </c>
      <c r="AH159" s="1">
        <v>0</v>
      </c>
      <c r="AI159" s="1">
        <v>0</v>
      </c>
      <c r="AJ159" s="1">
        <f t="shared" si="12"/>
        <v>0</v>
      </c>
      <c r="AK159" s="1">
        <f>D20</f>
        <v>0</v>
      </c>
      <c r="AL159" s="1">
        <f>D26</f>
        <v>0</v>
      </c>
      <c r="AM159" s="1">
        <f t="shared" si="13"/>
        <v>0</v>
      </c>
      <c r="AN159" s="1">
        <f t="shared" si="14"/>
        <v>0</v>
      </c>
      <c r="AO159" s="1">
        <f t="shared" si="15"/>
        <v>0</v>
      </c>
      <c r="AP159" t="b" cm="1">
        <f t="array" ref="AP159">INDEX($AU$8:$BB$25,6*(R159-1)+MATCH(AB159,$AS$8:$AS$13,0),MATCH(O159,$AU$7:$BB$7,0))</f>
        <v>1</v>
      </c>
    </row>
    <row r="160" spans="15:42" ht="14.25" x14ac:dyDescent="0.45">
      <c r="O160" s="43" t="s">
        <v>30</v>
      </c>
      <c r="P160" s="43">
        <v>1</v>
      </c>
      <c r="Q160" s="43">
        <v>8</v>
      </c>
      <c r="R160" s="43">
        <v>3</v>
      </c>
      <c r="S160" s="45"/>
      <c r="T160" t="b">
        <f>(S158+S159+S160)=O2</f>
        <v>0</v>
      </c>
      <c r="X160" s="1">
        <f t="shared" si="16"/>
        <v>0</v>
      </c>
      <c r="Y160" s="48">
        <v>0</v>
      </c>
      <c r="AA160" s="1">
        <v>1</v>
      </c>
      <c r="AB160" s="1" t="s">
        <v>10</v>
      </c>
      <c r="AC160" s="1" t="s">
        <v>17</v>
      </c>
      <c r="AD160" s="1">
        <v>18</v>
      </c>
      <c r="AE160" s="1">
        <v>16</v>
      </c>
      <c r="AF160" s="1">
        <v>0.78</v>
      </c>
      <c r="AG160" s="1">
        <v>0.84</v>
      </c>
      <c r="AH160" s="1">
        <v>0</v>
      </c>
      <c r="AI160" s="1">
        <v>0</v>
      </c>
      <c r="AJ160" s="1">
        <f t="shared" si="12"/>
        <v>0</v>
      </c>
      <c r="AK160" s="1">
        <f>E20</f>
        <v>0</v>
      </c>
      <c r="AL160" s="1">
        <f>E26</f>
        <v>0</v>
      </c>
      <c r="AM160" s="1">
        <f t="shared" si="13"/>
        <v>0</v>
      </c>
      <c r="AN160" s="1">
        <f t="shared" si="14"/>
        <v>0</v>
      </c>
      <c r="AO160" s="1">
        <f t="shared" si="15"/>
        <v>0</v>
      </c>
      <c r="AP160" t="b" cm="1">
        <f t="array" ref="AP160">INDEX($AU$8:$BB$25,6*(R160-1)+MATCH(AB160,$AS$8:$AS$13,0),MATCH(O160,$AU$7:$BB$7,0))</f>
        <v>1</v>
      </c>
    </row>
    <row r="161" spans="15:42" ht="14.25" x14ac:dyDescent="0.45">
      <c r="O161" s="43" t="s">
        <v>30</v>
      </c>
      <c r="P161" s="43">
        <v>1</v>
      </c>
      <c r="Q161" s="43">
        <v>9</v>
      </c>
      <c r="R161" s="43">
        <v>1</v>
      </c>
      <c r="S161" s="45"/>
      <c r="T161" t="b">
        <f>(S161+S162+S163)=O2</f>
        <v>0</v>
      </c>
      <c r="X161" s="1">
        <f t="shared" si="16"/>
        <v>0</v>
      </c>
      <c r="Y161" s="48">
        <v>0</v>
      </c>
      <c r="AA161" s="1">
        <v>2</v>
      </c>
      <c r="AB161" s="1" t="s">
        <v>10</v>
      </c>
      <c r="AC161" s="1" t="s">
        <v>17</v>
      </c>
      <c r="AD161" s="1">
        <v>16</v>
      </c>
      <c r="AE161" s="1">
        <v>13</v>
      </c>
      <c r="AF161" s="1">
        <v>0.78</v>
      </c>
      <c r="AG161" s="1">
        <v>0.84</v>
      </c>
      <c r="AH161" s="1">
        <v>0</v>
      </c>
      <c r="AI161" s="1">
        <v>0</v>
      </c>
      <c r="AJ161" s="1">
        <f t="shared" si="12"/>
        <v>0</v>
      </c>
      <c r="AK161" s="1">
        <f>C20</f>
        <v>0</v>
      </c>
      <c r="AL161" s="1">
        <f>C26</f>
        <v>0</v>
      </c>
      <c r="AM161" s="1">
        <f t="shared" si="13"/>
        <v>0</v>
      </c>
      <c r="AN161" s="1">
        <f t="shared" si="14"/>
        <v>0</v>
      </c>
      <c r="AO161" s="1">
        <f t="shared" si="15"/>
        <v>0</v>
      </c>
      <c r="AP161" t="b" cm="1">
        <f t="array" ref="AP161">INDEX($AU$8:$BB$25,6*(R161-1)+MATCH(AB161,$AS$8:$AS$13,0),MATCH(O161,$AU$7:$BB$7,0))</f>
        <v>1</v>
      </c>
    </row>
    <row r="162" spans="15:42" ht="14.25" x14ac:dyDescent="0.45">
      <c r="O162" s="43" t="s">
        <v>30</v>
      </c>
      <c r="P162" s="43">
        <v>1</v>
      </c>
      <c r="Q162" s="43">
        <v>9</v>
      </c>
      <c r="R162" s="43">
        <v>2</v>
      </c>
      <c r="S162" s="45"/>
      <c r="T162" t="b">
        <f>(S161+S162+S163)=O2</f>
        <v>0</v>
      </c>
      <c r="X162" s="1">
        <f t="shared" si="16"/>
        <v>0</v>
      </c>
      <c r="Y162" s="48">
        <v>0</v>
      </c>
      <c r="AA162" s="1">
        <v>2</v>
      </c>
      <c r="AB162" s="1" t="s">
        <v>10</v>
      </c>
      <c r="AC162" s="1" t="s">
        <v>17</v>
      </c>
      <c r="AD162" s="1">
        <v>16</v>
      </c>
      <c r="AE162" s="1">
        <v>13</v>
      </c>
      <c r="AF162" s="1">
        <v>0.78</v>
      </c>
      <c r="AG162" s="1">
        <v>0.84</v>
      </c>
      <c r="AH162" s="1">
        <v>0</v>
      </c>
      <c r="AI162" s="1">
        <v>0</v>
      </c>
      <c r="AJ162" s="1">
        <f t="shared" si="12"/>
        <v>0</v>
      </c>
      <c r="AK162" s="1">
        <f>D20</f>
        <v>0</v>
      </c>
      <c r="AL162" s="1">
        <f>D26</f>
        <v>0</v>
      </c>
      <c r="AM162" s="1">
        <f t="shared" si="13"/>
        <v>0</v>
      </c>
      <c r="AN162" s="1">
        <f t="shared" si="14"/>
        <v>0</v>
      </c>
      <c r="AO162" s="1">
        <f t="shared" si="15"/>
        <v>0</v>
      </c>
      <c r="AP162" t="b" cm="1">
        <f t="array" ref="AP162">INDEX($AU$8:$BB$25,6*(R162-1)+MATCH(AB162,$AS$8:$AS$13,0),MATCH(O162,$AU$7:$BB$7,0))</f>
        <v>1</v>
      </c>
    </row>
    <row r="163" spans="15:42" ht="14.25" x14ac:dyDescent="0.45">
      <c r="O163" s="43" t="s">
        <v>30</v>
      </c>
      <c r="P163" s="43">
        <v>1</v>
      </c>
      <c r="Q163" s="43">
        <v>9</v>
      </c>
      <c r="R163" s="43">
        <v>3</v>
      </c>
      <c r="S163" s="45"/>
      <c r="T163" t="b">
        <f>(S161+S162+S163)=O2</f>
        <v>0</v>
      </c>
      <c r="X163" s="1">
        <f t="shared" si="16"/>
        <v>0</v>
      </c>
      <c r="Y163" s="48">
        <v>0</v>
      </c>
      <c r="AA163" s="1">
        <v>2</v>
      </c>
      <c r="AB163" s="1" t="s">
        <v>10</v>
      </c>
      <c r="AC163" s="1" t="s">
        <v>17</v>
      </c>
      <c r="AD163" s="1">
        <v>16</v>
      </c>
      <c r="AE163" s="1">
        <v>13</v>
      </c>
      <c r="AF163" s="1">
        <v>0.78</v>
      </c>
      <c r="AG163" s="1">
        <v>0.84</v>
      </c>
      <c r="AH163" s="1">
        <v>0</v>
      </c>
      <c r="AI163" s="1">
        <v>0</v>
      </c>
      <c r="AJ163" s="1">
        <f t="shared" si="12"/>
        <v>0</v>
      </c>
      <c r="AK163" s="1">
        <f>E20</f>
        <v>0</v>
      </c>
      <c r="AL163" s="1">
        <f>E26</f>
        <v>0</v>
      </c>
      <c r="AM163" s="1">
        <f t="shared" si="13"/>
        <v>0</v>
      </c>
      <c r="AN163" s="1">
        <f t="shared" si="14"/>
        <v>0</v>
      </c>
      <c r="AO163" s="1">
        <f t="shared" si="15"/>
        <v>0</v>
      </c>
      <c r="AP163" t="b" cm="1">
        <f t="array" ref="AP163">INDEX($AU$8:$BB$25,6*(R163-1)+MATCH(AB163,$AS$8:$AS$13,0),MATCH(O163,$AU$7:$BB$7,0))</f>
        <v>1</v>
      </c>
    </row>
    <row r="164" spans="15:42" ht="14.25" x14ac:dyDescent="0.45">
      <c r="O164" s="43" t="s">
        <v>30</v>
      </c>
      <c r="P164" s="43">
        <v>1</v>
      </c>
      <c r="Q164" s="43">
        <v>10</v>
      </c>
      <c r="R164" s="43">
        <v>1</v>
      </c>
      <c r="S164" s="45"/>
      <c r="T164" t="b">
        <f>(S164+S165+S166)=O2</f>
        <v>0</v>
      </c>
      <c r="X164" s="1">
        <f t="shared" si="16"/>
        <v>0</v>
      </c>
      <c r="Y164" s="48">
        <v>0</v>
      </c>
      <c r="AA164" s="1">
        <v>6</v>
      </c>
      <c r="AB164" s="1" t="s">
        <v>14</v>
      </c>
      <c r="AC164" s="1" t="s">
        <v>20</v>
      </c>
      <c r="AD164" s="1">
        <v>14</v>
      </c>
      <c r="AE164" s="1">
        <v>11</v>
      </c>
      <c r="AF164" s="1">
        <v>0.8</v>
      </c>
      <c r="AG164" s="1">
        <v>0.88</v>
      </c>
      <c r="AH164" s="1">
        <v>0</v>
      </c>
      <c r="AI164" s="1">
        <v>0</v>
      </c>
      <c r="AJ164" s="1">
        <f t="shared" si="12"/>
        <v>0</v>
      </c>
      <c r="AK164" s="1">
        <f>C23</f>
        <v>0</v>
      </c>
      <c r="AL164" s="1">
        <f>C29</f>
        <v>0</v>
      </c>
      <c r="AM164" s="1">
        <f t="shared" si="13"/>
        <v>0</v>
      </c>
      <c r="AN164" s="1">
        <f t="shared" si="14"/>
        <v>0</v>
      </c>
      <c r="AO164" s="1">
        <f t="shared" si="15"/>
        <v>0</v>
      </c>
      <c r="AP164" t="b" cm="1">
        <f t="array" ref="AP164">INDEX($AU$8:$BB$25,6*(R164-1)+MATCH(AB164,$AS$8:$AS$13,0),MATCH(O164,$AU$7:$BB$7,0))</f>
        <v>1</v>
      </c>
    </row>
    <row r="165" spans="15:42" ht="14.25" x14ac:dyDescent="0.45">
      <c r="O165" s="43" t="s">
        <v>30</v>
      </c>
      <c r="P165" s="43">
        <v>1</v>
      </c>
      <c r="Q165" s="43">
        <v>10</v>
      </c>
      <c r="R165" s="43">
        <v>2</v>
      </c>
      <c r="S165" s="45"/>
      <c r="T165" t="b">
        <f>(S164+S165+S166)=O2</f>
        <v>0</v>
      </c>
      <c r="X165" s="1">
        <f t="shared" si="16"/>
        <v>0</v>
      </c>
      <c r="Y165" s="48">
        <v>0</v>
      </c>
      <c r="AA165" s="1">
        <v>6</v>
      </c>
      <c r="AB165" s="1" t="s">
        <v>14</v>
      </c>
      <c r="AC165" s="1" t="s">
        <v>20</v>
      </c>
      <c r="AD165" s="1">
        <v>14</v>
      </c>
      <c r="AE165" s="1">
        <v>11</v>
      </c>
      <c r="AF165" s="1">
        <v>0.8</v>
      </c>
      <c r="AG165" s="1">
        <v>0.88</v>
      </c>
      <c r="AH165" s="1">
        <v>0</v>
      </c>
      <c r="AI165" s="1">
        <v>0</v>
      </c>
      <c r="AJ165" s="1">
        <f t="shared" si="12"/>
        <v>0</v>
      </c>
      <c r="AK165" s="1">
        <f>D23</f>
        <v>0</v>
      </c>
      <c r="AL165" s="1">
        <f>D29</f>
        <v>0</v>
      </c>
      <c r="AM165" s="1">
        <f t="shared" si="13"/>
        <v>0</v>
      </c>
      <c r="AN165" s="1">
        <f t="shared" si="14"/>
        <v>0</v>
      </c>
      <c r="AO165" s="1">
        <f t="shared" si="15"/>
        <v>0</v>
      </c>
      <c r="AP165" t="b" cm="1">
        <f t="array" ref="AP165">INDEX($AU$8:$BB$25,6*(R165-1)+MATCH(AB165,$AS$8:$AS$13,0),MATCH(O165,$AU$7:$BB$7,0))</f>
        <v>1</v>
      </c>
    </row>
    <row r="166" spans="15:42" ht="14.25" x14ac:dyDescent="0.45">
      <c r="O166" s="43" t="s">
        <v>30</v>
      </c>
      <c r="P166" s="43">
        <v>1</v>
      </c>
      <c r="Q166" s="43">
        <v>10</v>
      </c>
      <c r="R166" s="43">
        <v>3</v>
      </c>
      <c r="S166" s="45"/>
      <c r="T166" t="b">
        <f>(S164+S165+S166)=O2</f>
        <v>0</v>
      </c>
      <c r="X166" s="1">
        <f t="shared" si="16"/>
        <v>0</v>
      </c>
      <c r="Y166" s="48">
        <v>0</v>
      </c>
      <c r="AA166" s="1">
        <v>6</v>
      </c>
      <c r="AB166" s="1" t="s">
        <v>14</v>
      </c>
      <c r="AC166" s="1" t="s">
        <v>20</v>
      </c>
      <c r="AD166" s="1">
        <v>14</v>
      </c>
      <c r="AE166" s="1">
        <v>11</v>
      </c>
      <c r="AF166" s="1">
        <v>0.8</v>
      </c>
      <c r="AG166" s="1">
        <v>0.88</v>
      </c>
      <c r="AH166" s="1">
        <v>0</v>
      </c>
      <c r="AI166" s="1">
        <v>0</v>
      </c>
      <c r="AJ166" s="1">
        <f t="shared" si="12"/>
        <v>0</v>
      </c>
      <c r="AK166" s="1">
        <f>E23</f>
        <v>0</v>
      </c>
      <c r="AL166" s="1">
        <f>E29</f>
        <v>0</v>
      </c>
      <c r="AM166" s="1">
        <f t="shared" si="13"/>
        <v>0</v>
      </c>
      <c r="AN166" s="1">
        <f t="shared" si="14"/>
        <v>0</v>
      </c>
      <c r="AO166" s="1">
        <f t="shared" si="15"/>
        <v>0</v>
      </c>
      <c r="AP166" t="b" cm="1">
        <f t="array" ref="AP166">INDEX($AU$8:$BB$25,6*(R166-1)+MATCH(AB166,$AS$8:$AS$13,0),MATCH(O166,$AU$7:$BB$7,0))</f>
        <v>1</v>
      </c>
    </row>
    <row r="167" spans="15:42" ht="14.25" x14ac:dyDescent="0.45">
      <c r="O167" s="43" t="s">
        <v>30</v>
      </c>
      <c r="P167" s="43">
        <v>1</v>
      </c>
      <c r="Q167" s="43">
        <v>11</v>
      </c>
      <c r="R167" s="43">
        <v>1</v>
      </c>
      <c r="S167" s="45"/>
      <c r="T167" t="b">
        <f>(S167+S168+S169)=O2</f>
        <v>0</v>
      </c>
      <c r="X167" s="1">
        <f t="shared" si="16"/>
        <v>0</v>
      </c>
      <c r="Y167" s="48">
        <v>0</v>
      </c>
      <c r="AA167" s="1">
        <v>3</v>
      </c>
      <c r="AB167" s="1" t="s">
        <v>16</v>
      </c>
      <c r="AC167" s="1" t="s">
        <v>22</v>
      </c>
      <c r="AD167" s="1">
        <v>18</v>
      </c>
      <c r="AE167" s="1">
        <v>16</v>
      </c>
      <c r="AF167" s="1">
        <v>0.8</v>
      </c>
      <c r="AG167" s="1">
        <v>0.9</v>
      </c>
      <c r="AH167" s="1">
        <v>0</v>
      </c>
      <c r="AI167" s="1">
        <v>0</v>
      </c>
      <c r="AJ167" s="1">
        <f t="shared" si="12"/>
        <v>0</v>
      </c>
      <c r="AK167" s="1">
        <f>C25</f>
        <v>0</v>
      </c>
      <c r="AL167" s="1">
        <f>C31</f>
        <v>0</v>
      </c>
      <c r="AM167" s="1">
        <f t="shared" si="13"/>
        <v>0</v>
      </c>
      <c r="AN167" s="1">
        <f t="shared" si="14"/>
        <v>0</v>
      </c>
      <c r="AO167" s="1">
        <f t="shared" si="15"/>
        <v>0</v>
      </c>
      <c r="AP167" t="b" cm="1">
        <f t="array" ref="AP167">INDEX($AU$8:$BB$25,6*(R167-1)+MATCH(AB167,$AS$8:$AS$13,0),MATCH(O167,$AU$7:$BB$7,0))</f>
        <v>1</v>
      </c>
    </row>
    <row r="168" spans="15:42" ht="14.25" x14ac:dyDescent="0.45">
      <c r="O168" s="43" t="s">
        <v>30</v>
      </c>
      <c r="P168" s="43">
        <v>1</v>
      </c>
      <c r="Q168" s="43">
        <v>11</v>
      </c>
      <c r="R168" s="43">
        <v>2</v>
      </c>
      <c r="S168" s="45"/>
      <c r="T168" t="b">
        <f>(S167+S168+S169)=O2</f>
        <v>0</v>
      </c>
      <c r="X168" s="1">
        <f t="shared" si="16"/>
        <v>0</v>
      </c>
      <c r="Y168" s="48">
        <v>0</v>
      </c>
      <c r="AA168" s="1">
        <v>3</v>
      </c>
      <c r="AB168" s="1" t="s">
        <v>16</v>
      </c>
      <c r="AC168" s="1" t="s">
        <v>22</v>
      </c>
      <c r="AD168" s="1">
        <v>18</v>
      </c>
      <c r="AE168" s="1">
        <v>16</v>
      </c>
      <c r="AF168" s="1">
        <v>0.8</v>
      </c>
      <c r="AG168" s="1">
        <v>0.9</v>
      </c>
      <c r="AH168" s="1">
        <v>0</v>
      </c>
      <c r="AI168" s="1">
        <v>0</v>
      </c>
      <c r="AJ168" s="1">
        <f t="shared" si="12"/>
        <v>0</v>
      </c>
      <c r="AK168" s="1">
        <f>D25</f>
        <v>0</v>
      </c>
      <c r="AL168" s="1">
        <f>D31</f>
        <v>0</v>
      </c>
      <c r="AM168" s="1">
        <f t="shared" si="13"/>
        <v>0</v>
      </c>
      <c r="AN168" s="1">
        <f t="shared" si="14"/>
        <v>0</v>
      </c>
      <c r="AO168" s="1">
        <f t="shared" si="15"/>
        <v>0</v>
      </c>
      <c r="AP168" t="b" cm="1">
        <f t="array" ref="AP168">INDEX($AU$8:$BB$25,6*(R168-1)+MATCH(AB168,$AS$8:$AS$13,0),MATCH(O168,$AU$7:$BB$7,0))</f>
        <v>1</v>
      </c>
    </row>
    <row r="169" spans="15:42" ht="14.25" x14ac:dyDescent="0.45">
      <c r="O169" s="43" t="s">
        <v>30</v>
      </c>
      <c r="P169" s="43">
        <v>1</v>
      </c>
      <c r="Q169" s="43">
        <v>11</v>
      </c>
      <c r="R169" s="43">
        <v>3</v>
      </c>
      <c r="S169" s="45"/>
      <c r="T169" t="b">
        <f>(S167+S168+S169)=O2</f>
        <v>0</v>
      </c>
      <c r="X169" s="1">
        <f t="shared" si="16"/>
        <v>0</v>
      </c>
      <c r="Y169" s="48">
        <v>0</v>
      </c>
      <c r="AA169" s="1">
        <v>3</v>
      </c>
      <c r="AB169" s="1" t="s">
        <v>16</v>
      </c>
      <c r="AC169" s="1" t="s">
        <v>22</v>
      </c>
      <c r="AD169" s="1">
        <v>18</v>
      </c>
      <c r="AE169" s="1">
        <v>16</v>
      </c>
      <c r="AF169" s="1">
        <v>0.8</v>
      </c>
      <c r="AG169" s="1">
        <v>0.9</v>
      </c>
      <c r="AH169" s="1">
        <v>0</v>
      </c>
      <c r="AI169" s="1">
        <v>0</v>
      </c>
      <c r="AJ169" s="1">
        <f t="shared" si="12"/>
        <v>0</v>
      </c>
      <c r="AK169" s="1">
        <f>E25</f>
        <v>0</v>
      </c>
      <c r="AL169" s="1">
        <f>E31</f>
        <v>0</v>
      </c>
      <c r="AM169" s="1">
        <f t="shared" si="13"/>
        <v>0</v>
      </c>
      <c r="AN169" s="1">
        <f t="shared" si="14"/>
        <v>0</v>
      </c>
      <c r="AO169" s="1">
        <f t="shared" si="15"/>
        <v>0</v>
      </c>
      <c r="AP169" t="b" cm="1">
        <f t="array" ref="AP169">INDEX($AU$8:$BB$25,6*(R169-1)+MATCH(AB169,$AS$8:$AS$13,0),MATCH(O169,$AU$7:$BB$7,0))</f>
        <v>1</v>
      </c>
    </row>
    <row r="170" spans="15:42" ht="14.25" x14ac:dyDescent="0.45">
      <c r="O170" s="43" t="s">
        <v>30</v>
      </c>
      <c r="P170" s="43">
        <v>2</v>
      </c>
      <c r="Q170" s="43">
        <v>1</v>
      </c>
      <c r="R170" s="43">
        <v>1</v>
      </c>
      <c r="S170" s="45"/>
      <c r="T170" t="b">
        <f>(S170+S171+S172)=O3</f>
        <v>0</v>
      </c>
      <c r="X170" s="1">
        <v>0</v>
      </c>
      <c r="Y170" s="48">
        <v>0</v>
      </c>
      <c r="AA170" s="1">
        <v>9</v>
      </c>
      <c r="AB170" s="1" t="s">
        <v>16</v>
      </c>
      <c r="AC170" s="1" t="s">
        <v>22</v>
      </c>
      <c r="AD170" s="1">
        <v>19</v>
      </c>
      <c r="AE170" s="1">
        <v>16</v>
      </c>
      <c r="AF170" s="1">
        <v>0.8</v>
      </c>
      <c r="AG170" s="1">
        <v>0.9</v>
      </c>
      <c r="AH170" s="1">
        <v>0</v>
      </c>
      <c r="AI170" s="1">
        <v>0</v>
      </c>
      <c r="AJ170" s="1">
        <f t="shared" si="12"/>
        <v>0</v>
      </c>
      <c r="AK170" s="1">
        <f>C25</f>
        <v>0</v>
      </c>
      <c r="AL170" s="1">
        <f>C31</f>
        <v>0</v>
      </c>
      <c r="AM170" s="1">
        <f t="shared" si="13"/>
        <v>0</v>
      </c>
      <c r="AN170" s="1">
        <f t="shared" si="14"/>
        <v>0</v>
      </c>
      <c r="AO170" s="1">
        <f t="shared" si="15"/>
        <v>0</v>
      </c>
      <c r="AP170" t="b" cm="1">
        <f t="array" ref="AP170">INDEX($AU$8:$BB$25,6*(R170-1)+MATCH(AB170,$AS$8:$AS$13,0),MATCH(O170,$AU$7:$BB$7,0))</f>
        <v>1</v>
      </c>
    </row>
    <row r="171" spans="15:42" ht="14.25" x14ac:dyDescent="0.45">
      <c r="O171" s="43" t="s">
        <v>30</v>
      </c>
      <c r="P171" s="43">
        <v>2</v>
      </c>
      <c r="Q171" s="43">
        <v>1</v>
      </c>
      <c r="R171" s="43">
        <v>2</v>
      </c>
      <c r="S171" s="45"/>
      <c r="T171" t="b">
        <f>(S170+S171+S172)=O3</f>
        <v>0</v>
      </c>
      <c r="X171" s="1">
        <v>0</v>
      </c>
      <c r="Y171" s="48">
        <v>0</v>
      </c>
      <c r="AA171" s="1">
        <v>9</v>
      </c>
      <c r="AB171" s="1" t="s">
        <v>16</v>
      </c>
      <c r="AC171" s="1" t="s">
        <v>22</v>
      </c>
      <c r="AD171" s="1">
        <v>19</v>
      </c>
      <c r="AE171" s="1">
        <v>16</v>
      </c>
      <c r="AF171" s="1">
        <v>0.8</v>
      </c>
      <c r="AG171" s="1">
        <v>0.9</v>
      </c>
      <c r="AH171" s="1">
        <v>0</v>
      </c>
      <c r="AI171" s="1">
        <v>0</v>
      </c>
      <c r="AJ171" s="1">
        <f t="shared" si="12"/>
        <v>0</v>
      </c>
      <c r="AK171" s="1">
        <f>D25</f>
        <v>0</v>
      </c>
      <c r="AL171" s="1">
        <f>D31</f>
        <v>0</v>
      </c>
      <c r="AM171" s="1">
        <f t="shared" si="13"/>
        <v>0</v>
      </c>
      <c r="AN171" s="1">
        <f t="shared" si="14"/>
        <v>0</v>
      </c>
      <c r="AO171" s="1">
        <f t="shared" si="15"/>
        <v>0</v>
      </c>
      <c r="AP171" t="b" cm="1">
        <f t="array" ref="AP171">INDEX($AU$8:$BB$25,6*(R171-1)+MATCH(AB171,$AS$8:$AS$13,0),MATCH(O171,$AU$7:$BB$7,0))</f>
        <v>1</v>
      </c>
    </row>
    <row r="172" spans="15:42" ht="14.25" x14ac:dyDescent="0.45">
      <c r="O172" s="43" t="s">
        <v>30</v>
      </c>
      <c r="P172" s="43">
        <v>2</v>
      </c>
      <c r="Q172" s="43">
        <v>1</v>
      </c>
      <c r="R172" s="43">
        <v>3</v>
      </c>
      <c r="S172" s="45"/>
      <c r="T172" t="b">
        <f>(S170+S171+S172)=O3</f>
        <v>0</v>
      </c>
      <c r="X172" s="1">
        <v>0</v>
      </c>
      <c r="Y172" s="48">
        <v>0</v>
      </c>
      <c r="AA172" s="1">
        <v>9</v>
      </c>
      <c r="AB172" s="1" t="s">
        <v>16</v>
      </c>
      <c r="AC172" s="1" t="s">
        <v>22</v>
      </c>
      <c r="AD172" s="1">
        <v>19</v>
      </c>
      <c r="AE172" s="1">
        <v>16</v>
      </c>
      <c r="AF172" s="1">
        <v>0.8</v>
      </c>
      <c r="AG172" s="1">
        <v>0.9</v>
      </c>
      <c r="AH172" s="1">
        <v>0</v>
      </c>
      <c r="AI172" s="1">
        <v>0</v>
      </c>
      <c r="AJ172" s="1">
        <f t="shared" si="12"/>
        <v>0</v>
      </c>
      <c r="AK172" s="1">
        <f>E25</f>
        <v>0</v>
      </c>
      <c r="AL172" s="1">
        <f>E31</f>
        <v>0</v>
      </c>
      <c r="AM172" s="1">
        <f t="shared" si="13"/>
        <v>0</v>
      </c>
      <c r="AN172" s="1">
        <f t="shared" si="14"/>
        <v>0</v>
      </c>
      <c r="AO172" s="1">
        <f t="shared" si="15"/>
        <v>0</v>
      </c>
      <c r="AP172" t="b" cm="1">
        <f t="array" ref="AP172">INDEX($AU$8:$BB$25,6*(R172-1)+MATCH(AB172,$AS$8:$AS$13,0),MATCH(O172,$AU$7:$BB$7,0))</f>
        <v>1</v>
      </c>
    </row>
    <row r="173" spans="15:42" ht="14.25" x14ac:dyDescent="0.45">
      <c r="O173" s="43" t="s">
        <v>30</v>
      </c>
      <c r="P173" s="43">
        <v>2</v>
      </c>
      <c r="Q173" s="43">
        <v>2</v>
      </c>
      <c r="R173" s="43">
        <v>1</v>
      </c>
      <c r="S173" s="45"/>
      <c r="T173" t="b">
        <f>(S173+S174+S175)=O3</f>
        <v>0</v>
      </c>
      <c r="X173" s="1">
        <f t="shared" ref="X173:X214" si="17">MAX(S170-S173,0)</f>
        <v>0</v>
      </c>
      <c r="Y173" s="48">
        <v>0</v>
      </c>
      <c r="AA173" s="1">
        <v>1</v>
      </c>
      <c r="AB173" s="1" t="s">
        <v>12</v>
      </c>
      <c r="AC173" s="1" t="s">
        <v>18</v>
      </c>
      <c r="AD173" s="1">
        <v>20</v>
      </c>
      <c r="AE173" s="1">
        <v>18</v>
      </c>
      <c r="AF173" s="1">
        <v>0.76</v>
      </c>
      <c r="AG173" s="1">
        <v>0.81</v>
      </c>
      <c r="AH173" s="1">
        <v>0</v>
      </c>
      <c r="AI173" s="1">
        <v>0</v>
      </c>
      <c r="AJ173" s="1">
        <f t="shared" si="12"/>
        <v>0</v>
      </c>
      <c r="AK173" s="1">
        <f>C21</f>
        <v>0</v>
      </c>
      <c r="AL173" s="1">
        <f>C27</f>
        <v>0</v>
      </c>
      <c r="AM173" s="1">
        <f t="shared" si="13"/>
        <v>0</v>
      </c>
      <c r="AN173" s="1">
        <f t="shared" si="14"/>
        <v>0</v>
      </c>
      <c r="AO173" s="1">
        <f t="shared" si="15"/>
        <v>0</v>
      </c>
      <c r="AP173" t="b" cm="1">
        <f t="array" ref="AP173">INDEX($AU$8:$BB$25,6*(R173-1)+MATCH(AB173,$AS$8:$AS$13,0),MATCH(O173,$AU$7:$BB$7,0))</f>
        <v>1</v>
      </c>
    </row>
    <row r="174" spans="15:42" ht="14.25" x14ac:dyDescent="0.45">
      <c r="O174" s="43" t="s">
        <v>30</v>
      </c>
      <c r="P174" s="43">
        <v>2</v>
      </c>
      <c r="Q174" s="43">
        <v>2</v>
      </c>
      <c r="R174" s="43">
        <v>2</v>
      </c>
      <c r="S174" s="45"/>
      <c r="T174" t="b">
        <f>(S173+S174+S175)=O3</f>
        <v>0</v>
      </c>
      <c r="X174" s="1">
        <f t="shared" si="17"/>
        <v>0</v>
      </c>
      <c r="Y174" s="48">
        <v>0</v>
      </c>
      <c r="AA174" s="1">
        <v>1</v>
      </c>
      <c r="AB174" s="1" t="s">
        <v>12</v>
      </c>
      <c r="AC174" s="1" t="s">
        <v>18</v>
      </c>
      <c r="AD174" s="1">
        <v>20</v>
      </c>
      <c r="AE174" s="1">
        <v>18</v>
      </c>
      <c r="AF174" s="1">
        <v>0.76</v>
      </c>
      <c r="AG174" s="1">
        <v>0.81</v>
      </c>
      <c r="AH174" s="1">
        <v>0</v>
      </c>
      <c r="AI174" s="1">
        <v>0</v>
      </c>
      <c r="AJ174" s="1">
        <f t="shared" si="12"/>
        <v>0</v>
      </c>
      <c r="AK174" s="1">
        <f>D21</f>
        <v>0</v>
      </c>
      <c r="AL174" s="1">
        <f>D27</f>
        <v>0</v>
      </c>
      <c r="AM174" s="1">
        <f t="shared" si="13"/>
        <v>0</v>
      </c>
      <c r="AN174" s="1">
        <f t="shared" si="14"/>
        <v>0</v>
      </c>
      <c r="AO174" s="1">
        <f t="shared" si="15"/>
        <v>0</v>
      </c>
      <c r="AP174" t="b" cm="1">
        <f t="array" ref="AP174">INDEX($AU$8:$BB$25,6*(R174-1)+MATCH(AB174,$AS$8:$AS$13,0),MATCH(O174,$AU$7:$BB$7,0))</f>
        <v>1</v>
      </c>
    </row>
    <row r="175" spans="15:42" ht="14.25" x14ac:dyDescent="0.45">
      <c r="O175" s="43" t="s">
        <v>30</v>
      </c>
      <c r="P175" s="43">
        <v>2</v>
      </c>
      <c r="Q175" s="43">
        <v>2</v>
      </c>
      <c r="R175" s="43">
        <v>3</v>
      </c>
      <c r="S175" s="45"/>
      <c r="T175" t="b">
        <f>(S173+S174+S175)=O3</f>
        <v>0</v>
      </c>
      <c r="X175" s="1">
        <f t="shared" si="17"/>
        <v>0</v>
      </c>
      <c r="Y175" s="48">
        <v>0</v>
      </c>
      <c r="AA175" s="1">
        <v>1</v>
      </c>
      <c r="AB175" s="1" t="s">
        <v>12</v>
      </c>
      <c r="AC175" s="1" t="s">
        <v>18</v>
      </c>
      <c r="AD175" s="1">
        <v>20</v>
      </c>
      <c r="AE175" s="1">
        <v>18</v>
      </c>
      <c r="AF175" s="1">
        <v>0.76</v>
      </c>
      <c r="AG175" s="1">
        <v>0.81</v>
      </c>
      <c r="AH175" s="1">
        <v>0</v>
      </c>
      <c r="AI175" s="1">
        <v>0</v>
      </c>
      <c r="AJ175" s="1">
        <f t="shared" si="12"/>
        <v>0</v>
      </c>
      <c r="AK175" s="1">
        <f>E21</f>
        <v>0</v>
      </c>
      <c r="AL175" s="1">
        <f>E27</f>
        <v>0</v>
      </c>
      <c r="AM175" s="1">
        <f t="shared" si="13"/>
        <v>0</v>
      </c>
      <c r="AN175" s="1">
        <f t="shared" si="14"/>
        <v>0</v>
      </c>
      <c r="AO175" s="1">
        <f t="shared" si="15"/>
        <v>0</v>
      </c>
      <c r="AP175" t="b" cm="1">
        <f t="array" ref="AP175">INDEX($AU$8:$BB$25,6*(R175-1)+MATCH(AB175,$AS$8:$AS$13,0),MATCH(O175,$AU$7:$BB$7,0))</f>
        <v>1</v>
      </c>
    </row>
    <row r="176" spans="15:42" ht="14.25" x14ac:dyDescent="0.45">
      <c r="O176" s="43" t="s">
        <v>30</v>
      </c>
      <c r="P176" s="43">
        <v>2</v>
      </c>
      <c r="Q176" s="43">
        <v>3</v>
      </c>
      <c r="R176" s="43">
        <v>1</v>
      </c>
      <c r="S176" s="45"/>
      <c r="T176" t="b">
        <f>(S176+S177+S178)=O3</f>
        <v>0</v>
      </c>
      <c r="X176" s="1">
        <f t="shared" si="17"/>
        <v>0</v>
      </c>
      <c r="Y176" s="48">
        <v>0</v>
      </c>
      <c r="AA176" s="1">
        <v>11</v>
      </c>
      <c r="AB176" s="1" t="s">
        <v>15</v>
      </c>
      <c r="AC176" s="1" t="s">
        <v>21</v>
      </c>
      <c r="AD176" s="1">
        <v>10</v>
      </c>
      <c r="AE176" s="1">
        <v>7</v>
      </c>
      <c r="AF176" s="1">
        <v>0.76</v>
      </c>
      <c r="AG176" s="1">
        <v>0.84</v>
      </c>
      <c r="AH176" s="1">
        <v>0</v>
      </c>
      <c r="AI176" s="1">
        <v>0</v>
      </c>
      <c r="AJ176" s="1">
        <f t="shared" si="12"/>
        <v>0</v>
      </c>
      <c r="AK176" s="1">
        <f>C24</f>
        <v>0</v>
      </c>
      <c r="AL176" s="1">
        <f>C30</f>
        <v>0</v>
      </c>
      <c r="AM176" s="1">
        <f t="shared" si="13"/>
        <v>0</v>
      </c>
      <c r="AN176" s="1">
        <f t="shared" si="14"/>
        <v>0</v>
      </c>
      <c r="AO176" s="1">
        <f t="shared" si="15"/>
        <v>0</v>
      </c>
      <c r="AP176" t="b" cm="1">
        <f t="array" ref="AP176">INDEX($AU$8:$BB$25,6*(R176-1)+MATCH(AB176,$AS$8:$AS$13,0),MATCH(O176,$AU$7:$BB$7,0))</f>
        <v>1</v>
      </c>
    </row>
    <row r="177" spans="15:42" ht="14.25" x14ac:dyDescent="0.45">
      <c r="O177" s="43" t="s">
        <v>30</v>
      </c>
      <c r="P177" s="43">
        <v>2</v>
      </c>
      <c r="Q177" s="43">
        <v>3</v>
      </c>
      <c r="R177" s="43">
        <v>2</v>
      </c>
      <c r="S177" s="45"/>
      <c r="T177" t="b">
        <f>(S176+S177+S178)=O3</f>
        <v>0</v>
      </c>
      <c r="X177" s="1">
        <f t="shared" si="17"/>
        <v>0</v>
      </c>
      <c r="Y177" s="48">
        <v>0</v>
      </c>
      <c r="AA177" s="1">
        <v>11</v>
      </c>
      <c r="AB177" s="1" t="s">
        <v>15</v>
      </c>
      <c r="AC177" s="1" t="s">
        <v>21</v>
      </c>
      <c r="AD177" s="1">
        <v>10</v>
      </c>
      <c r="AE177" s="1">
        <v>7</v>
      </c>
      <c r="AF177" s="1">
        <v>0.76</v>
      </c>
      <c r="AG177" s="1">
        <v>0.84</v>
      </c>
      <c r="AH177" s="1">
        <v>0</v>
      </c>
      <c r="AI177" s="1">
        <v>0</v>
      </c>
      <c r="AJ177" s="1">
        <f t="shared" si="12"/>
        <v>0</v>
      </c>
      <c r="AK177" s="1">
        <f>D24</f>
        <v>0</v>
      </c>
      <c r="AL177" s="1">
        <f>D30</f>
        <v>0</v>
      </c>
      <c r="AM177" s="1">
        <f t="shared" si="13"/>
        <v>0</v>
      </c>
      <c r="AN177" s="1">
        <f t="shared" si="14"/>
        <v>0</v>
      </c>
      <c r="AO177" s="1">
        <f t="shared" si="15"/>
        <v>0</v>
      </c>
      <c r="AP177" t="b" cm="1">
        <f t="array" ref="AP177">INDEX($AU$8:$BB$25,6*(R177-1)+MATCH(AB177,$AS$8:$AS$13,0),MATCH(O177,$AU$7:$BB$7,0))</f>
        <v>1</v>
      </c>
    </row>
    <row r="178" spans="15:42" ht="14.25" x14ac:dyDescent="0.45">
      <c r="O178" s="43" t="s">
        <v>30</v>
      </c>
      <c r="P178" s="43">
        <v>2</v>
      </c>
      <c r="Q178" s="43">
        <v>3</v>
      </c>
      <c r="R178" s="43">
        <v>3</v>
      </c>
      <c r="S178" s="45"/>
      <c r="T178" t="b">
        <f>(S176+S177+S178)=O3</f>
        <v>0</v>
      </c>
      <c r="X178" s="1">
        <f t="shared" si="17"/>
        <v>0</v>
      </c>
      <c r="Y178" s="48">
        <v>0</v>
      </c>
      <c r="AA178" s="1">
        <v>11</v>
      </c>
      <c r="AB178" s="1" t="s">
        <v>15</v>
      </c>
      <c r="AC178" s="1" t="s">
        <v>21</v>
      </c>
      <c r="AD178" s="1">
        <v>10</v>
      </c>
      <c r="AE178" s="1">
        <v>7</v>
      </c>
      <c r="AF178" s="1">
        <v>0.76</v>
      </c>
      <c r="AG178" s="1">
        <v>0.84</v>
      </c>
      <c r="AH178" s="1">
        <v>0</v>
      </c>
      <c r="AI178" s="1">
        <v>0</v>
      </c>
      <c r="AJ178" s="1">
        <f t="shared" si="12"/>
        <v>0</v>
      </c>
      <c r="AK178" s="1">
        <f>E24</f>
        <v>0</v>
      </c>
      <c r="AL178" s="1">
        <f>E30</f>
        <v>0</v>
      </c>
      <c r="AM178" s="1">
        <f t="shared" si="13"/>
        <v>0</v>
      </c>
      <c r="AN178" s="1">
        <f t="shared" si="14"/>
        <v>0</v>
      </c>
      <c r="AO178" s="1">
        <f t="shared" si="15"/>
        <v>0</v>
      </c>
      <c r="AP178" t="b" cm="1">
        <f t="array" ref="AP178">INDEX($AU$8:$BB$25,6*(R178-1)+MATCH(AB178,$AS$8:$AS$13,0),MATCH(O178,$AU$7:$BB$7,0))</f>
        <v>1</v>
      </c>
    </row>
    <row r="179" spans="15:42" ht="14.25" x14ac:dyDescent="0.45">
      <c r="O179" s="43" t="s">
        <v>30</v>
      </c>
      <c r="P179" s="43">
        <v>2</v>
      </c>
      <c r="Q179" s="43">
        <v>4</v>
      </c>
      <c r="R179" s="43">
        <v>1</v>
      </c>
      <c r="S179" s="45"/>
      <c r="T179" t="b">
        <f>(S179+S180+S181)=O3</f>
        <v>0</v>
      </c>
      <c r="X179" s="1">
        <f t="shared" si="17"/>
        <v>0</v>
      </c>
      <c r="Y179" s="48">
        <v>0</v>
      </c>
      <c r="AA179" s="1">
        <v>2</v>
      </c>
      <c r="AB179" s="1" t="s">
        <v>12</v>
      </c>
      <c r="AC179" s="1" t="s">
        <v>18</v>
      </c>
      <c r="AD179" s="1">
        <v>25</v>
      </c>
      <c r="AE179" s="1">
        <v>19</v>
      </c>
      <c r="AF179" s="1">
        <v>0.76</v>
      </c>
      <c r="AG179" s="1">
        <v>0.81</v>
      </c>
      <c r="AH179" s="1">
        <v>0</v>
      </c>
      <c r="AI179" s="1">
        <v>0</v>
      </c>
      <c r="AJ179" s="1">
        <f t="shared" si="12"/>
        <v>0</v>
      </c>
      <c r="AK179" s="1">
        <f>C21</f>
        <v>0</v>
      </c>
      <c r="AL179" s="1">
        <f>C27</f>
        <v>0</v>
      </c>
      <c r="AM179" s="1">
        <f t="shared" si="13"/>
        <v>0</v>
      </c>
      <c r="AN179" s="1">
        <f t="shared" si="14"/>
        <v>0</v>
      </c>
      <c r="AO179" s="1">
        <f t="shared" si="15"/>
        <v>0</v>
      </c>
      <c r="AP179" t="b" cm="1">
        <f t="array" ref="AP179">INDEX($AU$8:$BB$25,6*(R179-1)+MATCH(AB179,$AS$8:$AS$13,0),MATCH(O179,$AU$7:$BB$7,0))</f>
        <v>1</v>
      </c>
    </row>
    <row r="180" spans="15:42" ht="14.25" x14ac:dyDescent="0.45">
      <c r="O180" s="43" t="s">
        <v>30</v>
      </c>
      <c r="P180" s="43">
        <v>2</v>
      </c>
      <c r="Q180" s="43">
        <v>4</v>
      </c>
      <c r="R180" s="43">
        <v>2</v>
      </c>
      <c r="S180" s="45"/>
      <c r="T180" t="b">
        <f>(S179+S180+S181)=O3</f>
        <v>0</v>
      </c>
      <c r="X180" s="1">
        <f t="shared" si="17"/>
        <v>0</v>
      </c>
      <c r="Y180" s="48">
        <v>0</v>
      </c>
      <c r="AA180" s="1">
        <v>2</v>
      </c>
      <c r="AB180" s="1" t="s">
        <v>12</v>
      </c>
      <c r="AC180" s="1" t="s">
        <v>18</v>
      </c>
      <c r="AD180" s="1">
        <v>25</v>
      </c>
      <c r="AE180" s="1">
        <v>19</v>
      </c>
      <c r="AF180" s="1">
        <v>0.76</v>
      </c>
      <c r="AG180" s="1">
        <v>0.81</v>
      </c>
      <c r="AH180" s="1">
        <v>0</v>
      </c>
      <c r="AI180" s="1">
        <v>0</v>
      </c>
      <c r="AJ180" s="1">
        <f t="shared" si="12"/>
        <v>0</v>
      </c>
      <c r="AK180" s="1">
        <f>D21</f>
        <v>0</v>
      </c>
      <c r="AL180" s="1">
        <f>D27</f>
        <v>0</v>
      </c>
      <c r="AM180" s="1">
        <f t="shared" si="13"/>
        <v>0</v>
      </c>
      <c r="AN180" s="1">
        <f t="shared" si="14"/>
        <v>0</v>
      </c>
      <c r="AO180" s="1">
        <f t="shared" si="15"/>
        <v>0</v>
      </c>
      <c r="AP180" t="b" cm="1">
        <f t="array" ref="AP180">INDEX($AU$8:$BB$25,6*(R180-1)+MATCH(AB180,$AS$8:$AS$13,0),MATCH(O180,$AU$7:$BB$7,0))</f>
        <v>1</v>
      </c>
    </row>
    <row r="181" spans="15:42" ht="14.25" x14ac:dyDescent="0.45">
      <c r="O181" s="43" t="s">
        <v>30</v>
      </c>
      <c r="P181" s="43">
        <v>2</v>
      </c>
      <c r="Q181" s="43">
        <v>4</v>
      </c>
      <c r="R181" s="43">
        <v>3</v>
      </c>
      <c r="S181" s="45"/>
      <c r="T181" t="b">
        <f>(S179+S180+S181)=O3</f>
        <v>0</v>
      </c>
      <c r="X181" s="1">
        <f t="shared" si="17"/>
        <v>0</v>
      </c>
      <c r="Y181" s="48">
        <v>0</v>
      </c>
      <c r="AA181" s="1">
        <v>2</v>
      </c>
      <c r="AB181" s="1" t="s">
        <v>12</v>
      </c>
      <c r="AC181" s="1" t="s">
        <v>18</v>
      </c>
      <c r="AD181" s="1">
        <v>25</v>
      </c>
      <c r="AE181" s="1">
        <v>19</v>
      </c>
      <c r="AF181" s="1">
        <v>0.76</v>
      </c>
      <c r="AG181" s="1">
        <v>0.81</v>
      </c>
      <c r="AH181" s="1">
        <v>0</v>
      </c>
      <c r="AI181" s="1">
        <v>0</v>
      </c>
      <c r="AJ181" s="1">
        <f t="shared" si="12"/>
        <v>0</v>
      </c>
      <c r="AK181" s="1">
        <f>E21</f>
        <v>0</v>
      </c>
      <c r="AL181" s="1">
        <f>E27</f>
        <v>0</v>
      </c>
      <c r="AM181" s="1">
        <f t="shared" si="13"/>
        <v>0</v>
      </c>
      <c r="AN181" s="1">
        <f t="shared" si="14"/>
        <v>0</v>
      </c>
      <c r="AO181" s="1">
        <f t="shared" si="15"/>
        <v>0</v>
      </c>
      <c r="AP181" t="b" cm="1">
        <f t="array" ref="AP181">INDEX($AU$8:$BB$25,6*(R181-1)+MATCH(AB181,$AS$8:$AS$13,0),MATCH(O181,$AU$7:$BB$7,0))</f>
        <v>1</v>
      </c>
    </row>
    <row r="182" spans="15:42" ht="14.25" x14ac:dyDescent="0.45">
      <c r="O182" s="43" t="s">
        <v>30</v>
      </c>
      <c r="P182" s="43">
        <v>2</v>
      </c>
      <c r="Q182" s="43">
        <v>5</v>
      </c>
      <c r="R182" s="43">
        <v>1</v>
      </c>
      <c r="S182" s="45"/>
      <c r="T182" t="b">
        <f>(S182+S183+S184)=O3</f>
        <v>0</v>
      </c>
      <c r="X182" s="1">
        <f t="shared" si="17"/>
        <v>0</v>
      </c>
      <c r="Y182" s="48">
        <v>0</v>
      </c>
      <c r="AA182" s="1">
        <v>3</v>
      </c>
      <c r="AB182" s="1" t="s">
        <v>12</v>
      </c>
      <c r="AC182" s="1" t="s">
        <v>18</v>
      </c>
      <c r="AD182" s="1">
        <v>15</v>
      </c>
      <c r="AE182" s="1">
        <v>11</v>
      </c>
      <c r="AF182" s="1">
        <v>0.76</v>
      </c>
      <c r="AG182" s="1">
        <v>0.81</v>
      </c>
      <c r="AH182" s="1">
        <v>0</v>
      </c>
      <c r="AI182" s="1">
        <v>0</v>
      </c>
      <c r="AJ182" s="1">
        <f t="shared" si="12"/>
        <v>0</v>
      </c>
      <c r="AK182" s="1">
        <f>C21</f>
        <v>0</v>
      </c>
      <c r="AL182" s="1">
        <f>C27</f>
        <v>0</v>
      </c>
      <c r="AM182" s="1">
        <f t="shared" si="13"/>
        <v>0</v>
      </c>
      <c r="AN182" s="1">
        <f t="shared" si="14"/>
        <v>0</v>
      </c>
      <c r="AO182" s="1">
        <f t="shared" si="15"/>
        <v>0</v>
      </c>
      <c r="AP182" t="b" cm="1">
        <f t="array" ref="AP182">INDEX($AU$8:$BB$25,6*(R182-1)+MATCH(AB182,$AS$8:$AS$13,0),MATCH(O182,$AU$7:$BB$7,0))</f>
        <v>1</v>
      </c>
    </row>
    <row r="183" spans="15:42" ht="14.25" x14ac:dyDescent="0.45">
      <c r="O183" s="43" t="s">
        <v>30</v>
      </c>
      <c r="P183" s="43">
        <v>2</v>
      </c>
      <c r="Q183" s="43">
        <v>5</v>
      </c>
      <c r="R183" s="43">
        <v>2</v>
      </c>
      <c r="S183" s="45"/>
      <c r="T183" t="b">
        <f>(S182+S183+S184)=O3</f>
        <v>0</v>
      </c>
      <c r="X183" s="1">
        <f t="shared" si="17"/>
        <v>0</v>
      </c>
      <c r="Y183" s="48">
        <v>0</v>
      </c>
      <c r="AA183" s="1">
        <v>3</v>
      </c>
      <c r="AB183" s="1" t="s">
        <v>12</v>
      </c>
      <c r="AC183" s="1" t="s">
        <v>18</v>
      </c>
      <c r="AD183" s="1">
        <v>15</v>
      </c>
      <c r="AE183" s="1">
        <v>11</v>
      </c>
      <c r="AF183" s="1">
        <v>0.76</v>
      </c>
      <c r="AG183" s="1">
        <v>0.81</v>
      </c>
      <c r="AH183" s="1">
        <v>0</v>
      </c>
      <c r="AI183" s="1">
        <v>0</v>
      </c>
      <c r="AJ183" s="1">
        <f t="shared" si="12"/>
        <v>0</v>
      </c>
      <c r="AK183" s="1">
        <f>D21</f>
        <v>0</v>
      </c>
      <c r="AL183" s="1">
        <f>D27</f>
        <v>0</v>
      </c>
      <c r="AM183" s="1">
        <f t="shared" si="13"/>
        <v>0</v>
      </c>
      <c r="AN183" s="1">
        <f t="shared" si="14"/>
        <v>0</v>
      </c>
      <c r="AO183" s="1">
        <f t="shared" si="15"/>
        <v>0</v>
      </c>
      <c r="AP183" t="b" cm="1">
        <f t="array" ref="AP183">INDEX($AU$8:$BB$25,6*(R183-1)+MATCH(AB183,$AS$8:$AS$13,0),MATCH(O183,$AU$7:$BB$7,0))</f>
        <v>1</v>
      </c>
    </row>
    <row r="184" spans="15:42" ht="14.25" x14ac:dyDescent="0.45">
      <c r="O184" s="43" t="s">
        <v>30</v>
      </c>
      <c r="P184" s="43">
        <v>2</v>
      </c>
      <c r="Q184" s="43">
        <v>5</v>
      </c>
      <c r="R184" s="43">
        <v>3</v>
      </c>
      <c r="S184" s="45"/>
      <c r="T184" t="b">
        <f>(S182+S183+S184)=O3</f>
        <v>0</v>
      </c>
      <c r="X184" s="1">
        <f t="shared" si="17"/>
        <v>0</v>
      </c>
      <c r="Y184" s="48">
        <v>0</v>
      </c>
      <c r="AA184" s="1">
        <v>3</v>
      </c>
      <c r="AB184" s="1" t="s">
        <v>12</v>
      </c>
      <c r="AC184" s="1" t="s">
        <v>18</v>
      </c>
      <c r="AD184" s="1">
        <v>15</v>
      </c>
      <c r="AE184" s="1">
        <v>11</v>
      </c>
      <c r="AF184" s="1">
        <v>0.76</v>
      </c>
      <c r="AG184" s="1">
        <v>0.81</v>
      </c>
      <c r="AH184" s="1">
        <v>0</v>
      </c>
      <c r="AI184" s="1">
        <v>0</v>
      </c>
      <c r="AJ184" s="1">
        <f t="shared" si="12"/>
        <v>0</v>
      </c>
      <c r="AK184" s="1">
        <f>E21</f>
        <v>0</v>
      </c>
      <c r="AL184" s="1">
        <f>E27</f>
        <v>0</v>
      </c>
      <c r="AM184" s="1">
        <f t="shared" si="13"/>
        <v>0</v>
      </c>
      <c r="AN184" s="1">
        <f t="shared" si="14"/>
        <v>0</v>
      </c>
      <c r="AO184" s="1">
        <f t="shared" si="15"/>
        <v>0</v>
      </c>
      <c r="AP184" t="b" cm="1">
        <f t="array" ref="AP184">INDEX($AU$8:$BB$25,6*(R184-1)+MATCH(AB184,$AS$8:$AS$13,0),MATCH(O184,$AU$7:$BB$7,0))</f>
        <v>1</v>
      </c>
    </row>
    <row r="185" spans="15:42" ht="14.25" x14ac:dyDescent="0.45">
      <c r="O185" s="43" t="s">
        <v>30</v>
      </c>
      <c r="P185" s="43">
        <v>2</v>
      </c>
      <c r="Q185" s="43">
        <v>6</v>
      </c>
      <c r="R185" s="43">
        <v>1</v>
      </c>
      <c r="S185" s="45"/>
      <c r="T185" t="b">
        <f>(S185+S186+S187)=O3</f>
        <v>0</v>
      </c>
      <c r="X185" s="1">
        <f t="shared" si="17"/>
        <v>0</v>
      </c>
      <c r="Y185" s="48">
        <v>0</v>
      </c>
      <c r="AA185" s="1">
        <v>5</v>
      </c>
      <c r="AB185" s="1" t="s">
        <v>16</v>
      </c>
      <c r="AC185" s="1" t="s">
        <v>22</v>
      </c>
      <c r="AD185" s="1">
        <v>16</v>
      </c>
      <c r="AE185" s="1">
        <v>14</v>
      </c>
      <c r="AF185" s="1">
        <v>0.8</v>
      </c>
      <c r="AG185" s="1">
        <v>0.9</v>
      </c>
      <c r="AH185" s="1">
        <v>0</v>
      </c>
      <c r="AI185" s="1">
        <v>0</v>
      </c>
      <c r="AJ185" s="1">
        <f t="shared" si="12"/>
        <v>0</v>
      </c>
      <c r="AK185" s="1">
        <f>C25</f>
        <v>0</v>
      </c>
      <c r="AL185" s="1">
        <f>C31</f>
        <v>0</v>
      </c>
      <c r="AM185" s="1">
        <f t="shared" si="13"/>
        <v>0</v>
      </c>
      <c r="AN185" s="1">
        <f t="shared" si="14"/>
        <v>0</v>
      </c>
      <c r="AO185" s="1">
        <f t="shared" si="15"/>
        <v>0</v>
      </c>
      <c r="AP185" t="b" cm="1">
        <f t="array" ref="AP185">INDEX($AU$8:$BB$25,6*(R185-1)+MATCH(AB185,$AS$8:$AS$13,0),MATCH(O185,$AU$7:$BB$7,0))</f>
        <v>1</v>
      </c>
    </row>
    <row r="186" spans="15:42" ht="14.25" x14ac:dyDescent="0.45">
      <c r="O186" s="43" t="s">
        <v>30</v>
      </c>
      <c r="P186" s="43">
        <v>2</v>
      </c>
      <c r="Q186" s="43">
        <v>6</v>
      </c>
      <c r="R186" s="43">
        <v>2</v>
      </c>
      <c r="S186" s="45"/>
      <c r="T186" t="b">
        <f>(S185+S186+S187)=O3</f>
        <v>0</v>
      </c>
      <c r="X186" s="1">
        <f t="shared" si="17"/>
        <v>0</v>
      </c>
      <c r="Y186" s="48">
        <v>0</v>
      </c>
      <c r="AA186" s="1">
        <v>5</v>
      </c>
      <c r="AB186" s="1" t="s">
        <v>16</v>
      </c>
      <c r="AC186" s="1" t="s">
        <v>22</v>
      </c>
      <c r="AD186" s="1">
        <v>16</v>
      </c>
      <c r="AE186" s="1">
        <v>14</v>
      </c>
      <c r="AF186" s="1">
        <v>0.8</v>
      </c>
      <c r="AG186" s="1">
        <v>0.9</v>
      </c>
      <c r="AH186" s="1">
        <v>0</v>
      </c>
      <c r="AI186" s="1">
        <v>0</v>
      </c>
      <c r="AJ186" s="1">
        <f t="shared" si="12"/>
        <v>0</v>
      </c>
      <c r="AK186" s="1">
        <f>D25</f>
        <v>0</v>
      </c>
      <c r="AL186" s="1">
        <f>D31</f>
        <v>0</v>
      </c>
      <c r="AM186" s="1">
        <f t="shared" si="13"/>
        <v>0</v>
      </c>
      <c r="AN186" s="1">
        <f t="shared" si="14"/>
        <v>0</v>
      </c>
      <c r="AO186" s="1">
        <f t="shared" si="15"/>
        <v>0</v>
      </c>
      <c r="AP186" t="b" cm="1">
        <f t="array" ref="AP186">INDEX($AU$8:$BB$25,6*(R186-1)+MATCH(AB186,$AS$8:$AS$13,0),MATCH(O186,$AU$7:$BB$7,0))</f>
        <v>1</v>
      </c>
    </row>
    <row r="187" spans="15:42" ht="14.25" x14ac:dyDescent="0.45">
      <c r="O187" s="43" t="s">
        <v>30</v>
      </c>
      <c r="P187" s="43">
        <v>2</v>
      </c>
      <c r="Q187" s="43">
        <v>6</v>
      </c>
      <c r="R187" s="43">
        <v>3</v>
      </c>
      <c r="S187" s="45"/>
      <c r="T187" t="b">
        <f>(S185+S186+S187)=O3</f>
        <v>0</v>
      </c>
      <c r="X187" s="1">
        <f t="shared" si="17"/>
        <v>0</v>
      </c>
      <c r="Y187" s="48">
        <v>0</v>
      </c>
      <c r="AA187" s="1">
        <v>5</v>
      </c>
      <c r="AB187" s="1" t="s">
        <v>16</v>
      </c>
      <c r="AC187" s="1" t="s">
        <v>22</v>
      </c>
      <c r="AD187" s="1">
        <v>16</v>
      </c>
      <c r="AE187" s="1">
        <v>14</v>
      </c>
      <c r="AF187" s="1">
        <v>0.8</v>
      </c>
      <c r="AG187" s="1">
        <v>0.9</v>
      </c>
      <c r="AH187" s="1">
        <v>0</v>
      </c>
      <c r="AI187" s="1">
        <v>0</v>
      </c>
      <c r="AJ187" s="1">
        <f t="shared" si="12"/>
        <v>0</v>
      </c>
      <c r="AK187" s="1">
        <f>E25</f>
        <v>0</v>
      </c>
      <c r="AL187" s="1">
        <f>E31</f>
        <v>0</v>
      </c>
      <c r="AM187" s="1">
        <f t="shared" si="13"/>
        <v>0</v>
      </c>
      <c r="AN187" s="1">
        <f t="shared" si="14"/>
        <v>0</v>
      </c>
      <c r="AO187" s="1">
        <f t="shared" si="15"/>
        <v>0</v>
      </c>
      <c r="AP187" t="b" cm="1">
        <f t="array" ref="AP187">INDEX($AU$8:$BB$25,6*(R187-1)+MATCH(AB187,$AS$8:$AS$13,0),MATCH(O187,$AU$7:$BB$7,0))</f>
        <v>1</v>
      </c>
    </row>
    <row r="188" spans="15:42" ht="14.25" x14ac:dyDescent="0.45">
      <c r="O188" s="43" t="s">
        <v>30</v>
      </c>
      <c r="P188" s="43">
        <v>2</v>
      </c>
      <c r="Q188" s="43">
        <v>7</v>
      </c>
      <c r="R188" s="43">
        <v>1</v>
      </c>
      <c r="S188" s="45"/>
      <c r="T188" t="b">
        <f>(S188+S189+S190)=O3</f>
        <v>0</v>
      </c>
      <c r="X188" s="1">
        <f t="shared" si="17"/>
        <v>0</v>
      </c>
      <c r="Y188" s="48">
        <v>0</v>
      </c>
      <c r="AA188" s="1">
        <v>4</v>
      </c>
      <c r="AB188" s="1" t="s">
        <v>16</v>
      </c>
      <c r="AC188" s="1" t="s">
        <v>22</v>
      </c>
      <c r="AD188" s="1">
        <v>17</v>
      </c>
      <c r="AE188" s="1">
        <v>15</v>
      </c>
      <c r="AF188" s="1">
        <v>0.8</v>
      </c>
      <c r="AG188" s="1">
        <v>0.9</v>
      </c>
      <c r="AH188" s="1">
        <v>0</v>
      </c>
      <c r="AI188" s="1">
        <v>0</v>
      </c>
      <c r="AJ188" s="1">
        <f t="shared" si="12"/>
        <v>0</v>
      </c>
      <c r="AK188" s="1">
        <f>C25</f>
        <v>0</v>
      </c>
      <c r="AL188" s="1">
        <f>C31</f>
        <v>0</v>
      </c>
      <c r="AM188" s="1">
        <f t="shared" si="13"/>
        <v>0</v>
      </c>
      <c r="AN188" s="1">
        <f t="shared" si="14"/>
        <v>0</v>
      </c>
      <c r="AO188" s="1">
        <f t="shared" si="15"/>
        <v>0</v>
      </c>
      <c r="AP188" t="b" cm="1">
        <f t="array" ref="AP188">INDEX($AU$8:$BB$25,6*(R188-1)+MATCH(AB188,$AS$8:$AS$13,0),MATCH(O188,$AU$7:$BB$7,0))</f>
        <v>1</v>
      </c>
    </row>
    <row r="189" spans="15:42" ht="14.25" x14ac:dyDescent="0.45">
      <c r="O189" s="43" t="s">
        <v>30</v>
      </c>
      <c r="P189" s="43">
        <v>2</v>
      </c>
      <c r="Q189" s="43">
        <v>7</v>
      </c>
      <c r="R189" s="43">
        <v>2</v>
      </c>
      <c r="S189" s="45"/>
      <c r="T189" t="b">
        <f>(S188+S189+S190)=O3</f>
        <v>0</v>
      </c>
      <c r="X189" s="1">
        <f t="shared" si="17"/>
        <v>0</v>
      </c>
      <c r="Y189" s="48">
        <v>0</v>
      </c>
      <c r="AA189" s="1">
        <v>4</v>
      </c>
      <c r="AB189" s="1" t="s">
        <v>16</v>
      </c>
      <c r="AC189" s="1" t="s">
        <v>22</v>
      </c>
      <c r="AD189" s="1">
        <v>17</v>
      </c>
      <c r="AE189" s="1">
        <v>15</v>
      </c>
      <c r="AF189" s="1">
        <v>0.8</v>
      </c>
      <c r="AG189" s="1">
        <v>0.9</v>
      </c>
      <c r="AH189" s="1">
        <v>0</v>
      </c>
      <c r="AI189" s="1">
        <v>0</v>
      </c>
      <c r="AJ189" s="1">
        <f t="shared" si="12"/>
        <v>0</v>
      </c>
      <c r="AK189" s="1">
        <f>D25</f>
        <v>0</v>
      </c>
      <c r="AL189" s="1">
        <f>D31</f>
        <v>0</v>
      </c>
      <c r="AM189" s="1">
        <f t="shared" si="13"/>
        <v>0</v>
      </c>
      <c r="AN189" s="1">
        <f t="shared" si="14"/>
        <v>0</v>
      </c>
      <c r="AO189" s="1">
        <f t="shared" si="15"/>
        <v>0</v>
      </c>
      <c r="AP189" t="b" cm="1">
        <f t="array" ref="AP189">INDEX($AU$8:$BB$25,6*(R189-1)+MATCH(AB189,$AS$8:$AS$13,0),MATCH(O189,$AU$7:$BB$7,0))</f>
        <v>1</v>
      </c>
    </row>
    <row r="190" spans="15:42" ht="14.25" x14ac:dyDescent="0.45">
      <c r="O190" s="43" t="s">
        <v>30</v>
      </c>
      <c r="P190" s="43">
        <v>2</v>
      </c>
      <c r="Q190" s="43">
        <v>7</v>
      </c>
      <c r="R190" s="43">
        <v>3</v>
      </c>
      <c r="S190" s="45"/>
      <c r="T190" t="b">
        <f>(S188+S189+S190)=O3</f>
        <v>0</v>
      </c>
      <c r="X190" s="1">
        <f t="shared" si="17"/>
        <v>0</v>
      </c>
      <c r="Y190" s="48">
        <v>0</v>
      </c>
      <c r="AA190" s="1">
        <v>4</v>
      </c>
      <c r="AB190" s="1" t="s">
        <v>16</v>
      </c>
      <c r="AC190" s="1" t="s">
        <v>22</v>
      </c>
      <c r="AD190" s="1">
        <v>17</v>
      </c>
      <c r="AE190" s="1">
        <v>15</v>
      </c>
      <c r="AF190" s="1">
        <v>0.8</v>
      </c>
      <c r="AG190" s="1">
        <v>0.9</v>
      </c>
      <c r="AH190" s="1">
        <v>0</v>
      </c>
      <c r="AI190" s="1">
        <v>0</v>
      </c>
      <c r="AJ190" s="1">
        <f t="shared" si="12"/>
        <v>0</v>
      </c>
      <c r="AK190" s="1">
        <f>E25</f>
        <v>0</v>
      </c>
      <c r="AL190" s="1">
        <f>E31</f>
        <v>0</v>
      </c>
      <c r="AM190" s="1">
        <f t="shared" si="13"/>
        <v>0</v>
      </c>
      <c r="AN190" s="1">
        <f t="shared" si="14"/>
        <v>0</v>
      </c>
      <c r="AO190" s="1">
        <f t="shared" si="15"/>
        <v>0</v>
      </c>
      <c r="AP190" t="b" cm="1">
        <f t="array" ref="AP190">INDEX($AU$8:$BB$25,6*(R190-1)+MATCH(AB190,$AS$8:$AS$13,0),MATCH(O190,$AU$7:$BB$7,0))</f>
        <v>1</v>
      </c>
    </row>
    <row r="191" spans="15:42" ht="14.25" x14ac:dyDescent="0.45">
      <c r="O191" s="43" t="s">
        <v>30</v>
      </c>
      <c r="P191" s="43">
        <v>2</v>
      </c>
      <c r="Q191" s="43">
        <v>8</v>
      </c>
      <c r="R191" s="43">
        <v>1</v>
      </c>
      <c r="S191" s="45"/>
      <c r="T191" t="b">
        <f>(S191+S192+S193)=O3</f>
        <v>0</v>
      </c>
      <c r="X191" s="1">
        <f t="shared" si="17"/>
        <v>0</v>
      </c>
      <c r="Y191" s="48">
        <v>0</v>
      </c>
      <c r="AA191" s="1">
        <v>4</v>
      </c>
      <c r="AB191" s="1" t="s">
        <v>12</v>
      </c>
      <c r="AC191" s="1" t="s">
        <v>18</v>
      </c>
      <c r="AD191" s="1">
        <v>22</v>
      </c>
      <c r="AE191" s="1">
        <v>16</v>
      </c>
      <c r="AF191" s="1">
        <v>0.76</v>
      </c>
      <c r="AG191" s="1">
        <v>0.81</v>
      </c>
      <c r="AH191" s="1">
        <v>0</v>
      </c>
      <c r="AI191" s="1">
        <v>0</v>
      </c>
      <c r="AJ191" s="1">
        <f t="shared" si="12"/>
        <v>0</v>
      </c>
      <c r="AK191" s="1">
        <f>C21</f>
        <v>0</v>
      </c>
      <c r="AL191" s="1">
        <f>C27</f>
        <v>0</v>
      </c>
      <c r="AM191" s="1">
        <f t="shared" si="13"/>
        <v>0</v>
      </c>
      <c r="AN191" s="1">
        <f t="shared" si="14"/>
        <v>0</v>
      </c>
      <c r="AO191" s="1">
        <f t="shared" si="15"/>
        <v>0</v>
      </c>
      <c r="AP191" t="b" cm="1">
        <f t="array" ref="AP191">INDEX($AU$8:$BB$25,6*(R191-1)+MATCH(AB191,$AS$8:$AS$13,0),MATCH(O191,$AU$7:$BB$7,0))</f>
        <v>1</v>
      </c>
    </row>
    <row r="192" spans="15:42" ht="14.25" x14ac:dyDescent="0.45">
      <c r="O192" s="43" t="s">
        <v>30</v>
      </c>
      <c r="P192" s="43">
        <v>2</v>
      </c>
      <c r="Q192" s="43">
        <v>8</v>
      </c>
      <c r="R192" s="43">
        <v>2</v>
      </c>
      <c r="S192" s="45"/>
      <c r="T192" t="b">
        <f>(S191+S192+S193)=O3</f>
        <v>0</v>
      </c>
      <c r="X192" s="1">
        <f t="shared" si="17"/>
        <v>0</v>
      </c>
      <c r="Y192" s="48">
        <v>0</v>
      </c>
      <c r="AA192" s="1">
        <v>4</v>
      </c>
      <c r="AB192" s="1" t="s">
        <v>12</v>
      </c>
      <c r="AC192" s="1" t="s">
        <v>18</v>
      </c>
      <c r="AD192" s="1">
        <v>22</v>
      </c>
      <c r="AE192" s="1">
        <v>16</v>
      </c>
      <c r="AF192" s="1">
        <v>0.76</v>
      </c>
      <c r="AG192" s="1">
        <v>0.81</v>
      </c>
      <c r="AH192" s="1">
        <v>0</v>
      </c>
      <c r="AI192" s="1">
        <v>0</v>
      </c>
      <c r="AJ192" s="1">
        <f t="shared" si="12"/>
        <v>0</v>
      </c>
      <c r="AK192" s="1">
        <f>D21</f>
        <v>0</v>
      </c>
      <c r="AL192" s="1">
        <f>D27</f>
        <v>0</v>
      </c>
      <c r="AM192" s="1">
        <f t="shared" si="13"/>
        <v>0</v>
      </c>
      <c r="AN192" s="1">
        <f t="shared" si="14"/>
        <v>0</v>
      </c>
      <c r="AO192" s="1">
        <f t="shared" si="15"/>
        <v>0</v>
      </c>
      <c r="AP192" t="b" cm="1">
        <f t="array" ref="AP192">INDEX($AU$8:$BB$25,6*(R192-1)+MATCH(AB192,$AS$8:$AS$13,0),MATCH(O192,$AU$7:$BB$7,0))</f>
        <v>1</v>
      </c>
    </row>
    <row r="193" spans="15:42" ht="14.25" x14ac:dyDescent="0.45">
      <c r="O193" s="43" t="s">
        <v>30</v>
      </c>
      <c r="P193" s="43">
        <v>2</v>
      </c>
      <c r="Q193" s="43">
        <v>8</v>
      </c>
      <c r="R193" s="43">
        <v>3</v>
      </c>
      <c r="S193" s="45"/>
      <c r="T193" t="b">
        <f>(S191+S192+S193)=O3</f>
        <v>0</v>
      </c>
      <c r="X193" s="1">
        <f t="shared" si="17"/>
        <v>0</v>
      </c>
      <c r="Y193" s="48">
        <v>0</v>
      </c>
      <c r="AA193" s="1">
        <v>4</v>
      </c>
      <c r="AB193" s="1" t="s">
        <v>12</v>
      </c>
      <c r="AC193" s="1" t="s">
        <v>18</v>
      </c>
      <c r="AD193" s="1">
        <v>22</v>
      </c>
      <c r="AE193" s="1">
        <v>16</v>
      </c>
      <c r="AF193" s="1">
        <v>0.76</v>
      </c>
      <c r="AG193" s="1">
        <v>0.81</v>
      </c>
      <c r="AH193" s="1">
        <v>0</v>
      </c>
      <c r="AI193" s="1">
        <v>0</v>
      </c>
      <c r="AJ193" s="1">
        <f t="shared" si="12"/>
        <v>0</v>
      </c>
      <c r="AK193" s="1">
        <f>E21</f>
        <v>0</v>
      </c>
      <c r="AL193" s="1">
        <f>E27</f>
        <v>0</v>
      </c>
      <c r="AM193" s="1">
        <f t="shared" si="13"/>
        <v>0</v>
      </c>
      <c r="AN193" s="1">
        <f t="shared" si="14"/>
        <v>0</v>
      </c>
      <c r="AO193" s="1">
        <f t="shared" si="15"/>
        <v>0</v>
      </c>
      <c r="AP193" t="b" cm="1">
        <f t="array" ref="AP193">INDEX($AU$8:$BB$25,6*(R193-1)+MATCH(AB193,$AS$8:$AS$13,0),MATCH(O193,$AU$7:$BB$7,0))</f>
        <v>1</v>
      </c>
    </row>
    <row r="194" spans="15:42" ht="14.25" x14ac:dyDescent="0.45">
      <c r="O194" s="43" t="s">
        <v>30</v>
      </c>
      <c r="P194" s="43">
        <v>2</v>
      </c>
      <c r="Q194" s="43">
        <v>9</v>
      </c>
      <c r="R194" s="43">
        <v>1</v>
      </c>
      <c r="S194" s="45"/>
      <c r="T194" t="b">
        <f>(S194+S195+S196)=O3</f>
        <v>0</v>
      </c>
      <c r="X194" s="1">
        <f t="shared" si="17"/>
        <v>0</v>
      </c>
      <c r="Y194" s="48">
        <v>0</v>
      </c>
      <c r="AA194" s="1">
        <v>4</v>
      </c>
      <c r="AB194" s="1" t="s">
        <v>15</v>
      </c>
      <c r="AC194" s="1" t="s">
        <v>21</v>
      </c>
      <c r="AD194" s="1">
        <v>7</v>
      </c>
      <c r="AE194" s="1">
        <v>6</v>
      </c>
      <c r="AF194" s="1">
        <v>0.76</v>
      </c>
      <c r="AG194" s="1">
        <v>0.84</v>
      </c>
      <c r="AH194" s="1">
        <v>0</v>
      </c>
      <c r="AI194" s="1">
        <v>0</v>
      </c>
      <c r="AJ194" s="1">
        <f t="shared" si="12"/>
        <v>0</v>
      </c>
      <c r="AK194" s="1">
        <f>C24</f>
        <v>0</v>
      </c>
      <c r="AL194" s="1">
        <f>C30</f>
        <v>0</v>
      </c>
      <c r="AM194" s="1">
        <f t="shared" si="13"/>
        <v>0</v>
      </c>
      <c r="AN194" s="1">
        <f t="shared" si="14"/>
        <v>0</v>
      </c>
      <c r="AO194" s="1">
        <f t="shared" si="15"/>
        <v>0</v>
      </c>
      <c r="AP194" t="b" cm="1">
        <f t="array" ref="AP194">INDEX($AU$8:$BB$25,6*(R194-1)+MATCH(AB194,$AS$8:$AS$13,0),MATCH(O194,$AU$7:$BB$7,0))</f>
        <v>1</v>
      </c>
    </row>
    <row r="195" spans="15:42" ht="14.25" x14ac:dyDescent="0.45">
      <c r="O195" s="43" t="s">
        <v>30</v>
      </c>
      <c r="P195" s="43">
        <v>2</v>
      </c>
      <c r="Q195" s="43">
        <v>9</v>
      </c>
      <c r="R195" s="43">
        <v>2</v>
      </c>
      <c r="S195" s="45"/>
      <c r="T195" t="b">
        <f>(S194+S195+S196)=O3</f>
        <v>0</v>
      </c>
      <c r="X195" s="1">
        <f t="shared" si="17"/>
        <v>0</v>
      </c>
      <c r="Y195" s="48">
        <v>0</v>
      </c>
      <c r="AA195" s="1">
        <v>4</v>
      </c>
      <c r="AB195" s="1" t="s">
        <v>15</v>
      </c>
      <c r="AC195" s="1" t="s">
        <v>21</v>
      </c>
      <c r="AD195" s="1">
        <v>7</v>
      </c>
      <c r="AE195" s="1">
        <v>6</v>
      </c>
      <c r="AF195" s="1">
        <v>0.76</v>
      </c>
      <c r="AG195" s="1">
        <v>0.84</v>
      </c>
      <c r="AH195" s="1">
        <v>0</v>
      </c>
      <c r="AI195" s="1">
        <v>0</v>
      </c>
      <c r="AJ195" s="1">
        <f t="shared" si="12"/>
        <v>0</v>
      </c>
      <c r="AK195" s="1">
        <f>D24</f>
        <v>0</v>
      </c>
      <c r="AL195" s="1">
        <f>D30</f>
        <v>0</v>
      </c>
      <c r="AM195" s="1">
        <f t="shared" si="13"/>
        <v>0</v>
      </c>
      <c r="AN195" s="1">
        <f t="shared" si="14"/>
        <v>0</v>
      </c>
      <c r="AO195" s="1">
        <f t="shared" si="15"/>
        <v>0</v>
      </c>
      <c r="AP195" t="b" cm="1">
        <f t="array" ref="AP195">INDEX($AU$8:$BB$25,6*(R195-1)+MATCH(AB195,$AS$8:$AS$13,0),MATCH(O195,$AU$7:$BB$7,0))</f>
        <v>1</v>
      </c>
    </row>
    <row r="196" spans="15:42" ht="14.25" x14ac:dyDescent="0.45">
      <c r="O196" s="43" t="s">
        <v>30</v>
      </c>
      <c r="P196" s="43">
        <v>2</v>
      </c>
      <c r="Q196" s="43">
        <v>9</v>
      </c>
      <c r="R196" s="43">
        <v>3</v>
      </c>
      <c r="S196" s="45"/>
      <c r="T196" t="b">
        <f>(S194+S195+S196)=O3</f>
        <v>0</v>
      </c>
      <c r="X196" s="1">
        <f t="shared" si="17"/>
        <v>0</v>
      </c>
      <c r="Y196" s="48">
        <v>0</v>
      </c>
      <c r="AA196" s="1">
        <v>4</v>
      </c>
      <c r="AB196" s="1" t="s">
        <v>15</v>
      </c>
      <c r="AC196" s="1" t="s">
        <v>21</v>
      </c>
      <c r="AD196" s="1">
        <v>7</v>
      </c>
      <c r="AE196" s="1">
        <v>6</v>
      </c>
      <c r="AF196" s="1">
        <v>0.76</v>
      </c>
      <c r="AG196" s="1">
        <v>0.84</v>
      </c>
      <c r="AH196" s="1">
        <v>0</v>
      </c>
      <c r="AI196" s="1">
        <v>0</v>
      </c>
      <c r="AJ196" s="1">
        <f t="shared" si="12"/>
        <v>0</v>
      </c>
      <c r="AK196" s="1">
        <f>E24</f>
        <v>0</v>
      </c>
      <c r="AL196" s="1">
        <f>E30</f>
        <v>0</v>
      </c>
      <c r="AM196" s="1">
        <f t="shared" si="13"/>
        <v>0</v>
      </c>
      <c r="AN196" s="1">
        <f t="shared" si="14"/>
        <v>0</v>
      </c>
      <c r="AO196" s="1">
        <f t="shared" si="15"/>
        <v>0</v>
      </c>
      <c r="AP196" t="b" cm="1">
        <f t="array" ref="AP196">INDEX($AU$8:$BB$25,6*(R196-1)+MATCH(AB196,$AS$8:$AS$13,0),MATCH(O196,$AU$7:$BB$7,0))</f>
        <v>1</v>
      </c>
    </row>
    <row r="197" spans="15:42" ht="14.25" x14ac:dyDescent="0.45">
      <c r="O197" s="43" t="s">
        <v>30</v>
      </c>
      <c r="P197" s="43">
        <v>2</v>
      </c>
      <c r="Q197" s="43">
        <v>10</v>
      </c>
      <c r="R197" s="43">
        <v>1</v>
      </c>
      <c r="S197" s="45"/>
      <c r="T197" t="b">
        <f>(S197+S198+S199)=O3</f>
        <v>0</v>
      </c>
      <c r="X197" s="1">
        <f t="shared" si="17"/>
        <v>0</v>
      </c>
      <c r="Y197" s="48">
        <v>0</v>
      </c>
      <c r="AA197" s="1">
        <v>6</v>
      </c>
      <c r="AB197" s="1" t="s">
        <v>15</v>
      </c>
      <c r="AC197" s="1" t="s">
        <v>21</v>
      </c>
      <c r="AD197" s="1">
        <v>9</v>
      </c>
      <c r="AE197" s="1">
        <v>7</v>
      </c>
      <c r="AF197" s="1">
        <v>0.76</v>
      </c>
      <c r="AG197" s="1">
        <v>0.84</v>
      </c>
      <c r="AH197" s="1">
        <v>0</v>
      </c>
      <c r="AI197" s="1">
        <v>0</v>
      </c>
      <c r="AJ197" s="1">
        <f t="shared" si="12"/>
        <v>0</v>
      </c>
      <c r="AK197" s="1">
        <f>C24</f>
        <v>0</v>
      </c>
      <c r="AL197" s="1">
        <f>C30</f>
        <v>0</v>
      </c>
      <c r="AM197" s="1">
        <f t="shared" si="13"/>
        <v>0</v>
      </c>
      <c r="AN197" s="1">
        <f t="shared" si="14"/>
        <v>0</v>
      </c>
      <c r="AO197" s="1">
        <f t="shared" si="15"/>
        <v>0</v>
      </c>
      <c r="AP197" t="b" cm="1">
        <f t="array" ref="AP197">INDEX($AU$8:$BB$25,6*(R197-1)+MATCH(AB197,$AS$8:$AS$13,0),MATCH(O197,$AU$7:$BB$7,0))</f>
        <v>1</v>
      </c>
    </row>
    <row r="198" spans="15:42" ht="14.25" x14ac:dyDescent="0.45">
      <c r="O198" s="43" t="s">
        <v>30</v>
      </c>
      <c r="P198" s="43">
        <v>2</v>
      </c>
      <c r="Q198" s="43">
        <v>10</v>
      </c>
      <c r="R198" s="43">
        <v>2</v>
      </c>
      <c r="S198" s="45"/>
      <c r="T198" t="b">
        <f>(S197+S198+S199)=O3</f>
        <v>0</v>
      </c>
      <c r="X198" s="1">
        <f t="shared" si="17"/>
        <v>0</v>
      </c>
      <c r="Y198" s="48">
        <v>0</v>
      </c>
      <c r="AA198" s="1">
        <v>6</v>
      </c>
      <c r="AB198" s="1" t="s">
        <v>15</v>
      </c>
      <c r="AC198" s="1" t="s">
        <v>21</v>
      </c>
      <c r="AD198" s="1">
        <v>9</v>
      </c>
      <c r="AE198" s="1">
        <v>7</v>
      </c>
      <c r="AF198" s="1">
        <v>0.76</v>
      </c>
      <c r="AG198" s="1">
        <v>0.84</v>
      </c>
      <c r="AH198" s="1">
        <v>0</v>
      </c>
      <c r="AI198" s="1">
        <v>0</v>
      </c>
      <c r="AJ198" s="1">
        <f t="shared" si="12"/>
        <v>0</v>
      </c>
      <c r="AK198" s="1">
        <f>D24</f>
        <v>0</v>
      </c>
      <c r="AL198" s="1">
        <f>D30</f>
        <v>0</v>
      </c>
      <c r="AM198" s="1">
        <f t="shared" si="13"/>
        <v>0</v>
      </c>
      <c r="AN198" s="1">
        <f t="shared" si="14"/>
        <v>0</v>
      </c>
      <c r="AO198" s="1">
        <f t="shared" si="15"/>
        <v>0</v>
      </c>
      <c r="AP198" t="b" cm="1">
        <f t="array" ref="AP198">INDEX($AU$8:$BB$25,6*(R198-1)+MATCH(AB198,$AS$8:$AS$13,0),MATCH(O198,$AU$7:$BB$7,0))</f>
        <v>1</v>
      </c>
    </row>
    <row r="199" spans="15:42" ht="14.25" x14ac:dyDescent="0.45">
      <c r="O199" s="43" t="s">
        <v>30</v>
      </c>
      <c r="P199" s="43">
        <v>2</v>
      </c>
      <c r="Q199" s="43">
        <v>10</v>
      </c>
      <c r="R199" s="43">
        <v>3</v>
      </c>
      <c r="S199" s="45"/>
      <c r="T199" t="b">
        <f>(S197+S198+S199)=O3</f>
        <v>0</v>
      </c>
      <c r="X199" s="1">
        <f t="shared" si="17"/>
        <v>0</v>
      </c>
      <c r="Y199" s="48">
        <v>0</v>
      </c>
      <c r="AA199" s="1">
        <v>6</v>
      </c>
      <c r="AB199" s="1" t="s">
        <v>15</v>
      </c>
      <c r="AC199" s="1" t="s">
        <v>21</v>
      </c>
      <c r="AD199" s="1">
        <v>9</v>
      </c>
      <c r="AE199" s="1">
        <v>7</v>
      </c>
      <c r="AF199" s="1">
        <v>0.76</v>
      </c>
      <c r="AG199" s="1">
        <v>0.84</v>
      </c>
      <c r="AH199" s="1">
        <v>0</v>
      </c>
      <c r="AI199" s="1">
        <v>0</v>
      </c>
      <c r="AJ199" s="1">
        <f t="shared" si="12"/>
        <v>0</v>
      </c>
      <c r="AK199" s="1">
        <f>E24</f>
        <v>0</v>
      </c>
      <c r="AL199" s="1">
        <f>E30</f>
        <v>0</v>
      </c>
      <c r="AM199" s="1">
        <f t="shared" si="13"/>
        <v>0</v>
      </c>
      <c r="AN199" s="1">
        <f t="shared" si="14"/>
        <v>0</v>
      </c>
      <c r="AO199" s="1">
        <f t="shared" si="15"/>
        <v>0</v>
      </c>
      <c r="AP199" t="b" cm="1">
        <f t="array" ref="AP199">INDEX($AU$8:$BB$25,6*(R199-1)+MATCH(AB199,$AS$8:$AS$13,0),MATCH(O199,$AU$7:$BB$7,0))</f>
        <v>1</v>
      </c>
    </row>
    <row r="200" spans="15:42" ht="14.25" x14ac:dyDescent="0.45">
      <c r="O200" s="43" t="s">
        <v>30</v>
      </c>
      <c r="P200" s="43">
        <v>2</v>
      </c>
      <c r="Q200" s="43">
        <v>11</v>
      </c>
      <c r="R200" s="43">
        <v>1</v>
      </c>
      <c r="S200" s="45"/>
      <c r="T200" t="b">
        <f>(S200+S201+S202)=O3</f>
        <v>0</v>
      </c>
      <c r="X200" s="1">
        <f t="shared" si="17"/>
        <v>0</v>
      </c>
      <c r="Y200" s="48">
        <v>0</v>
      </c>
      <c r="AA200" s="1">
        <v>2</v>
      </c>
      <c r="AB200" s="1" t="s">
        <v>15</v>
      </c>
      <c r="AC200" s="1" t="s">
        <v>21</v>
      </c>
      <c r="AD200" s="1">
        <v>20</v>
      </c>
      <c r="AE200" s="1">
        <v>19</v>
      </c>
      <c r="AF200" s="1">
        <v>0.76</v>
      </c>
      <c r="AG200" s="1">
        <v>0.84</v>
      </c>
      <c r="AH200" s="1">
        <v>0</v>
      </c>
      <c r="AI200" s="1">
        <v>0</v>
      </c>
      <c r="AJ200" s="1">
        <f t="shared" si="12"/>
        <v>0</v>
      </c>
      <c r="AK200" s="1">
        <f>C24</f>
        <v>0</v>
      </c>
      <c r="AL200" s="1">
        <f>C30</f>
        <v>0</v>
      </c>
      <c r="AM200" s="1">
        <f t="shared" si="13"/>
        <v>0</v>
      </c>
      <c r="AN200" s="1">
        <f t="shared" si="14"/>
        <v>0</v>
      </c>
      <c r="AO200" s="1">
        <f t="shared" si="15"/>
        <v>0</v>
      </c>
      <c r="AP200" t="b" cm="1">
        <f t="array" ref="AP200">INDEX($AU$8:$BB$25,6*(R200-1)+MATCH(AB200,$AS$8:$AS$13,0),MATCH(O200,$AU$7:$BB$7,0))</f>
        <v>1</v>
      </c>
    </row>
    <row r="201" spans="15:42" ht="14.25" x14ac:dyDescent="0.45">
      <c r="O201" s="43" t="s">
        <v>30</v>
      </c>
      <c r="P201" s="43">
        <v>2</v>
      </c>
      <c r="Q201" s="43">
        <v>11</v>
      </c>
      <c r="R201" s="43">
        <v>2</v>
      </c>
      <c r="S201" s="45"/>
      <c r="T201" t="b">
        <f>(S200+S201+S202)=O3</f>
        <v>0</v>
      </c>
      <c r="X201" s="1">
        <f t="shared" si="17"/>
        <v>0</v>
      </c>
      <c r="Y201" s="48">
        <v>0</v>
      </c>
      <c r="AA201" s="1">
        <v>2</v>
      </c>
      <c r="AB201" s="1" t="s">
        <v>15</v>
      </c>
      <c r="AC201" s="1" t="s">
        <v>21</v>
      </c>
      <c r="AD201" s="1">
        <v>20</v>
      </c>
      <c r="AE201" s="1">
        <v>19</v>
      </c>
      <c r="AF201" s="1">
        <v>0.76</v>
      </c>
      <c r="AG201" s="1">
        <v>0.84</v>
      </c>
      <c r="AH201" s="1">
        <v>0</v>
      </c>
      <c r="AI201" s="1">
        <v>0</v>
      </c>
      <c r="AJ201" s="1">
        <f t="shared" ref="AJ201:AJ264" si="18">SUMIFS(AH$8:AH$1039,$O$8:$O$1039,O201,$AB$8:$AB$1039,AB201,$R$8:$R$1039,R201,$AA$8:$AA$1039,"&lt;="&amp;AA201)</f>
        <v>0</v>
      </c>
      <c r="AK201" s="1">
        <f>D24</f>
        <v>0</v>
      </c>
      <c r="AL201" s="1">
        <f>D30</f>
        <v>0</v>
      </c>
      <c r="AM201" s="1">
        <f t="shared" ref="AM201:AM264" si="19">MAX(0,AJ201-AK201)</f>
        <v>0</v>
      </c>
      <c r="AN201" s="1">
        <f t="shared" ref="AN201:AN264" si="20">IF(AM201=0,AH201,IF(AM201&gt;=AH201,0,AH201-AM201))</f>
        <v>0</v>
      </c>
      <c r="AO201" s="1">
        <f t="shared" ref="AO201:AO264" si="21">IF(AM201&gt;=AH201,AI201,AI201*AM201/AH201)</f>
        <v>0</v>
      </c>
      <c r="AP201" t="b" cm="1">
        <f t="array" ref="AP201">INDEX($AU$8:$BB$25,6*(R201-1)+MATCH(AB201,$AS$8:$AS$13,0),MATCH(O201,$AU$7:$BB$7,0))</f>
        <v>1</v>
      </c>
    </row>
    <row r="202" spans="15:42" ht="14.25" x14ac:dyDescent="0.45">
      <c r="O202" s="43" t="s">
        <v>30</v>
      </c>
      <c r="P202" s="43">
        <v>2</v>
      </c>
      <c r="Q202" s="43">
        <v>11</v>
      </c>
      <c r="R202" s="43">
        <v>3</v>
      </c>
      <c r="S202" s="45"/>
      <c r="T202" t="b">
        <f>(S200+S201+S202)=O3</f>
        <v>0</v>
      </c>
      <c r="X202" s="1">
        <f t="shared" si="17"/>
        <v>0</v>
      </c>
      <c r="Y202" s="48">
        <v>0</v>
      </c>
      <c r="AA202" s="1">
        <v>2</v>
      </c>
      <c r="AB202" s="1" t="s">
        <v>15</v>
      </c>
      <c r="AC202" s="1" t="s">
        <v>21</v>
      </c>
      <c r="AD202" s="1">
        <v>20</v>
      </c>
      <c r="AE202" s="1">
        <v>19</v>
      </c>
      <c r="AF202" s="1">
        <v>0.76</v>
      </c>
      <c r="AG202" s="1">
        <v>0.84</v>
      </c>
      <c r="AH202" s="1">
        <v>0</v>
      </c>
      <c r="AI202" s="1">
        <v>0</v>
      </c>
      <c r="AJ202" s="1">
        <f t="shared" si="18"/>
        <v>0</v>
      </c>
      <c r="AK202" s="1">
        <f>E24</f>
        <v>0</v>
      </c>
      <c r="AL202" s="1">
        <f>E30</f>
        <v>0</v>
      </c>
      <c r="AM202" s="1">
        <f t="shared" si="19"/>
        <v>0</v>
      </c>
      <c r="AN202" s="1">
        <f t="shared" si="20"/>
        <v>0</v>
      </c>
      <c r="AO202" s="1">
        <f t="shared" si="21"/>
        <v>0</v>
      </c>
      <c r="AP202" t="b" cm="1">
        <f t="array" ref="AP202">INDEX($AU$8:$BB$25,6*(R202-1)+MATCH(AB202,$AS$8:$AS$13,0),MATCH(O202,$AU$7:$BB$7,0))</f>
        <v>1</v>
      </c>
    </row>
    <row r="203" spans="15:42" ht="14.25" x14ac:dyDescent="0.45">
      <c r="O203" s="43" t="s">
        <v>30</v>
      </c>
      <c r="P203" s="43">
        <v>2</v>
      </c>
      <c r="Q203" s="43">
        <v>12</v>
      </c>
      <c r="R203" s="43">
        <v>1</v>
      </c>
      <c r="S203" s="45"/>
      <c r="T203" t="b">
        <f>(S203+S204+S205)=O3</f>
        <v>0</v>
      </c>
      <c r="X203" s="1">
        <f t="shared" si="17"/>
        <v>0</v>
      </c>
      <c r="Y203" s="48">
        <v>0</v>
      </c>
      <c r="AA203" s="1">
        <v>7</v>
      </c>
      <c r="AB203" s="1" t="s">
        <v>16</v>
      </c>
      <c r="AC203" s="1" t="s">
        <v>22</v>
      </c>
      <c r="AD203" s="1">
        <v>21</v>
      </c>
      <c r="AE203" s="1">
        <v>18</v>
      </c>
      <c r="AF203" s="1">
        <v>0.8</v>
      </c>
      <c r="AG203" s="1">
        <v>0.9</v>
      </c>
      <c r="AH203" s="1">
        <v>0</v>
      </c>
      <c r="AI203" s="1">
        <v>0</v>
      </c>
      <c r="AJ203" s="1">
        <f t="shared" si="18"/>
        <v>0</v>
      </c>
      <c r="AK203" s="1">
        <f>C25</f>
        <v>0</v>
      </c>
      <c r="AL203" s="1">
        <f>C31</f>
        <v>0</v>
      </c>
      <c r="AM203" s="1">
        <f t="shared" si="19"/>
        <v>0</v>
      </c>
      <c r="AN203" s="1">
        <f t="shared" si="20"/>
        <v>0</v>
      </c>
      <c r="AO203" s="1">
        <f t="shared" si="21"/>
        <v>0</v>
      </c>
      <c r="AP203" t="b" cm="1">
        <f t="array" ref="AP203">INDEX($AU$8:$BB$25,6*(R203-1)+MATCH(AB203,$AS$8:$AS$13,0),MATCH(O203,$AU$7:$BB$7,0))</f>
        <v>1</v>
      </c>
    </row>
    <row r="204" spans="15:42" ht="14.25" x14ac:dyDescent="0.45">
      <c r="O204" s="43" t="s">
        <v>30</v>
      </c>
      <c r="P204" s="43">
        <v>2</v>
      </c>
      <c r="Q204" s="43">
        <v>12</v>
      </c>
      <c r="R204" s="43">
        <v>2</v>
      </c>
      <c r="S204" s="45"/>
      <c r="T204" t="b">
        <f>(S203+S204+S205)=O3</f>
        <v>0</v>
      </c>
      <c r="X204" s="1">
        <f t="shared" si="17"/>
        <v>0</v>
      </c>
      <c r="Y204" s="48">
        <v>0</v>
      </c>
      <c r="AA204" s="1">
        <v>7</v>
      </c>
      <c r="AB204" s="1" t="s">
        <v>16</v>
      </c>
      <c r="AC204" s="1" t="s">
        <v>22</v>
      </c>
      <c r="AD204" s="1">
        <v>21</v>
      </c>
      <c r="AE204" s="1">
        <v>18</v>
      </c>
      <c r="AF204" s="1">
        <v>0.8</v>
      </c>
      <c r="AG204" s="1">
        <v>0.9</v>
      </c>
      <c r="AH204" s="1">
        <v>0</v>
      </c>
      <c r="AI204" s="1">
        <v>0</v>
      </c>
      <c r="AJ204" s="1">
        <f t="shared" si="18"/>
        <v>0</v>
      </c>
      <c r="AK204" s="1">
        <f>D25</f>
        <v>0</v>
      </c>
      <c r="AL204" s="1">
        <f>D31</f>
        <v>0</v>
      </c>
      <c r="AM204" s="1">
        <f t="shared" si="19"/>
        <v>0</v>
      </c>
      <c r="AN204" s="1">
        <f t="shared" si="20"/>
        <v>0</v>
      </c>
      <c r="AO204" s="1">
        <f t="shared" si="21"/>
        <v>0</v>
      </c>
      <c r="AP204" t="b" cm="1">
        <f t="array" ref="AP204">INDEX($AU$8:$BB$25,6*(R204-1)+MATCH(AB204,$AS$8:$AS$13,0),MATCH(O204,$AU$7:$BB$7,0))</f>
        <v>1</v>
      </c>
    </row>
    <row r="205" spans="15:42" ht="14.25" x14ac:dyDescent="0.45">
      <c r="O205" s="43" t="s">
        <v>30</v>
      </c>
      <c r="P205" s="43">
        <v>2</v>
      </c>
      <c r="Q205" s="43">
        <v>12</v>
      </c>
      <c r="R205" s="43">
        <v>3</v>
      </c>
      <c r="S205" s="45"/>
      <c r="T205" t="b">
        <f>(S203+S204+S205)=O3</f>
        <v>0</v>
      </c>
      <c r="X205" s="1">
        <f t="shared" si="17"/>
        <v>0</v>
      </c>
      <c r="Y205" s="48">
        <v>0</v>
      </c>
      <c r="AA205" s="1">
        <v>7</v>
      </c>
      <c r="AB205" s="1" t="s">
        <v>16</v>
      </c>
      <c r="AC205" s="1" t="s">
        <v>22</v>
      </c>
      <c r="AD205" s="1">
        <v>21</v>
      </c>
      <c r="AE205" s="1">
        <v>18</v>
      </c>
      <c r="AF205" s="1">
        <v>0.8</v>
      </c>
      <c r="AG205" s="1">
        <v>0.9</v>
      </c>
      <c r="AH205" s="1">
        <v>0</v>
      </c>
      <c r="AI205" s="1">
        <v>0</v>
      </c>
      <c r="AJ205" s="1">
        <f t="shared" si="18"/>
        <v>0</v>
      </c>
      <c r="AK205" s="1">
        <f>E25</f>
        <v>0</v>
      </c>
      <c r="AL205" s="1">
        <f>E31</f>
        <v>0</v>
      </c>
      <c r="AM205" s="1">
        <f t="shared" si="19"/>
        <v>0</v>
      </c>
      <c r="AN205" s="1">
        <f t="shared" si="20"/>
        <v>0</v>
      </c>
      <c r="AO205" s="1">
        <f t="shared" si="21"/>
        <v>0</v>
      </c>
      <c r="AP205" t="b" cm="1">
        <f t="array" ref="AP205">INDEX($AU$8:$BB$25,6*(R205-1)+MATCH(AB205,$AS$8:$AS$13,0),MATCH(O205,$AU$7:$BB$7,0))</f>
        <v>1</v>
      </c>
    </row>
    <row r="206" spans="15:42" ht="14.25" x14ac:dyDescent="0.45">
      <c r="O206" s="43" t="s">
        <v>30</v>
      </c>
      <c r="P206" s="43">
        <v>2</v>
      </c>
      <c r="Q206" s="43">
        <v>13</v>
      </c>
      <c r="R206" s="43">
        <v>1</v>
      </c>
      <c r="S206" s="45"/>
      <c r="T206" t="b">
        <f>(S206+S207+S208)=O3</f>
        <v>0</v>
      </c>
      <c r="X206" s="1">
        <f t="shared" si="17"/>
        <v>0</v>
      </c>
      <c r="Y206" s="48">
        <v>0</v>
      </c>
      <c r="AA206" s="1">
        <v>8</v>
      </c>
      <c r="AB206" s="1" t="s">
        <v>15</v>
      </c>
      <c r="AC206" s="1" t="s">
        <v>21</v>
      </c>
      <c r="AD206" s="1">
        <v>12</v>
      </c>
      <c r="AE206" s="1">
        <v>9</v>
      </c>
      <c r="AF206" s="1">
        <v>0.76</v>
      </c>
      <c r="AG206" s="1">
        <v>0.84</v>
      </c>
      <c r="AH206" s="1">
        <v>0</v>
      </c>
      <c r="AI206" s="1">
        <v>0</v>
      </c>
      <c r="AJ206" s="1">
        <f t="shared" si="18"/>
        <v>0</v>
      </c>
      <c r="AK206" s="1">
        <f>C24</f>
        <v>0</v>
      </c>
      <c r="AL206" s="1">
        <f>C30</f>
        <v>0</v>
      </c>
      <c r="AM206" s="1">
        <f t="shared" si="19"/>
        <v>0</v>
      </c>
      <c r="AN206" s="1">
        <f t="shared" si="20"/>
        <v>0</v>
      </c>
      <c r="AO206" s="1">
        <f t="shared" si="21"/>
        <v>0</v>
      </c>
      <c r="AP206" t="b" cm="1">
        <f t="array" ref="AP206">INDEX($AU$8:$BB$25,6*(R206-1)+MATCH(AB206,$AS$8:$AS$13,0),MATCH(O206,$AU$7:$BB$7,0))</f>
        <v>1</v>
      </c>
    </row>
    <row r="207" spans="15:42" ht="14.25" x14ac:dyDescent="0.45">
      <c r="O207" s="43" t="s">
        <v>30</v>
      </c>
      <c r="P207" s="43">
        <v>2</v>
      </c>
      <c r="Q207" s="43">
        <v>13</v>
      </c>
      <c r="R207" s="43">
        <v>2</v>
      </c>
      <c r="S207" s="45"/>
      <c r="T207" t="b">
        <f>(S206+S207+S208)=O3</f>
        <v>0</v>
      </c>
      <c r="X207" s="1">
        <f t="shared" si="17"/>
        <v>0</v>
      </c>
      <c r="Y207" s="48">
        <v>0</v>
      </c>
      <c r="AA207" s="1">
        <v>8</v>
      </c>
      <c r="AB207" s="1" t="s">
        <v>15</v>
      </c>
      <c r="AC207" s="1" t="s">
        <v>21</v>
      </c>
      <c r="AD207" s="1">
        <v>12</v>
      </c>
      <c r="AE207" s="1">
        <v>9</v>
      </c>
      <c r="AF207" s="1">
        <v>0.76</v>
      </c>
      <c r="AG207" s="1">
        <v>0.84</v>
      </c>
      <c r="AH207" s="1">
        <v>0</v>
      </c>
      <c r="AI207" s="1">
        <v>0</v>
      </c>
      <c r="AJ207" s="1">
        <f t="shared" si="18"/>
        <v>0</v>
      </c>
      <c r="AK207" s="1">
        <f>D24</f>
        <v>0</v>
      </c>
      <c r="AL207" s="1">
        <f>D30</f>
        <v>0</v>
      </c>
      <c r="AM207" s="1">
        <f t="shared" si="19"/>
        <v>0</v>
      </c>
      <c r="AN207" s="1">
        <f t="shared" si="20"/>
        <v>0</v>
      </c>
      <c r="AO207" s="1">
        <f t="shared" si="21"/>
        <v>0</v>
      </c>
      <c r="AP207" t="b" cm="1">
        <f t="array" ref="AP207">INDEX($AU$8:$BB$25,6*(R207-1)+MATCH(AB207,$AS$8:$AS$13,0),MATCH(O207,$AU$7:$BB$7,0))</f>
        <v>1</v>
      </c>
    </row>
    <row r="208" spans="15:42" ht="14.25" x14ac:dyDescent="0.45">
      <c r="O208" s="43" t="s">
        <v>30</v>
      </c>
      <c r="P208" s="43">
        <v>2</v>
      </c>
      <c r="Q208" s="43">
        <v>13</v>
      </c>
      <c r="R208" s="43">
        <v>3</v>
      </c>
      <c r="S208" s="45"/>
      <c r="T208" t="b">
        <f>(S206+S207+S208)=O3</f>
        <v>0</v>
      </c>
      <c r="X208" s="1">
        <f t="shared" si="17"/>
        <v>0</v>
      </c>
      <c r="Y208" s="48">
        <v>0</v>
      </c>
      <c r="AA208" s="1">
        <v>8</v>
      </c>
      <c r="AB208" s="1" t="s">
        <v>15</v>
      </c>
      <c r="AC208" s="1" t="s">
        <v>21</v>
      </c>
      <c r="AD208" s="1">
        <v>12</v>
      </c>
      <c r="AE208" s="1">
        <v>9</v>
      </c>
      <c r="AF208" s="1">
        <v>0.76</v>
      </c>
      <c r="AG208" s="1">
        <v>0.84</v>
      </c>
      <c r="AH208" s="1">
        <v>0</v>
      </c>
      <c r="AI208" s="1">
        <v>0</v>
      </c>
      <c r="AJ208" s="1">
        <f t="shared" si="18"/>
        <v>0</v>
      </c>
      <c r="AK208" s="1">
        <f>E24</f>
        <v>0</v>
      </c>
      <c r="AL208" s="1">
        <f>E30</f>
        <v>0</v>
      </c>
      <c r="AM208" s="1">
        <f t="shared" si="19"/>
        <v>0</v>
      </c>
      <c r="AN208" s="1">
        <f t="shared" si="20"/>
        <v>0</v>
      </c>
      <c r="AO208" s="1">
        <f t="shared" si="21"/>
        <v>0</v>
      </c>
      <c r="AP208" t="b" cm="1">
        <f t="array" ref="AP208">INDEX($AU$8:$BB$25,6*(R208-1)+MATCH(AB208,$AS$8:$AS$13,0),MATCH(O208,$AU$7:$BB$7,0))</f>
        <v>1</v>
      </c>
    </row>
    <row r="209" spans="15:42" ht="14.25" x14ac:dyDescent="0.45">
      <c r="O209" s="43" t="s">
        <v>30</v>
      </c>
      <c r="P209" s="43">
        <v>2</v>
      </c>
      <c r="Q209" s="43">
        <v>14</v>
      </c>
      <c r="R209" s="43">
        <v>1</v>
      </c>
      <c r="S209" s="45"/>
      <c r="T209" t="b">
        <f>(S209+S210+S211)=O3</f>
        <v>0</v>
      </c>
      <c r="X209" s="1">
        <f t="shared" si="17"/>
        <v>0</v>
      </c>
      <c r="Y209" s="48">
        <v>0</v>
      </c>
      <c r="AA209" s="1">
        <v>5</v>
      </c>
      <c r="AB209" s="1" t="s">
        <v>15</v>
      </c>
      <c r="AC209" s="1" t="s">
        <v>21</v>
      </c>
      <c r="AD209" s="1">
        <v>15</v>
      </c>
      <c r="AE209" s="1">
        <v>12</v>
      </c>
      <c r="AF209" s="1">
        <v>0.76</v>
      </c>
      <c r="AG209" s="1">
        <v>0.84</v>
      </c>
      <c r="AH209" s="1">
        <v>0</v>
      </c>
      <c r="AI209" s="1">
        <v>0</v>
      </c>
      <c r="AJ209" s="1">
        <f t="shared" si="18"/>
        <v>0</v>
      </c>
      <c r="AK209" s="1">
        <f>C24</f>
        <v>0</v>
      </c>
      <c r="AL209" s="1">
        <f>C30</f>
        <v>0</v>
      </c>
      <c r="AM209" s="1">
        <f t="shared" si="19"/>
        <v>0</v>
      </c>
      <c r="AN209" s="1">
        <f t="shared" si="20"/>
        <v>0</v>
      </c>
      <c r="AO209" s="1">
        <f t="shared" si="21"/>
        <v>0</v>
      </c>
      <c r="AP209" t="b" cm="1">
        <f t="array" ref="AP209">INDEX($AU$8:$BB$25,6*(R209-1)+MATCH(AB209,$AS$8:$AS$13,0),MATCH(O209,$AU$7:$BB$7,0))</f>
        <v>1</v>
      </c>
    </row>
    <row r="210" spans="15:42" ht="14.25" x14ac:dyDescent="0.45">
      <c r="O210" s="43" t="s">
        <v>30</v>
      </c>
      <c r="P210" s="43">
        <v>2</v>
      </c>
      <c r="Q210" s="43">
        <v>14</v>
      </c>
      <c r="R210" s="43">
        <v>2</v>
      </c>
      <c r="S210" s="45"/>
      <c r="T210" t="b">
        <f>(S209+S210+S211)=O3</f>
        <v>0</v>
      </c>
      <c r="X210" s="1">
        <f t="shared" si="17"/>
        <v>0</v>
      </c>
      <c r="Y210" s="48">
        <v>0</v>
      </c>
      <c r="AA210" s="1">
        <v>5</v>
      </c>
      <c r="AB210" s="1" t="s">
        <v>15</v>
      </c>
      <c r="AC210" s="1" t="s">
        <v>21</v>
      </c>
      <c r="AD210" s="1">
        <v>15</v>
      </c>
      <c r="AE210" s="1">
        <v>12</v>
      </c>
      <c r="AF210" s="1">
        <v>0.76</v>
      </c>
      <c r="AG210" s="1">
        <v>0.84</v>
      </c>
      <c r="AH210" s="1">
        <v>0</v>
      </c>
      <c r="AI210" s="1">
        <v>0</v>
      </c>
      <c r="AJ210" s="1">
        <f t="shared" si="18"/>
        <v>0</v>
      </c>
      <c r="AK210" s="1">
        <f>D24</f>
        <v>0</v>
      </c>
      <c r="AL210" s="1">
        <f>D30</f>
        <v>0</v>
      </c>
      <c r="AM210" s="1">
        <f t="shared" si="19"/>
        <v>0</v>
      </c>
      <c r="AN210" s="1">
        <f t="shared" si="20"/>
        <v>0</v>
      </c>
      <c r="AO210" s="1">
        <f t="shared" si="21"/>
        <v>0</v>
      </c>
      <c r="AP210" t="b" cm="1">
        <f t="array" ref="AP210">INDEX($AU$8:$BB$25,6*(R210-1)+MATCH(AB210,$AS$8:$AS$13,0),MATCH(O210,$AU$7:$BB$7,0))</f>
        <v>1</v>
      </c>
    </row>
    <row r="211" spans="15:42" ht="14.25" x14ac:dyDescent="0.45">
      <c r="O211" s="43" t="s">
        <v>30</v>
      </c>
      <c r="P211" s="43">
        <v>2</v>
      </c>
      <c r="Q211" s="43">
        <v>14</v>
      </c>
      <c r="R211" s="43">
        <v>3</v>
      </c>
      <c r="S211" s="45"/>
      <c r="T211" t="b">
        <f>(S209+S210+S211)=O3</f>
        <v>0</v>
      </c>
      <c r="X211" s="1">
        <f t="shared" si="17"/>
        <v>0</v>
      </c>
      <c r="Y211" s="48">
        <v>0</v>
      </c>
      <c r="AA211" s="1">
        <v>5</v>
      </c>
      <c r="AB211" s="1" t="s">
        <v>15</v>
      </c>
      <c r="AC211" s="1" t="s">
        <v>21</v>
      </c>
      <c r="AD211" s="1">
        <v>15</v>
      </c>
      <c r="AE211" s="1">
        <v>12</v>
      </c>
      <c r="AF211" s="1">
        <v>0.76</v>
      </c>
      <c r="AG211" s="1">
        <v>0.84</v>
      </c>
      <c r="AH211" s="1">
        <v>0</v>
      </c>
      <c r="AI211" s="1">
        <v>0</v>
      </c>
      <c r="AJ211" s="1">
        <f t="shared" si="18"/>
        <v>0</v>
      </c>
      <c r="AK211" s="1">
        <f>E24</f>
        <v>0</v>
      </c>
      <c r="AL211" s="1">
        <f>E30</f>
        <v>0</v>
      </c>
      <c r="AM211" s="1">
        <f t="shared" si="19"/>
        <v>0</v>
      </c>
      <c r="AN211" s="1">
        <f t="shared" si="20"/>
        <v>0</v>
      </c>
      <c r="AO211" s="1">
        <f t="shared" si="21"/>
        <v>0</v>
      </c>
      <c r="AP211" t="b" cm="1">
        <f t="array" ref="AP211">INDEX($AU$8:$BB$25,6*(R211-1)+MATCH(AB211,$AS$8:$AS$13,0),MATCH(O211,$AU$7:$BB$7,0))</f>
        <v>1</v>
      </c>
    </row>
    <row r="212" spans="15:42" ht="14.25" x14ac:dyDescent="0.45">
      <c r="O212" s="43" t="s">
        <v>30</v>
      </c>
      <c r="P212" s="43">
        <v>2</v>
      </c>
      <c r="Q212" s="43">
        <v>15</v>
      </c>
      <c r="R212" s="43">
        <v>1</v>
      </c>
      <c r="S212" s="45"/>
      <c r="T212" t="b">
        <f>(S212+S213+S214)=O3</f>
        <v>0</v>
      </c>
      <c r="X212" s="1">
        <f t="shared" si="17"/>
        <v>0</v>
      </c>
      <c r="Y212" s="48">
        <v>0</v>
      </c>
      <c r="AA212" s="1">
        <v>7</v>
      </c>
      <c r="AB212" s="1" t="s">
        <v>15</v>
      </c>
      <c r="AC212" s="1" t="s">
        <v>21</v>
      </c>
      <c r="AD212" s="1">
        <v>13</v>
      </c>
      <c r="AE212" s="1">
        <v>10</v>
      </c>
      <c r="AF212" s="1">
        <v>0.76</v>
      </c>
      <c r="AG212" s="1">
        <v>0.84</v>
      </c>
      <c r="AH212" s="1">
        <v>0</v>
      </c>
      <c r="AI212" s="1">
        <v>0</v>
      </c>
      <c r="AJ212" s="1">
        <f t="shared" si="18"/>
        <v>0</v>
      </c>
      <c r="AK212" s="1">
        <f>C24</f>
        <v>0</v>
      </c>
      <c r="AL212" s="1">
        <f>C30</f>
        <v>0</v>
      </c>
      <c r="AM212" s="1">
        <f t="shared" si="19"/>
        <v>0</v>
      </c>
      <c r="AN212" s="1">
        <f t="shared" si="20"/>
        <v>0</v>
      </c>
      <c r="AO212" s="1">
        <f t="shared" si="21"/>
        <v>0</v>
      </c>
      <c r="AP212" t="b" cm="1">
        <f t="array" ref="AP212">INDEX($AU$8:$BB$25,6*(R212-1)+MATCH(AB212,$AS$8:$AS$13,0),MATCH(O212,$AU$7:$BB$7,0))</f>
        <v>1</v>
      </c>
    </row>
    <row r="213" spans="15:42" ht="14.25" x14ac:dyDescent="0.45">
      <c r="O213" s="43" t="s">
        <v>30</v>
      </c>
      <c r="P213" s="43">
        <v>2</v>
      </c>
      <c r="Q213" s="43">
        <v>15</v>
      </c>
      <c r="R213" s="43">
        <v>2</v>
      </c>
      <c r="S213" s="45"/>
      <c r="T213" t="b">
        <f>(S212+S213+S214)=O3</f>
        <v>0</v>
      </c>
      <c r="X213" s="1">
        <f t="shared" si="17"/>
        <v>0</v>
      </c>
      <c r="Y213" s="48">
        <v>0</v>
      </c>
      <c r="AA213" s="1">
        <v>7</v>
      </c>
      <c r="AB213" s="1" t="s">
        <v>15</v>
      </c>
      <c r="AC213" s="1" t="s">
        <v>21</v>
      </c>
      <c r="AD213" s="1">
        <v>13</v>
      </c>
      <c r="AE213" s="1">
        <v>10</v>
      </c>
      <c r="AF213" s="1">
        <v>0.76</v>
      </c>
      <c r="AG213" s="1">
        <v>0.84</v>
      </c>
      <c r="AH213" s="1">
        <v>0</v>
      </c>
      <c r="AI213" s="1">
        <v>0</v>
      </c>
      <c r="AJ213" s="1">
        <f t="shared" si="18"/>
        <v>0</v>
      </c>
      <c r="AK213" s="1">
        <f>D24</f>
        <v>0</v>
      </c>
      <c r="AL213" s="1">
        <f>D30</f>
        <v>0</v>
      </c>
      <c r="AM213" s="1">
        <f t="shared" si="19"/>
        <v>0</v>
      </c>
      <c r="AN213" s="1">
        <f t="shared" si="20"/>
        <v>0</v>
      </c>
      <c r="AO213" s="1">
        <f t="shared" si="21"/>
        <v>0</v>
      </c>
      <c r="AP213" t="b" cm="1">
        <f t="array" ref="AP213">INDEX($AU$8:$BB$25,6*(R213-1)+MATCH(AB213,$AS$8:$AS$13,0),MATCH(O213,$AU$7:$BB$7,0))</f>
        <v>1</v>
      </c>
    </row>
    <row r="214" spans="15:42" ht="14.25" x14ac:dyDescent="0.45">
      <c r="O214" s="43" t="s">
        <v>30</v>
      </c>
      <c r="P214" s="43">
        <v>2</v>
      </c>
      <c r="Q214" s="43">
        <v>15</v>
      </c>
      <c r="R214" s="43">
        <v>3</v>
      </c>
      <c r="S214" s="45"/>
      <c r="T214" t="b">
        <f>(S212+S213+S214)=O3</f>
        <v>0</v>
      </c>
      <c r="X214" s="1">
        <f t="shared" si="17"/>
        <v>0</v>
      </c>
      <c r="Y214" s="48">
        <v>0</v>
      </c>
      <c r="AA214" s="1">
        <v>7</v>
      </c>
      <c r="AB214" s="1" t="s">
        <v>15</v>
      </c>
      <c r="AC214" s="1" t="s">
        <v>21</v>
      </c>
      <c r="AD214" s="1">
        <v>13</v>
      </c>
      <c r="AE214" s="1">
        <v>10</v>
      </c>
      <c r="AF214" s="1">
        <v>0.76</v>
      </c>
      <c r="AG214" s="1">
        <v>0.84</v>
      </c>
      <c r="AH214" s="1">
        <v>0</v>
      </c>
      <c r="AI214" s="1">
        <v>0</v>
      </c>
      <c r="AJ214" s="1">
        <f t="shared" si="18"/>
        <v>0</v>
      </c>
      <c r="AK214" s="1">
        <f>E24</f>
        <v>0</v>
      </c>
      <c r="AL214" s="1">
        <f>E30</f>
        <v>0</v>
      </c>
      <c r="AM214" s="1">
        <f t="shared" si="19"/>
        <v>0</v>
      </c>
      <c r="AN214" s="1">
        <f t="shared" si="20"/>
        <v>0</v>
      </c>
      <c r="AO214" s="1">
        <f t="shared" si="21"/>
        <v>0</v>
      </c>
      <c r="AP214" t="b" cm="1">
        <f t="array" ref="AP214">INDEX($AU$8:$BB$25,6*(R214-1)+MATCH(AB214,$AS$8:$AS$13,0),MATCH(O214,$AU$7:$BB$7,0))</f>
        <v>1</v>
      </c>
    </row>
    <row r="215" spans="15:42" ht="14.25" x14ac:dyDescent="0.45">
      <c r="O215" s="43" t="s">
        <v>30</v>
      </c>
      <c r="P215" s="43">
        <v>3</v>
      </c>
      <c r="Q215" s="43">
        <v>1</v>
      </c>
      <c r="R215" s="43">
        <v>1</v>
      </c>
      <c r="S215" s="45"/>
      <c r="T215" t="b">
        <f>(S215+S216+S217)=O4</f>
        <v>0</v>
      </c>
      <c r="X215" s="1">
        <v>0</v>
      </c>
      <c r="Y215" s="48">
        <v>0</v>
      </c>
      <c r="AA215" s="1">
        <v>1</v>
      </c>
      <c r="AB215" s="1" t="s">
        <v>13</v>
      </c>
      <c r="AC215" s="1" t="s">
        <v>19</v>
      </c>
      <c r="AD215" s="1">
        <v>21</v>
      </c>
      <c r="AE215" s="1">
        <v>20</v>
      </c>
      <c r="AF215" s="1">
        <v>0.8</v>
      </c>
      <c r="AG215" s="1">
        <v>0.86</v>
      </c>
      <c r="AH215" s="1">
        <v>0</v>
      </c>
      <c r="AI215" s="1">
        <v>0</v>
      </c>
      <c r="AJ215" s="1">
        <f t="shared" si="18"/>
        <v>0</v>
      </c>
      <c r="AK215" s="1">
        <f>C22</f>
        <v>0</v>
      </c>
      <c r="AL215" s="1">
        <f>C28</f>
        <v>0</v>
      </c>
      <c r="AM215" s="1">
        <f t="shared" si="19"/>
        <v>0</v>
      </c>
      <c r="AN215" s="1">
        <f t="shared" si="20"/>
        <v>0</v>
      </c>
      <c r="AO215" s="1">
        <f t="shared" si="21"/>
        <v>0</v>
      </c>
      <c r="AP215" t="b" cm="1">
        <f t="array" ref="AP215">INDEX($AU$8:$BB$25,6*(R215-1)+MATCH(AB215,$AS$8:$AS$13,0),MATCH(O215,$AU$7:$BB$7,0))</f>
        <v>1</v>
      </c>
    </row>
    <row r="216" spans="15:42" ht="14.25" x14ac:dyDescent="0.45">
      <c r="O216" s="43" t="s">
        <v>30</v>
      </c>
      <c r="P216" s="43">
        <v>3</v>
      </c>
      <c r="Q216" s="43">
        <v>1</v>
      </c>
      <c r="R216" s="43">
        <v>2</v>
      </c>
      <c r="S216" s="45"/>
      <c r="T216" t="b">
        <f>(S215+S216+S217)=O4</f>
        <v>0</v>
      </c>
      <c r="X216" s="1">
        <v>0</v>
      </c>
      <c r="Y216" s="48">
        <v>0</v>
      </c>
      <c r="AA216" s="1">
        <v>1</v>
      </c>
      <c r="AB216" s="1" t="s">
        <v>13</v>
      </c>
      <c r="AC216" s="1" t="s">
        <v>19</v>
      </c>
      <c r="AD216" s="1">
        <v>21</v>
      </c>
      <c r="AE216" s="1">
        <v>20</v>
      </c>
      <c r="AF216" s="1">
        <v>0.8</v>
      </c>
      <c r="AG216" s="1">
        <v>0.86</v>
      </c>
      <c r="AH216" s="1">
        <v>0</v>
      </c>
      <c r="AI216" s="1">
        <v>0</v>
      </c>
      <c r="AJ216" s="1">
        <f t="shared" si="18"/>
        <v>0</v>
      </c>
      <c r="AK216" s="1">
        <f>D22</f>
        <v>0</v>
      </c>
      <c r="AL216" s="1">
        <f>D28</f>
        <v>0</v>
      </c>
      <c r="AM216" s="1">
        <f t="shared" si="19"/>
        <v>0</v>
      </c>
      <c r="AN216" s="1">
        <f t="shared" si="20"/>
        <v>0</v>
      </c>
      <c r="AO216" s="1">
        <f t="shared" si="21"/>
        <v>0</v>
      </c>
      <c r="AP216" t="b" cm="1">
        <f t="array" ref="AP216">INDEX($AU$8:$BB$25,6*(R216-1)+MATCH(AB216,$AS$8:$AS$13,0),MATCH(O216,$AU$7:$BB$7,0))</f>
        <v>1</v>
      </c>
    </row>
    <row r="217" spans="15:42" ht="14.25" x14ac:dyDescent="0.45">
      <c r="O217" s="43" t="s">
        <v>30</v>
      </c>
      <c r="P217" s="43">
        <v>3</v>
      </c>
      <c r="Q217" s="43">
        <v>1</v>
      </c>
      <c r="R217" s="43">
        <v>3</v>
      </c>
      <c r="S217" s="45"/>
      <c r="T217" t="b">
        <f>(S215+S216+S217)=O4</f>
        <v>0</v>
      </c>
      <c r="X217" s="1">
        <v>0</v>
      </c>
      <c r="Y217" s="48">
        <v>0</v>
      </c>
      <c r="AA217" s="1">
        <v>1</v>
      </c>
      <c r="AB217" s="1" t="s">
        <v>13</v>
      </c>
      <c r="AC217" s="1" t="s">
        <v>19</v>
      </c>
      <c r="AD217" s="1">
        <v>21</v>
      </c>
      <c r="AE217" s="1">
        <v>20</v>
      </c>
      <c r="AF217" s="1">
        <v>0.8</v>
      </c>
      <c r="AG217" s="1">
        <v>0.86</v>
      </c>
      <c r="AH217" s="1">
        <v>0</v>
      </c>
      <c r="AI217" s="1">
        <v>0</v>
      </c>
      <c r="AJ217" s="1">
        <f t="shared" si="18"/>
        <v>0</v>
      </c>
      <c r="AK217" s="1">
        <f>E22</f>
        <v>0</v>
      </c>
      <c r="AL217" s="1">
        <f>E28</f>
        <v>0</v>
      </c>
      <c r="AM217" s="1">
        <f t="shared" si="19"/>
        <v>0</v>
      </c>
      <c r="AN217" s="1">
        <f t="shared" si="20"/>
        <v>0</v>
      </c>
      <c r="AO217" s="1">
        <f t="shared" si="21"/>
        <v>0</v>
      </c>
      <c r="AP217" t="b" cm="1">
        <f t="array" ref="AP217">INDEX($AU$8:$BB$25,6*(R217-1)+MATCH(AB217,$AS$8:$AS$13,0),MATCH(O217,$AU$7:$BB$7,0))</f>
        <v>1</v>
      </c>
    </row>
    <row r="218" spans="15:42" ht="14.25" x14ac:dyDescent="0.45">
      <c r="O218" s="43" t="s">
        <v>30</v>
      </c>
      <c r="P218" s="43">
        <v>3</v>
      </c>
      <c r="Q218" s="43">
        <v>2</v>
      </c>
      <c r="R218" s="43">
        <v>1</v>
      </c>
      <c r="S218" s="45"/>
      <c r="T218" t="b">
        <f>(S218+S219+S220)=O4</f>
        <v>0</v>
      </c>
      <c r="X218" s="1">
        <f t="shared" ref="X218:X265" si="22">MAX(S215-S218,0)</f>
        <v>0</v>
      </c>
      <c r="Y218" s="48">
        <v>0</v>
      </c>
      <c r="AA218" s="1">
        <v>8</v>
      </c>
      <c r="AB218" s="1" t="s">
        <v>14</v>
      </c>
      <c r="AC218" s="1" t="s">
        <v>20</v>
      </c>
      <c r="AD218" s="1">
        <v>9</v>
      </c>
      <c r="AE218" s="1">
        <v>7</v>
      </c>
      <c r="AF218" s="1">
        <v>0.8</v>
      </c>
      <c r="AG218" s="1">
        <v>0.88</v>
      </c>
      <c r="AH218" s="1">
        <v>0</v>
      </c>
      <c r="AI218" s="1">
        <v>0</v>
      </c>
      <c r="AJ218" s="1">
        <f t="shared" si="18"/>
        <v>0</v>
      </c>
      <c r="AK218" s="1">
        <f>C23</f>
        <v>0</v>
      </c>
      <c r="AL218" s="1">
        <f>C29</f>
        <v>0</v>
      </c>
      <c r="AM218" s="1">
        <f t="shared" si="19"/>
        <v>0</v>
      </c>
      <c r="AN218" s="1">
        <f t="shared" si="20"/>
        <v>0</v>
      </c>
      <c r="AO218" s="1">
        <f t="shared" si="21"/>
        <v>0</v>
      </c>
      <c r="AP218" t="b" cm="1">
        <f t="array" ref="AP218">INDEX($AU$8:$BB$25,6*(R218-1)+MATCH(AB218,$AS$8:$AS$13,0),MATCH(O218,$AU$7:$BB$7,0))</f>
        <v>1</v>
      </c>
    </row>
    <row r="219" spans="15:42" ht="14.25" x14ac:dyDescent="0.45">
      <c r="O219" s="43" t="s">
        <v>30</v>
      </c>
      <c r="P219" s="43">
        <v>3</v>
      </c>
      <c r="Q219" s="43">
        <v>2</v>
      </c>
      <c r="R219" s="43">
        <v>2</v>
      </c>
      <c r="S219" s="45"/>
      <c r="T219" t="b">
        <f>(S218+S219+S220)=O4</f>
        <v>0</v>
      </c>
      <c r="X219" s="1">
        <f t="shared" si="22"/>
        <v>0</v>
      </c>
      <c r="Y219" s="48">
        <v>0</v>
      </c>
      <c r="AA219" s="1">
        <v>8</v>
      </c>
      <c r="AB219" s="1" t="s">
        <v>14</v>
      </c>
      <c r="AC219" s="1" t="s">
        <v>20</v>
      </c>
      <c r="AD219" s="1">
        <v>9</v>
      </c>
      <c r="AE219" s="1">
        <v>7</v>
      </c>
      <c r="AF219" s="1">
        <v>0.8</v>
      </c>
      <c r="AG219" s="1">
        <v>0.88</v>
      </c>
      <c r="AH219" s="1">
        <v>0</v>
      </c>
      <c r="AI219" s="1">
        <v>0</v>
      </c>
      <c r="AJ219" s="1">
        <f t="shared" si="18"/>
        <v>0</v>
      </c>
      <c r="AK219" s="1">
        <f>D23</f>
        <v>0</v>
      </c>
      <c r="AL219" s="1">
        <f>D29</f>
        <v>0</v>
      </c>
      <c r="AM219" s="1">
        <f t="shared" si="19"/>
        <v>0</v>
      </c>
      <c r="AN219" s="1">
        <f t="shared" si="20"/>
        <v>0</v>
      </c>
      <c r="AO219" s="1">
        <f t="shared" si="21"/>
        <v>0</v>
      </c>
      <c r="AP219" t="b" cm="1">
        <f t="array" ref="AP219">INDEX($AU$8:$BB$25,6*(R219-1)+MATCH(AB219,$AS$8:$AS$13,0),MATCH(O219,$AU$7:$BB$7,0))</f>
        <v>1</v>
      </c>
    </row>
    <row r="220" spans="15:42" ht="14.25" x14ac:dyDescent="0.45">
      <c r="O220" s="43" t="s">
        <v>30</v>
      </c>
      <c r="P220" s="43">
        <v>3</v>
      </c>
      <c r="Q220" s="43">
        <v>2</v>
      </c>
      <c r="R220" s="43">
        <v>3</v>
      </c>
      <c r="S220" s="45"/>
      <c r="T220" t="b">
        <f>(S218+S219+S220)=O4</f>
        <v>0</v>
      </c>
      <c r="X220" s="1">
        <f t="shared" si="22"/>
        <v>0</v>
      </c>
      <c r="Y220" s="48">
        <v>0</v>
      </c>
      <c r="AA220" s="1">
        <v>8</v>
      </c>
      <c r="AB220" s="1" t="s">
        <v>14</v>
      </c>
      <c r="AC220" s="1" t="s">
        <v>20</v>
      </c>
      <c r="AD220" s="1">
        <v>9</v>
      </c>
      <c r="AE220" s="1">
        <v>7</v>
      </c>
      <c r="AF220" s="1">
        <v>0.8</v>
      </c>
      <c r="AG220" s="1">
        <v>0.88</v>
      </c>
      <c r="AH220" s="1">
        <v>0</v>
      </c>
      <c r="AI220" s="1">
        <v>0</v>
      </c>
      <c r="AJ220" s="1">
        <f t="shared" si="18"/>
        <v>0</v>
      </c>
      <c r="AK220" s="1">
        <f>E23</f>
        <v>0</v>
      </c>
      <c r="AL220" s="1">
        <f>E29</f>
        <v>0</v>
      </c>
      <c r="AM220" s="1">
        <f t="shared" si="19"/>
        <v>0</v>
      </c>
      <c r="AN220" s="1">
        <f t="shared" si="20"/>
        <v>0</v>
      </c>
      <c r="AO220" s="1">
        <f t="shared" si="21"/>
        <v>0</v>
      </c>
      <c r="AP220" t="b" cm="1">
        <f t="array" ref="AP220">INDEX($AU$8:$BB$25,6*(R220-1)+MATCH(AB220,$AS$8:$AS$13,0),MATCH(O220,$AU$7:$BB$7,0))</f>
        <v>1</v>
      </c>
    </row>
    <row r="221" spans="15:42" ht="14.25" x14ac:dyDescent="0.45">
      <c r="O221" s="43" t="s">
        <v>30</v>
      </c>
      <c r="P221" s="43">
        <v>3</v>
      </c>
      <c r="Q221" s="43">
        <v>3</v>
      </c>
      <c r="R221" s="43">
        <v>1</v>
      </c>
      <c r="S221" s="45"/>
      <c r="T221" t="b">
        <f>(S221+S222+S223)=O4</f>
        <v>0</v>
      </c>
      <c r="X221" s="1">
        <f t="shared" si="22"/>
        <v>0</v>
      </c>
      <c r="Y221" s="48">
        <v>0</v>
      </c>
      <c r="AA221" s="1">
        <v>1</v>
      </c>
      <c r="AB221" s="1" t="s">
        <v>15</v>
      </c>
      <c r="AC221" s="1" t="s">
        <v>21</v>
      </c>
      <c r="AD221" s="1">
        <v>24</v>
      </c>
      <c r="AE221" s="1">
        <v>23</v>
      </c>
      <c r="AF221" s="1">
        <v>0.76</v>
      </c>
      <c r="AG221" s="1">
        <v>0.84</v>
      </c>
      <c r="AH221" s="1">
        <v>0</v>
      </c>
      <c r="AI221" s="1">
        <v>0</v>
      </c>
      <c r="AJ221" s="1">
        <f t="shared" si="18"/>
        <v>0</v>
      </c>
      <c r="AK221" s="1">
        <f>C24</f>
        <v>0</v>
      </c>
      <c r="AL221" s="1">
        <f>C30</f>
        <v>0</v>
      </c>
      <c r="AM221" s="1">
        <f t="shared" si="19"/>
        <v>0</v>
      </c>
      <c r="AN221" s="1">
        <f t="shared" si="20"/>
        <v>0</v>
      </c>
      <c r="AO221" s="1">
        <f t="shared" si="21"/>
        <v>0</v>
      </c>
      <c r="AP221" t="b" cm="1">
        <f t="array" ref="AP221">INDEX($AU$8:$BB$25,6*(R221-1)+MATCH(AB221,$AS$8:$AS$13,0),MATCH(O221,$AU$7:$BB$7,0))</f>
        <v>1</v>
      </c>
    </row>
    <row r="222" spans="15:42" ht="14.25" x14ac:dyDescent="0.45">
      <c r="O222" s="43" t="s">
        <v>30</v>
      </c>
      <c r="P222" s="43">
        <v>3</v>
      </c>
      <c r="Q222" s="43">
        <v>3</v>
      </c>
      <c r="R222" s="43">
        <v>2</v>
      </c>
      <c r="S222" s="45"/>
      <c r="T222" t="b">
        <f>(S221+S222+S223)=O4</f>
        <v>0</v>
      </c>
      <c r="X222" s="1">
        <f t="shared" si="22"/>
        <v>0</v>
      </c>
      <c r="Y222" s="48">
        <v>0</v>
      </c>
      <c r="AA222" s="1">
        <v>1</v>
      </c>
      <c r="AB222" s="1" t="s">
        <v>15</v>
      </c>
      <c r="AC222" s="1" t="s">
        <v>21</v>
      </c>
      <c r="AD222" s="1">
        <v>24</v>
      </c>
      <c r="AE222" s="1">
        <v>23</v>
      </c>
      <c r="AF222" s="1">
        <v>0.76</v>
      </c>
      <c r="AG222" s="1">
        <v>0.84</v>
      </c>
      <c r="AH222" s="1">
        <v>0</v>
      </c>
      <c r="AI222" s="1">
        <v>0</v>
      </c>
      <c r="AJ222" s="1">
        <f t="shared" si="18"/>
        <v>0</v>
      </c>
      <c r="AK222" s="1">
        <f>D24</f>
        <v>0</v>
      </c>
      <c r="AL222" s="1">
        <f>D30</f>
        <v>0</v>
      </c>
      <c r="AM222" s="1">
        <f t="shared" si="19"/>
        <v>0</v>
      </c>
      <c r="AN222" s="1">
        <f t="shared" si="20"/>
        <v>0</v>
      </c>
      <c r="AO222" s="1">
        <f t="shared" si="21"/>
        <v>0</v>
      </c>
      <c r="AP222" t="b" cm="1">
        <f t="array" ref="AP222">INDEX($AU$8:$BB$25,6*(R222-1)+MATCH(AB222,$AS$8:$AS$13,0),MATCH(O222,$AU$7:$BB$7,0))</f>
        <v>1</v>
      </c>
    </row>
    <row r="223" spans="15:42" ht="14.25" x14ac:dyDescent="0.45">
      <c r="O223" s="43" t="s">
        <v>30</v>
      </c>
      <c r="P223" s="43">
        <v>3</v>
      </c>
      <c r="Q223" s="43">
        <v>3</v>
      </c>
      <c r="R223" s="43">
        <v>3</v>
      </c>
      <c r="S223" s="45"/>
      <c r="T223" t="b">
        <f>(S221+S222+S223)=O4</f>
        <v>0</v>
      </c>
      <c r="X223" s="1">
        <f t="shared" si="22"/>
        <v>0</v>
      </c>
      <c r="Y223" s="48">
        <v>0</v>
      </c>
      <c r="AA223" s="1">
        <v>1</v>
      </c>
      <c r="AB223" s="1" t="s">
        <v>15</v>
      </c>
      <c r="AC223" s="1" t="s">
        <v>21</v>
      </c>
      <c r="AD223" s="1">
        <v>24</v>
      </c>
      <c r="AE223" s="1">
        <v>23</v>
      </c>
      <c r="AF223" s="1">
        <v>0.76</v>
      </c>
      <c r="AG223" s="1">
        <v>0.84</v>
      </c>
      <c r="AH223" s="1">
        <v>0</v>
      </c>
      <c r="AI223" s="1">
        <v>0</v>
      </c>
      <c r="AJ223" s="1">
        <f t="shared" si="18"/>
        <v>0</v>
      </c>
      <c r="AK223" s="1">
        <f>E24</f>
        <v>0</v>
      </c>
      <c r="AL223" s="1">
        <f>E30</f>
        <v>0</v>
      </c>
      <c r="AM223" s="1">
        <f t="shared" si="19"/>
        <v>0</v>
      </c>
      <c r="AN223" s="1">
        <f t="shared" si="20"/>
        <v>0</v>
      </c>
      <c r="AO223" s="1">
        <f t="shared" si="21"/>
        <v>0</v>
      </c>
      <c r="AP223" t="b" cm="1">
        <f t="array" ref="AP223">INDEX($AU$8:$BB$25,6*(R223-1)+MATCH(AB223,$AS$8:$AS$13,0),MATCH(O223,$AU$7:$BB$7,0))</f>
        <v>1</v>
      </c>
    </row>
    <row r="224" spans="15:42" ht="14.25" x14ac:dyDescent="0.45">
      <c r="O224" s="43" t="s">
        <v>30</v>
      </c>
      <c r="P224" s="43">
        <v>3</v>
      </c>
      <c r="Q224" s="43">
        <v>4</v>
      </c>
      <c r="R224" s="43">
        <v>1</v>
      </c>
      <c r="S224" s="45"/>
      <c r="T224" t="b">
        <f>(S224+S225+S226)=O4</f>
        <v>0</v>
      </c>
      <c r="X224" s="1">
        <f t="shared" si="22"/>
        <v>0</v>
      </c>
      <c r="Y224" s="48">
        <v>0</v>
      </c>
      <c r="AA224" s="1">
        <v>9</v>
      </c>
      <c r="AB224" s="1" t="s">
        <v>15</v>
      </c>
      <c r="AC224" s="1" t="s">
        <v>21</v>
      </c>
      <c r="AD224" s="1">
        <v>15</v>
      </c>
      <c r="AE224" s="1">
        <v>11</v>
      </c>
      <c r="AF224" s="1">
        <v>0.76</v>
      </c>
      <c r="AG224" s="1">
        <v>0.84</v>
      </c>
      <c r="AH224" s="1">
        <v>0</v>
      </c>
      <c r="AI224" s="1">
        <v>0</v>
      </c>
      <c r="AJ224" s="1">
        <f t="shared" si="18"/>
        <v>0</v>
      </c>
      <c r="AK224" s="1">
        <f>C24</f>
        <v>0</v>
      </c>
      <c r="AL224" s="1">
        <f>C30</f>
        <v>0</v>
      </c>
      <c r="AM224" s="1">
        <f t="shared" si="19"/>
        <v>0</v>
      </c>
      <c r="AN224" s="1">
        <f t="shared" si="20"/>
        <v>0</v>
      </c>
      <c r="AO224" s="1">
        <f t="shared" si="21"/>
        <v>0</v>
      </c>
      <c r="AP224" t="b" cm="1">
        <f t="array" ref="AP224">INDEX($AU$8:$BB$25,6*(R224-1)+MATCH(AB224,$AS$8:$AS$13,0),MATCH(O224,$AU$7:$BB$7,0))</f>
        <v>1</v>
      </c>
    </row>
    <row r="225" spans="15:42" ht="14.25" x14ac:dyDescent="0.45">
      <c r="O225" s="43" t="s">
        <v>30</v>
      </c>
      <c r="P225" s="43">
        <v>3</v>
      </c>
      <c r="Q225" s="43">
        <v>4</v>
      </c>
      <c r="R225" s="43">
        <v>2</v>
      </c>
      <c r="S225" s="45"/>
      <c r="T225" t="b">
        <f>(S224+S225+S226)=O4</f>
        <v>0</v>
      </c>
      <c r="X225" s="1">
        <f t="shared" si="22"/>
        <v>0</v>
      </c>
      <c r="Y225" s="48">
        <v>0</v>
      </c>
      <c r="AA225" s="1">
        <v>9</v>
      </c>
      <c r="AB225" s="1" t="s">
        <v>15</v>
      </c>
      <c r="AC225" s="1" t="s">
        <v>21</v>
      </c>
      <c r="AD225" s="1">
        <v>15</v>
      </c>
      <c r="AE225" s="1">
        <v>11</v>
      </c>
      <c r="AF225" s="1">
        <v>0.76</v>
      </c>
      <c r="AG225" s="1">
        <v>0.84</v>
      </c>
      <c r="AH225" s="1">
        <v>0</v>
      </c>
      <c r="AI225" s="1">
        <v>0</v>
      </c>
      <c r="AJ225" s="1">
        <f t="shared" si="18"/>
        <v>0</v>
      </c>
      <c r="AK225" s="1">
        <f>D24</f>
        <v>0</v>
      </c>
      <c r="AL225" s="1">
        <f>D30</f>
        <v>0</v>
      </c>
      <c r="AM225" s="1">
        <f t="shared" si="19"/>
        <v>0</v>
      </c>
      <c r="AN225" s="1">
        <f t="shared" si="20"/>
        <v>0</v>
      </c>
      <c r="AO225" s="1">
        <f t="shared" si="21"/>
        <v>0</v>
      </c>
      <c r="AP225" t="b" cm="1">
        <f t="array" ref="AP225">INDEX($AU$8:$BB$25,6*(R225-1)+MATCH(AB225,$AS$8:$AS$13,0),MATCH(O225,$AU$7:$BB$7,0))</f>
        <v>1</v>
      </c>
    </row>
    <row r="226" spans="15:42" ht="14.25" x14ac:dyDescent="0.45">
      <c r="O226" s="43" t="s">
        <v>30</v>
      </c>
      <c r="P226" s="43">
        <v>3</v>
      </c>
      <c r="Q226" s="43">
        <v>4</v>
      </c>
      <c r="R226" s="43">
        <v>3</v>
      </c>
      <c r="S226" s="45"/>
      <c r="T226" t="b">
        <f>(S224+S225+S226)=O4</f>
        <v>0</v>
      </c>
      <c r="X226" s="1">
        <f t="shared" si="22"/>
        <v>0</v>
      </c>
      <c r="Y226" s="48">
        <v>0</v>
      </c>
      <c r="AA226" s="1">
        <v>9</v>
      </c>
      <c r="AB226" s="1" t="s">
        <v>15</v>
      </c>
      <c r="AC226" s="1" t="s">
        <v>21</v>
      </c>
      <c r="AD226" s="1">
        <v>15</v>
      </c>
      <c r="AE226" s="1">
        <v>11</v>
      </c>
      <c r="AF226" s="1">
        <v>0.76</v>
      </c>
      <c r="AG226" s="1">
        <v>0.84</v>
      </c>
      <c r="AH226" s="1">
        <v>0</v>
      </c>
      <c r="AI226" s="1">
        <v>0</v>
      </c>
      <c r="AJ226" s="1">
        <f t="shared" si="18"/>
        <v>0</v>
      </c>
      <c r="AK226" s="1">
        <f>E24</f>
        <v>0</v>
      </c>
      <c r="AL226" s="1">
        <f>E30</f>
        <v>0</v>
      </c>
      <c r="AM226" s="1">
        <f t="shared" si="19"/>
        <v>0</v>
      </c>
      <c r="AN226" s="1">
        <f t="shared" si="20"/>
        <v>0</v>
      </c>
      <c r="AO226" s="1">
        <f t="shared" si="21"/>
        <v>0</v>
      </c>
      <c r="AP226" t="b" cm="1">
        <f t="array" ref="AP226">INDEX($AU$8:$BB$25,6*(R226-1)+MATCH(AB226,$AS$8:$AS$13,0),MATCH(O226,$AU$7:$BB$7,0))</f>
        <v>1</v>
      </c>
    </row>
    <row r="227" spans="15:42" ht="14.25" x14ac:dyDescent="0.45">
      <c r="O227" s="43" t="s">
        <v>30</v>
      </c>
      <c r="P227" s="43">
        <v>3</v>
      </c>
      <c r="Q227" s="43">
        <v>5</v>
      </c>
      <c r="R227" s="43">
        <v>1</v>
      </c>
      <c r="S227" s="45"/>
      <c r="T227" t="b">
        <f>(S227+S228+S229)=O4</f>
        <v>0</v>
      </c>
      <c r="X227" s="1">
        <f t="shared" si="22"/>
        <v>0</v>
      </c>
      <c r="Y227" s="48">
        <v>0</v>
      </c>
      <c r="AA227" s="1">
        <v>6</v>
      </c>
      <c r="AB227" s="1" t="s">
        <v>16</v>
      </c>
      <c r="AC227" s="1" t="s">
        <v>22</v>
      </c>
      <c r="AD227" s="1">
        <v>16</v>
      </c>
      <c r="AE227" s="1">
        <v>14</v>
      </c>
      <c r="AF227" s="1">
        <v>0.8</v>
      </c>
      <c r="AG227" s="1">
        <v>0.9</v>
      </c>
      <c r="AH227" s="1">
        <v>0</v>
      </c>
      <c r="AI227" s="1">
        <v>0</v>
      </c>
      <c r="AJ227" s="1">
        <f t="shared" si="18"/>
        <v>0</v>
      </c>
      <c r="AK227" s="1">
        <f>C25</f>
        <v>0</v>
      </c>
      <c r="AL227" s="1">
        <f>C31</f>
        <v>0</v>
      </c>
      <c r="AM227" s="1">
        <f t="shared" si="19"/>
        <v>0</v>
      </c>
      <c r="AN227" s="1">
        <f t="shared" si="20"/>
        <v>0</v>
      </c>
      <c r="AO227" s="1">
        <f t="shared" si="21"/>
        <v>0</v>
      </c>
      <c r="AP227" t="b" cm="1">
        <f t="array" ref="AP227">INDEX($AU$8:$BB$25,6*(R227-1)+MATCH(AB227,$AS$8:$AS$13,0),MATCH(O227,$AU$7:$BB$7,0))</f>
        <v>1</v>
      </c>
    </row>
    <row r="228" spans="15:42" ht="14.25" x14ac:dyDescent="0.45">
      <c r="O228" s="43" t="s">
        <v>30</v>
      </c>
      <c r="P228" s="43">
        <v>3</v>
      </c>
      <c r="Q228" s="43">
        <v>5</v>
      </c>
      <c r="R228" s="43">
        <v>2</v>
      </c>
      <c r="S228" s="45"/>
      <c r="T228" t="b">
        <f>(S227+S228+S229)=O4</f>
        <v>0</v>
      </c>
      <c r="X228" s="1">
        <f t="shared" si="22"/>
        <v>0</v>
      </c>
      <c r="Y228" s="48">
        <v>0</v>
      </c>
      <c r="AA228" s="1">
        <v>6</v>
      </c>
      <c r="AB228" s="1" t="s">
        <v>16</v>
      </c>
      <c r="AC228" s="1" t="s">
        <v>22</v>
      </c>
      <c r="AD228" s="1">
        <v>16</v>
      </c>
      <c r="AE228" s="1">
        <v>14</v>
      </c>
      <c r="AF228" s="1">
        <v>0.8</v>
      </c>
      <c r="AG228" s="1">
        <v>0.9</v>
      </c>
      <c r="AH228" s="1">
        <v>0</v>
      </c>
      <c r="AI228" s="1">
        <v>0</v>
      </c>
      <c r="AJ228" s="1">
        <f t="shared" si="18"/>
        <v>0</v>
      </c>
      <c r="AK228" s="1">
        <f>D25</f>
        <v>0</v>
      </c>
      <c r="AL228" s="1">
        <f>D31</f>
        <v>0</v>
      </c>
      <c r="AM228" s="1">
        <f t="shared" si="19"/>
        <v>0</v>
      </c>
      <c r="AN228" s="1">
        <f t="shared" si="20"/>
        <v>0</v>
      </c>
      <c r="AO228" s="1">
        <f t="shared" si="21"/>
        <v>0</v>
      </c>
      <c r="AP228" t="b" cm="1">
        <f t="array" ref="AP228">INDEX($AU$8:$BB$25,6*(R228-1)+MATCH(AB228,$AS$8:$AS$13,0),MATCH(O228,$AU$7:$BB$7,0))</f>
        <v>1</v>
      </c>
    </row>
    <row r="229" spans="15:42" ht="14.25" x14ac:dyDescent="0.45">
      <c r="O229" s="43" t="s">
        <v>30</v>
      </c>
      <c r="P229" s="43">
        <v>3</v>
      </c>
      <c r="Q229" s="43">
        <v>5</v>
      </c>
      <c r="R229" s="43">
        <v>3</v>
      </c>
      <c r="S229" s="45"/>
      <c r="T229" t="b">
        <f>(S227+S228+S229)=O4</f>
        <v>0</v>
      </c>
      <c r="X229" s="1">
        <f t="shared" si="22"/>
        <v>0</v>
      </c>
      <c r="Y229" s="48">
        <v>0</v>
      </c>
      <c r="AA229" s="1">
        <v>6</v>
      </c>
      <c r="AB229" s="1" t="s">
        <v>16</v>
      </c>
      <c r="AC229" s="1" t="s">
        <v>22</v>
      </c>
      <c r="AD229" s="1">
        <v>16</v>
      </c>
      <c r="AE229" s="1">
        <v>14</v>
      </c>
      <c r="AF229" s="1">
        <v>0.8</v>
      </c>
      <c r="AG229" s="1">
        <v>0.9</v>
      </c>
      <c r="AH229" s="1">
        <v>0</v>
      </c>
      <c r="AI229" s="1">
        <v>0</v>
      </c>
      <c r="AJ229" s="1">
        <f t="shared" si="18"/>
        <v>0</v>
      </c>
      <c r="AK229" s="1">
        <f>E25</f>
        <v>0</v>
      </c>
      <c r="AL229" s="1">
        <f>E31</f>
        <v>0</v>
      </c>
      <c r="AM229" s="1">
        <f t="shared" si="19"/>
        <v>0</v>
      </c>
      <c r="AN229" s="1">
        <f t="shared" si="20"/>
        <v>0</v>
      </c>
      <c r="AO229" s="1">
        <f t="shared" si="21"/>
        <v>0</v>
      </c>
      <c r="AP229" t="b" cm="1">
        <f t="array" ref="AP229">INDEX($AU$8:$BB$25,6*(R229-1)+MATCH(AB229,$AS$8:$AS$13,0),MATCH(O229,$AU$7:$BB$7,0))</f>
        <v>1</v>
      </c>
    </row>
    <row r="230" spans="15:42" ht="14.25" x14ac:dyDescent="0.45">
      <c r="O230" s="43" t="s">
        <v>30</v>
      </c>
      <c r="P230" s="43">
        <v>3</v>
      </c>
      <c r="Q230" s="43">
        <v>6</v>
      </c>
      <c r="R230" s="43">
        <v>1</v>
      </c>
      <c r="S230" s="45"/>
      <c r="T230" t="b">
        <f>(S230+S231+S232)=O4</f>
        <v>0</v>
      </c>
      <c r="X230" s="1">
        <f t="shared" si="22"/>
        <v>0</v>
      </c>
      <c r="Y230" s="48">
        <v>0</v>
      </c>
      <c r="AA230" s="1">
        <v>1</v>
      </c>
      <c r="AB230" s="1" t="s">
        <v>14</v>
      </c>
      <c r="AC230" s="1" t="s">
        <v>20</v>
      </c>
      <c r="AD230" s="1">
        <v>12</v>
      </c>
      <c r="AE230" s="1">
        <v>11</v>
      </c>
      <c r="AF230" s="1">
        <v>0.8</v>
      </c>
      <c r="AG230" s="1">
        <v>0.88</v>
      </c>
      <c r="AH230" s="1">
        <v>0</v>
      </c>
      <c r="AI230" s="1">
        <v>0</v>
      </c>
      <c r="AJ230" s="1">
        <f t="shared" si="18"/>
        <v>0</v>
      </c>
      <c r="AK230" s="1">
        <f>C23</f>
        <v>0</v>
      </c>
      <c r="AL230" s="1">
        <f>C29</f>
        <v>0</v>
      </c>
      <c r="AM230" s="1">
        <f t="shared" si="19"/>
        <v>0</v>
      </c>
      <c r="AN230" s="1">
        <f t="shared" si="20"/>
        <v>0</v>
      </c>
      <c r="AO230" s="1">
        <f t="shared" si="21"/>
        <v>0</v>
      </c>
      <c r="AP230" t="b" cm="1">
        <f t="array" ref="AP230">INDEX($AU$8:$BB$25,6*(R230-1)+MATCH(AB230,$AS$8:$AS$13,0),MATCH(O230,$AU$7:$BB$7,0))</f>
        <v>1</v>
      </c>
    </row>
    <row r="231" spans="15:42" ht="14.25" x14ac:dyDescent="0.45">
      <c r="O231" s="43" t="s">
        <v>30</v>
      </c>
      <c r="P231" s="43">
        <v>3</v>
      </c>
      <c r="Q231" s="43">
        <v>6</v>
      </c>
      <c r="R231" s="43">
        <v>2</v>
      </c>
      <c r="S231" s="45"/>
      <c r="T231" t="b">
        <f>(S230+S231+S232)=O4</f>
        <v>0</v>
      </c>
      <c r="X231" s="1">
        <f t="shared" si="22"/>
        <v>0</v>
      </c>
      <c r="Y231" s="48">
        <v>0</v>
      </c>
      <c r="AA231" s="1">
        <v>1</v>
      </c>
      <c r="AB231" s="1" t="s">
        <v>14</v>
      </c>
      <c r="AC231" s="1" t="s">
        <v>20</v>
      </c>
      <c r="AD231" s="1">
        <v>12</v>
      </c>
      <c r="AE231" s="1">
        <v>11</v>
      </c>
      <c r="AF231" s="1">
        <v>0.8</v>
      </c>
      <c r="AG231" s="1">
        <v>0.88</v>
      </c>
      <c r="AH231" s="1">
        <v>0</v>
      </c>
      <c r="AI231" s="1">
        <v>0</v>
      </c>
      <c r="AJ231" s="1">
        <f t="shared" si="18"/>
        <v>0</v>
      </c>
      <c r="AK231" s="1">
        <f>D23</f>
        <v>0</v>
      </c>
      <c r="AL231" s="1">
        <f>D29</f>
        <v>0</v>
      </c>
      <c r="AM231" s="1">
        <f t="shared" si="19"/>
        <v>0</v>
      </c>
      <c r="AN231" s="1">
        <f t="shared" si="20"/>
        <v>0</v>
      </c>
      <c r="AO231" s="1">
        <f t="shared" si="21"/>
        <v>0</v>
      </c>
      <c r="AP231" t="b" cm="1">
        <f t="array" ref="AP231">INDEX($AU$8:$BB$25,6*(R231-1)+MATCH(AB231,$AS$8:$AS$13,0),MATCH(O231,$AU$7:$BB$7,0))</f>
        <v>1</v>
      </c>
    </row>
    <row r="232" spans="15:42" ht="14.25" x14ac:dyDescent="0.45">
      <c r="O232" s="43" t="s">
        <v>30</v>
      </c>
      <c r="P232" s="43">
        <v>3</v>
      </c>
      <c r="Q232" s="43">
        <v>6</v>
      </c>
      <c r="R232" s="43">
        <v>3</v>
      </c>
      <c r="S232" s="45"/>
      <c r="T232" t="b">
        <f>(S230+S231+S232)=O4</f>
        <v>0</v>
      </c>
      <c r="X232" s="1">
        <f t="shared" si="22"/>
        <v>0</v>
      </c>
      <c r="Y232" s="48">
        <v>0</v>
      </c>
      <c r="AA232" s="1">
        <v>1</v>
      </c>
      <c r="AB232" s="1" t="s">
        <v>14</v>
      </c>
      <c r="AC232" s="1" t="s">
        <v>20</v>
      </c>
      <c r="AD232" s="1">
        <v>12</v>
      </c>
      <c r="AE232" s="1">
        <v>11</v>
      </c>
      <c r="AF232" s="1">
        <v>0.8</v>
      </c>
      <c r="AG232" s="1">
        <v>0.88</v>
      </c>
      <c r="AH232" s="1">
        <v>0</v>
      </c>
      <c r="AI232" s="1">
        <v>0</v>
      </c>
      <c r="AJ232" s="1">
        <f t="shared" si="18"/>
        <v>0</v>
      </c>
      <c r="AK232" s="1">
        <f>E23</f>
        <v>0</v>
      </c>
      <c r="AL232" s="1">
        <f>E29</f>
        <v>0</v>
      </c>
      <c r="AM232" s="1">
        <f t="shared" si="19"/>
        <v>0</v>
      </c>
      <c r="AN232" s="1">
        <f t="shared" si="20"/>
        <v>0</v>
      </c>
      <c r="AO232" s="1">
        <f t="shared" si="21"/>
        <v>0</v>
      </c>
      <c r="AP232" t="b" cm="1">
        <f t="array" ref="AP232">INDEX($AU$8:$BB$25,6*(R232-1)+MATCH(AB232,$AS$8:$AS$13,0),MATCH(O232,$AU$7:$BB$7,0))</f>
        <v>1</v>
      </c>
    </row>
    <row r="233" spans="15:42" ht="14.25" x14ac:dyDescent="0.45">
      <c r="O233" s="43" t="s">
        <v>30</v>
      </c>
      <c r="P233" s="43">
        <v>3</v>
      </c>
      <c r="Q233" s="43">
        <v>7</v>
      </c>
      <c r="R233" s="43">
        <v>1</v>
      </c>
      <c r="S233" s="45"/>
      <c r="T233" t="b">
        <f>(S233+S234+S235)=O4</f>
        <v>0</v>
      </c>
      <c r="X233" s="1">
        <f t="shared" si="22"/>
        <v>0</v>
      </c>
      <c r="Y233" s="48">
        <v>0</v>
      </c>
      <c r="AA233" s="1">
        <v>3</v>
      </c>
      <c r="AB233" s="1" t="s">
        <v>13</v>
      </c>
      <c r="AC233" s="1" t="s">
        <v>19</v>
      </c>
      <c r="AD233" s="1">
        <v>24</v>
      </c>
      <c r="AE233" s="1">
        <v>21</v>
      </c>
      <c r="AF233" s="1">
        <v>0.8</v>
      </c>
      <c r="AG233" s="1">
        <v>0.86</v>
      </c>
      <c r="AH233" s="1">
        <v>0</v>
      </c>
      <c r="AI233" s="1">
        <v>0</v>
      </c>
      <c r="AJ233" s="1">
        <f t="shared" si="18"/>
        <v>0</v>
      </c>
      <c r="AK233" s="1">
        <f>C22</f>
        <v>0</v>
      </c>
      <c r="AL233" s="1">
        <f>C28</f>
        <v>0</v>
      </c>
      <c r="AM233" s="1">
        <f t="shared" si="19"/>
        <v>0</v>
      </c>
      <c r="AN233" s="1">
        <f t="shared" si="20"/>
        <v>0</v>
      </c>
      <c r="AO233" s="1">
        <f t="shared" si="21"/>
        <v>0</v>
      </c>
      <c r="AP233" t="b" cm="1">
        <f t="array" ref="AP233">INDEX($AU$8:$BB$25,6*(R233-1)+MATCH(AB233,$AS$8:$AS$13,0),MATCH(O233,$AU$7:$BB$7,0))</f>
        <v>1</v>
      </c>
    </row>
    <row r="234" spans="15:42" ht="14.25" x14ac:dyDescent="0.45">
      <c r="O234" s="43" t="s">
        <v>30</v>
      </c>
      <c r="P234" s="43">
        <v>3</v>
      </c>
      <c r="Q234" s="43">
        <v>7</v>
      </c>
      <c r="R234" s="43">
        <v>2</v>
      </c>
      <c r="S234" s="45"/>
      <c r="T234" t="b">
        <f>(S233+S234+S235)=O4</f>
        <v>0</v>
      </c>
      <c r="X234" s="1">
        <f t="shared" si="22"/>
        <v>0</v>
      </c>
      <c r="Y234" s="48">
        <v>0</v>
      </c>
      <c r="AA234" s="1">
        <v>3</v>
      </c>
      <c r="AB234" s="1" t="s">
        <v>13</v>
      </c>
      <c r="AC234" s="1" t="s">
        <v>19</v>
      </c>
      <c r="AD234" s="1">
        <v>24</v>
      </c>
      <c r="AE234" s="1">
        <v>21</v>
      </c>
      <c r="AF234" s="1">
        <v>0.8</v>
      </c>
      <c r="AG234" s="1">
        <v>0.86</v>
      </c>
      <c r="AH234" s="1">
        <v>0</v>
      </c>
      <c r="AI234" s="1">
        <v>0</v>
      </c>
      <c r="AJ234" s="1">
        <f t="shared" si="18"/>
        <v>0</v>
      </c>
      <c r="AK234" s="1">
        <f>D22</f>
        <v>0</v>
      </c>
      <c r="AL234" s="1">
        <f>D28</f>
        <v>0</v>
      </c>
      <c r="AM234" s="1">
        <f t="shared" si="19"/>
        <v>0</v>
      </c>
      <c r="AN234" s="1">
        <f t="shared" si="20"/>
        <v>0</v>
      </c>
      <c r="AO234" s="1">
        <f t="shared" si="21"/>
        <v>0</v>
      </c>
      <c r="AP234" t="b" cm="1">
        <f t="array" ref="AP234">INDEX($AU$8:$BB$25,6*(R234-1)+MATCH(AB234,$AS$8:$AS$13,0),MATCH(O234,$AU$7:$BB$7,0))</f>
        <v>1</v>
      </c>
    </row>
    <row r="235" spans="15:42" ht="14.25" x14ac:dyDescent="0.45">
      <c r="O235" s="43" t="s">
        <v>30</v>
      </c>
      <c r="P235" s="43">
        <v>3</v>
      </c>
      <c r="Q235" s="43">
        <v>7</v>
      </c>
      <c r="R235" s="43">
        <v>3</v>
      </c>
      <c r="S235" s="45"/>
      <c r="T235" t="b">
        <f>(S233+S234+S235)=O4</f>
        <v>0</v>
      </c>
      <c r="X235" s="1">
        <f t="shared" si="22"/>
        <v>0</v>
      </c>
      <c r="Y235" s="48">
        <v>0</v>
      </c>
      <c r="AA235" s="1">
        <v>3</v>
      </c>
      <c r="AB235" s="1" t="s">
        <v>13</v>
      </c>
      <c r="AC235" s="1" t="s">
        <v>19</v>
      </c>
      <c r="AD235" s="1">
        <v>24</v>
      </c>
      <c r="AE235" s="1">
        <v>21</v>
      </c>
      <c r="AF235" s="1">
        <v>0.8</v>
      </c>
      <c r="AG235" s="1">
        <v>0.86</v>
      </c>
      <c r="AH235" s="1">
        <v>0</v>
      </c>
      <c r="AI235" s="1">
        <v>0</v>
      </c>
      <c r="AJ235" s="1">
        <f t="shared" si="18"/>
        <v>0</v>
      </c>
      <c r="AK235" s="1">
        <f>E22</f>
        <v>0</v>
      </c>
      <c r="AL235" s="1">
        <f>E28</f>
        <v>0</v>
      </c>
      <c r="AM235" s="1">
        <f t="shared" si="19"/>
        <v>0</v>
      </c>
      <c r="AN235" s="1">
        <f t="shared" si="20"/>
        <v>0</v>
      </c>
      <c r="AO235" s="1">
        <f t="shared" si="21"/>
        <v>0</v>
      </c>
      <c r="AP235" t="b" cm="1">
        <f t="array" ref="AP235">INDEX($AU$8:$BB$25,6*(R235-1)+MATCH(AB235,$AS$8:$AS$13,0),MATCH(O235,$AU$7:$BB$7,0))</f>
        <v>1</v>
      </c>
    </row>
    <row r="236" spans="15:42" ht="14.25" x14ac:dyDescent="0.45">
      <c r="O236" s="43" t="s">
        <v>30</v>
      </c>
      <c r="P236" s="43">
        <v>3</v>
      </c>
      <c r="Q236" s="43">
        <v>8</v>
      </c>
      <c r="R236" s="43">
        <v>1</v>
      </c>
      <c r="S236" s="45"/>
      <c r="T236" t="b">
        <f>(S236+S237+S238)=O4</f>
        <v>0</v>
      </c>
      <c r="X236" s="1">
        <f t="shared" si="22"/>
        <v>0</v>
      </c>
      <c r="Y236" s="48">
        <v>0</v>
      </c>
      <c r="AA236" s="1">
        <v>5</v>
      </c>
      <c r="AB236" s="1" t="s">
        <v>13</v>
      </c>
      <c r="AC236" s="1" t="s">
        <v>19</v>
      </c>
      <c r="AD236" s="1">
        <v>19</v>
      </c>
      <c r="AE236" s="1">
        <v>13</v>
      </c>
      <c r="AF236" s="1">
        <v>0.8</v>
      </c>
      <c r="AG236" s="1">
        <v>0.86</v>
      </c>
      <c r="AH236" s="1">
        <v>0</v>
      </c>
      <c r="AI236" s="1">
        <v>0</v>
      </c>
      <c r="AJ236" s="1">
        <f t="shared" si="18"/>
        <v>0</v>
      </c>
      <c r="AK236" s="1">
        <f>C22</f>
        <v>0</v>
      </c>
      <c r="AL236" s="1">
        <f>C28</f>
        <v>0</v>
      </c>
      <c r="AM236" s="1">
        <f t="shared" si="19"/>
        <v>0</v>
      </c>
      <c r="AN236" s="1">
        <f t="shared" si="20"/>
        <v>0</v>
      </c>
      <c r="AO236" s="1">
        <f t="shared" si="21"/>
        <v>0</v>
      </c>
      <c r="AP236" t="b" cm="1">
        <f t="array" ref="AP236">INDEX($AU$8:$BB$25,6*(R236-1)+MATCH(AB236,$AS$8:$AS$13,0),MATCH(O236,$AU$7:$BB$7,0))</f>
        <v>1</v>
      </c>
    </row>
    <row r="237" spans="15:42" ht="14.25" x14ac:dyDescent="0.45">
      <c r="O237" s="43" t="s">
        <v>30</v>
      </c>
      <c r="P237" s="43">
        <v>3</v>
      </c>
      <c r="Q237" s="43">
        <v>8</v>
      </c>
      <c r="R237" s="43">
        <v>2</v>
      </c>
      <c r="S237" s="45"/>
      <c r="T237" t="b">
        <f>(S236+S237+S238)=O4</f>
        <v>0</v>
      </c>
      <c r="X237" s="1">
        <f t="shared" si="22"/>
        <v>0</v>
      </c>
      <c r="Y237" s="48">
        <v>0</v>
      </c>
      <c r="AA237" s="1">
        <v>5</v>
      </c>
      <c r="AB237" s="1" t="s">
        <v>13</v>
      </c>
      <c r="AC237" s="1" t="s">
        <v>19</v>
      </c>
      <c r="AD237" s="1">
        <v>19</v>
      </c>
      <c r="AE237" s="1">
        <v>13</v>
      </c>
      <c r="AF237" s="1">
        <v>0.8</v>
      </c>
      <c r="AG237" s="1">
        <v>0.86</v>
      </c>
      <c r="AH237" s="1">
        <v>0</v>
      </c>
      <c r="AI237" s="1">
        <v>0</v>
      </c>
      <c r="AJ237" s="1">
        <f t="shared" si="18"/>
        <v>0</v>
      </c>
      <c r="AK237" s="1">
        <f>D22</f>
        <v>0</v>
      </c>
      <c r="AL237" s="1">
        <f>D28</f>
        <v>0</v>
      </c>
      <c r="AM237" s="1">
        <f t="shared" si="19"/>
        <v>0</v>
      </c>
      <c r="AN237" s="1">
        <f t="shared" si="20"/>
        <v>0</v>
      </c>
      <c r="AO237" s="1">
        <f t="shared" si="21"/>
        <v>0</v>
      </c>
      <c r="AP237" t="b" cm="1">
        <f t="array" ref="AP237">INDEX($AU$8:$BB$25,6*(R237-1)+MATCH(AB237,$AS$8:$AS$13,0),MATCH(O237,$AU$7:$BB$7,0))</f>
        <v>1</v>
      </c>
    </row>
    <row r="238" spans="15:42" ht="14.25" x14ac:dyDescent="0.45">
      <c r="O238" s="43" t="s">
        <v>30</v>
      </c>
      <c r="P238" s="43">
        <v>3</v>
      </c>
      <c r="Q238" s="43">
        <v>8</v>
      </c>
      <c r="R238" s="43">
        <v>3</v>
      </c>
      <c r="S238" s="45"/>
      <c r="T238" t="b">
        <f>(S236+S237+S238)=O4</f>
        <v>0</v>
      </c>
      <c r="X238" s="1">
        <f t="shared" si="22"/>
        <v>0</v>
      </c>
      <c r="Y238" s="48">
        <v>0</v>
      </c>
      <c r="AA238" s="1">
        <v>5</v>
      </c>
      <c r="AB238" s="1" t="s">
        <v>13</v>
      </c>
      <c r="AC238" s="1" t="s">
        <v>19</v>
      </c>
      <c r="AD238" s="1">
        <v>19</v>
      </c>
      <c r="AE238" s="1">
        <v>13</v>
      </c>
      <c r="AF238" s="1">
        <v>0.8</v>
      </c>
      <c r="AG238" s="1">
        <v>0.86</v>
      </c>
      <c r="AH238" s="1">
        <v>0</v>
      </c>
      <c r="AI238" s="1">
        <v>0</v>
      </c>
      <c r="AJ238" s="1">
        <f t="shared" si="18"/>
        <v>0</v>
      </c>
      <c r="AK238" s="1">
        <f>E22</f>
        <v>0</v>
      </c>
      <c r="AL238" s="1">
        <f>E28</f>
        <v>0</v>
      </c>
      <c r="AM238" s="1">
        <f t="shared" si="19"/>
        <v>0</v>
      </c>
      <c r="AN238" s="1">
        <f t="shared" si="20"/>
        <v>0</v>
      </c>
      <c r="AO238" s="1">
        <f t="shared" si="21"/>
        <v>0</v>
      </c>
      <c r="AP238" t="b" cm="1">
        <f t="array" ref="AP238">INDEX($AU$8:$BB$25,6*(R238-1)+MATCH(AB238,$AS$8:$AS$13,0),MATCH(O238,$AU$7:$BB$7,0))</f>
        <v>1</v>
      </c>
    </row>
    <row r="239" spans="15:42" ht="14.25" x14ac:dyDescent="0.45">
      <c r="O239" s="43" t="s">
        <v>30</v>
      </c>
      <c r="P239" s="43">
        <v>3</v>
      </c>
      <c r="Q239" s="43">
        <v>9</v>
      </c>
      <c r="R239" s="43">
        <v>1</v>
      </c>
      <c r="S239" s="45"/>
      <c r="T239" t="b">
        <f>(S239+S240+S241)=O4</f>
        <v>0</v>
      </c>
      <c r="X239" s="1">
        <f t="shared" si="22"/>
        <v>0</v>
      </c>
      <c r="Y239" s="48">
        <v>0</v>
      </c>
      <c r="AA239" s="1">
        <v>3</v>
      </c>
      <c r="AB239" s="1" t="s">
        <v>14</v>
      </c>
      <c r="AC239" s="1" t="s">
        <v>20</v>
      </c>
      <c r="AD239" s="1">
        <v>15</v>
      </c>
      <c r="AE239" s="1">
        <v>13</v>
      </c>
      <c r="AF239" s="1">
        <v>0.8</v>
      </c>
      <c r="AG239" s="1">
        <v>0.88</v>
      </c>
      <c r="AH239" s="1">
        <v>0</v>
      </c>
      <c r="AI239" s="1">
        <v>0</v>
      </c>
      <c r="AJ239" s="1">
        <f t="shared" si="18"/>
        <v>0</v>
      </c>
      <c r="AK239" s="1">
        <f>C23</f>
        <v>0</v>
      </c>
      <c r="AL239" s="1">
        <f>C29</f>
        <v>0</v>
      </c>
      <c r="AM239" s="1">
        <f t="shared" si="19"/>
        <v>0</v>
      </c>
      <c r="AN239" s="1">
        <f t="shared" si="20"/>
        <v>0</v>
      </c>
      <c r="AO239" s="1">
        <f t="shared" si="21"/>
        <v>0</v>
      </c>
      <c r="AP239" t="b" cm="1">
        <f t="array" ref="AP239">INDEX($AU$8:$BB$25,6*(R239-1)+MATCH(AB239,$AS$8:$AS$13,0),MATCH(O239,$AU$7:$BB$7,0))</f>
        <v>1</v>
      </c>
    </row>
    <row r="240" spans="15:42" ht="14.25" x14ac:dyDescent="0.45">
      <c r="O240" s="43" t="s">
        <v>30</v>
      </c>
      <c r="P240" s="43">
        <v>3</v>
      </c>
      <c r="Q240" s="43">
        <v>9</v>
      </c>
      <c r="R240" s="43">
        <v>2</v>
      </c>
      <c r="S240" s="45"/>
      <c r="T240" t="b">
        <f>(S239+S240+S241)=O4</f>
        <v>0</v>
      </c>
      <c r="X240" s="1">
        <f t="shared" si="22"/>
        <v>0</v>
      </c>
      <c r="Y240" s="48">
        <v>0</v>
      </c>
      <c r="AA240" s="1">
        <v>3</v>
      </c>
      <c r="AB240" s="1" t="s">
        <v>14</v>
      </c>
      <c r="AC240" s="1" t="s">
        <v>20</v>
      </c>
      <c r="AD240" s="1">
        <v>15</v>
      </c>
      <c r="AE240" s="1">
        <v>13</v>
      </c>
      <c r="AF240" s="1">
        <v>0.8</v>
      </c>
      <c r="AG240" s="1">
        <v>0.88</v>
      </c>
      <c r="AH240" s="1">
        <v>0</v>
      </c>
      <c r="AI240" s="1">
        <v>0</v>
      </c>
      <c r="AJ240" s="1">
        <f t="shared" si="18"/>
        <v>0</v>
      </c>
      <c r="AK240" s="1">
        <f>D23</f>
        <v>0</v>
      </c>
      <c r="AL240" s="1">
        <f>D29</f>
        <v>0</v>
      </c>
      <c r="AM240" s="1">
        <f t="shared" si="19"/>
        <v>0</v>
      </c>
      <c r="AN240" s="1">
        <f t="shared" si="20"/>
        <v>0</v>
      </c>
      <c r="AO240" s="1">
        <f t="shared" si="21"/>
        <v>0</v>
      </c>
      <c r="AP240" t="b" cm="1">
        <f t="array" ref="AP240">INDEX($AU$8:$BB$25,6*(R240-1)+MATCH(AB240,$AS$8:$AS$13,0),MATCH(O240,$AU$7:$BB$7,0))</f>
        <v>1</v>
      </c>
    </row>
    <row r="241" spans="15:42" ht="14.25" x14ac:dyDescent="0.45">
      <c r="O241" s="43" t="s">
        <v>30</v>
      </c>
      <c r="P241" s="43">
        <v>3</v>
      </c>
      <c r="Q241" s="43">
        <v>9</v>
      </c>
      <c r="R241" s="43">
        <v>3</v>
      </c>
      <c r="S241" s="45"/>
      <c r="T241" t="b">
        <f>(S239+S240+S241)=O4</f>
        <v>0</v>
      </c>
      <c r="X241" s="1">
        <f t="shared" si="22"/>
        <v>0</v>
      </c>
      <c r="Y241" s="48">
        <v>0</v>
      </c>
      <c r="AA241" s="1">
        <v>3</v>
      </c>
      <c r="AB241" s="1" t="s">
        <v>14</v>
      </c>
      <c r="AC241" s="1" t="s">
        <v>20</v>
      </c>
      <c r="AD241" s="1">
        <v>15</v>
      </c>
      <c r="AE241" s="1">
        <v>13</v>
      </c>
      <c r="AF241" s="1">
        <v>0.8</v>
      </c>
      <c r="AG241" s="1">
        <v>0.88</v>
      </c>
      <c r="AH241" s="1">
        <v>0</v>
      </c>
      <c r="AI241" s="1">
        <v>0</v>
      </c>
      <c r="AJ241" s="1">
        <f t="shared" si="18"/>
        <v>0</v>
      </c>
      <c r="AK241" s="1">
        <f>E23</f>
        <v>0</v>
      </c>
      <c r="AL241" s="1">
        <f>E29</f>
        <v>0</v>
      </c>
      <c r="AM241" s="1">
        <f t="shared" si="19"/>
        <v>0</v>
      </c>
      <c r="AN241" s="1">
        <f t="shared" si="20"/>
        <v>0</v>
      </c>
      <c r="AO241" s="1">
        <f t="shared" si="21"/>
        <v>0</v>
      </c>
      <c r="AP241" t="b" cm="1">
        <f t="array" ref="AP241">INDEX($AU$8:$BB$25,6*(R241-1)+MATCH(AB241,$AS$8:$AS$13,0),MATCH(O241,$AU$7:$BB$7,0))</f>
        <v>1</v>
      </c>
    </row>
    <row r="242" spans="15:42" ht="14.25" x14ac:dyDescent="0.45">
      <c r="O242" s="43" t="s">
        <v>30</v>
      </c>
      <c r="P242" s="43">
        <v>3</v>
      </c>
      <c r="Q242" s="43">
        <v>10</v>
      </c>
      <c r="R242" s="43">
        <v>1</v>
      </c>
      <c r="S242" s="45"/>
      <c r="T242" t="b">
        <f>(S242+S243+S244)=O4</f>
        <v>0</v>
      </c>
      <c r="X242" s="1">
        <f t="shared" si="22"/>
        <v>0</v>
      </c>
      <c r="Y242" s="48">
        <v>0</v>
      </c>
      <c r="AA242" s="1">
        <v>5</v>
      </c>
      <c r="AB242" s="1" t="s">
        <v>14</v>
      </c>
      <c r="AC242" s="1" t="s">
        <v>20</v>
      </c>
      <c r="AD242" s="1">
        <v>24</v>
      </c>
      <c r="AE242" s="1">
        <v>20</v>
      </c>
      <c r="AF242" s="1">
        <v>0.8</v>
      </c>
      <c r="AG242" s="1">
        <v>0.88</v>
      </c>
      <c r="AH242" s="1">
        <v>0</v>
      </c>
      <c r="AI242" s="1">
        <v>0</v>
      </c>
      <c r="AJ242" s="1">
        <f t="shared" si="18"/>
        <v>0</v>
      </c>
      <c r="AK242" s="1">
        <f>C23</f>
        <v>0</v>
      </c>
      <c r="AL242" s="1">
        <f>C29</f>
        <v>0</v>
      </c>
      <c r="AM242" s="1">
        <f t="shared" si="19"/>
        <v>0</v>
      </c>
      <c r="AN242" s="1">
        <f t="shared" si="20"/>
        <v>0</v>
      </c>
      <c r="AO242" s="1">
        <f t="shared" si="21"/>
        <v>0</v>
      </c>
      <c r="AP242" t="b" cm="1">
        <f t="array" ref="AP242">INDEX($AU$8:$BB$25,6*(R242-1)+MATCH(AB242,$AS$8:$AS$13,0),MATCH(O242,$AU$7:$BB$7,0))</f>
        <v>1</v>
      </c>
    </row>
    <row r="243" spans="15:42" ht="14.25" x14ac:dyDescent="0.45">
      <c r="O243" s="43" t="s">
        <v>30</v>
      </c>
      <c r="P243" s="43">
        <v>3</v>
      </c>
      <c r="Q243" s="43">
        <v>10</v>
      </c>
      <c r="R243" s="43">
        <v>2</v>
      </c>
      <c r="S243" s="45"/>
      <c r="T243" t="b">
        <f>(S242+S243+S244)=O4</f>
        <v>0</v>
      </c>
      <c r="X243" s="1">
        <f t="shared" si="22"/>
        <v>0</v>
      </c>
      <c r="Y243" s="48">
        <v>0</v>
      </c>
      <c r="AA243" s="1">
        <v>5</v>
      </c>
      <c r="AB243" s="1" t="s">
        <v>14</v>
      </c>
      <c r="AC243" s="1" t="s">
        <v>20</v>
      </c>
      <c r="AD243" s="1">
        <v>24</v>
      </c>
      <c r="AE243" s="1">
        <v>20</v>
      </c>
      <c r="AF243" s="1">
        <v>0.8</v>
      </c>
      <c r="AG243" s="1">
        <v>0.88</v>
      </c>
      <c r="AH243" s="1">
        <v>0</v>
      </c>
      <c r="AI243" s="1">
        <v>0</v>
      </c>
      <c r="AJ243" s="1">
        <f t="shared" si="18"/>
        <v>0</v>
      </c>
      <c r="AK243" s="1">
        <f>D23</f>
        <v>0</v>
      </c>
      <c r="AL243" s="1">
        <f>D29</f>
        <v>0</v>
      </c>
      <c r="AM243" s="1">
        <f t="shared" si="19"/>
        <v>0</v>
      </c>
      <c r="AN243" s="1">
        <f t="shared" si="20"/>
        <v>0</v>
      </c>
      <c r="AO243" s="1">
        <f t="shared" si="21"/>
        <v>0</v>
      </c>
      <c r="AP243" t="b" cm="1">
        <f t="array" ref="AP243">INDEX($AU$8:$BB$25,6*(R243-1)+MATCH(AB243,$AS$8:$AS$13,0),MATCH(O243,$AU$7:$BB$7,0))</f>
        <v>1</v>
      </c>
    </row>
    <row r="244" spans="15:42" ht="14.25" x14ac:dyDescent="0.45">
      <c r="O244" s="43" t="s">
        <v>30</v>
      </c>
      <c r="P244" s="43">
        <v>3</v>
      </c>
      <c r="Q244" s="43">
        <v>10</v>
      </c>
      <c r="R244" s="43">
        <v>3</v>
      </c>
      <c r="S244" s="45"/>
      <c r="T244" t="b">
        <f>(S242+S243+S244)=O4</f>
        <v>0</v>
      </c>
      <c r="X244" s="1">
        <f t="shared" si="22"/>
        <v>0</v>
      </c>
      <c r="Y244" s="48">
        <v>0</v>
      </c>
      <c r="AA244" s="1">
        <v>5</v>
      </c>
      <c r="AB244" s="1" t="s">
        <v>14</v>
      </c>
      <c r="AC244" s="1" t="s">
        <v>20</v>
      </c>
      <c r="AD244" s="1">
        <v>24</v>
      </c>
      <c r="AE244" s="1">
        <v>20</v>
      </c>
      <c r="AF244" s="1">
        <v>0.8</v>
      </c>
      <c r="AG244" s="1">
        <v>0.88</v>
      </c>
      <c r="AH244" s="1">
        <v>0</v>
      </c>
      <c r="AI244" s="1">
        <v>0</v>
      </c>
      <c r="AJ244" s="1">
        <f t="shared" si="18"/>
        <v>0</v>
      </c>
      <c r="AK244" s="1">
        <f>E23</f>
        <v>0</v>
      </c>
      <c r="AL244" s="1">
        <f>E29</f>
        <v>0</v>
      </c>
      <c r="AM244" s="1">
        <f t="shared" si="19"/>
        <v>0</v>
      </c>
      <c r="AN244" s="1">
        <f t="shared" si="20"/>
        <v>0</v>
      </c>
      <c r="AO244" s="1">
        <f t="shared" si="21"/>
        <v>0</v>
      </c>
      <c r="AP244" t="b" cm="1">
        <f t="array" ref="AP244">INDEX($AU$8:$BB$25,6*(R244-1)+MATCH(AB244,$AS$8:$AS$13,0),MATCH(O244,$AU$7:$BB$7,0))</f>
        <v>1</v>
      </c>
    </row>
    <row r="245" spans="15:42" ht="14.25" x14ac:dyDescent="0.45">
      <c r="O245" s="43" t="s">
        <v>30</v>
      </c>
      <c r="P245" s="43">
        <v>3</v>
      </c>
      <c r="Q245" s="43">
        <v>11</v>
      </c>
      <c r="R245" s="43">
        <v>1</v>
      </c>
      <c r="S245" s="45"/>
      <c r="T245" t="b">
        <f>(S245+S246+S247)=O4</f>
        <v>0</v>
      </c>
      <c r="X245" s="1">
        <f t="shared" si="22"/>
        <v>0</v>
      </c>
      <c r="Y245" s="48">
        <v>0</v>
      </c>
      <c r="AA245" s="1">
        <v>3</v>
      </c>
      <c r="AB245" s="1" t="s">
        <v>15</v>
      </c>
      <c r="AC245" s="1" t="s">
        <v>21</v>
      </c>
      <c r="AD245" s="1">
        <v>17</v>
      </c>
      <c r="AE245" s="1">
        <v>15</v>
      </c>
      <c r="AF245" s="1">
        <v>0.76</v>
      </c>
      <c r="AG245" s="1">
        <v>0.84</v>
      </c>
      <c r="AH245" s="1">
        <v>0</v>
      </c>
      <c r="AI245" s="1">
        <v>0</v>
      </c>
      <c r="AJ245" s="1">
        <f t="shared" si="18"/>
        <v>0</v>
      </c>
      <c r="AK245" s="1">
        <f>C24</f>
        <v>0</v>
      </c>
      <c r="AL245" s="1">
        <f>C30</f>
        <v>0</v>
      </c>
      <c r="AM245" s="1">
        <f t="shared" si="19"/>
        <v>0</v>
      </c>
      <c r="AN245" s="1">
        <f t="shared" si="20"/>
        <v>0</v>
      </c>
      <c r="AO245" s="1">
        <f t="shared" si="21"/>
        <v>0</v>
      </c>
      <c r="AP245" t="b" cm="1">
        <f t="array" ref="AP245">INDEX($AU$8:$BB$25,6*(R245-1)+MATCH(AB245,$AS$8:$AS$13,0),MATCH(O245,$AU$7:$BB$7,0))</f>
        <v>1</v>
      </c>
    </row>
    <row r="246" spans="15:42" ht="14.25" x14ac:dyDescent="0.45">
      <c r="O246" s="43" t="s">
        <v>30</v>
      </c>
      <c r="P246" s="43">
        <v>3</v>
      </c>
      <c r="Q246" s="43">
        <v>11</v>
      </c>
      <c r="R246" s="43">
        <v>2</v>
      </c>
      <c r="S246" s="45"/>
      <c r="T246" t="b">
        <f>(S245+S246+S247)=O4</f>
        <v>0</v>
      </c>
      <c r="X246" s="1">
        <f t="shared" si="22"/>
        <v>0</v>
      </c>
      <c r="Y246" s="48">
        <v>0</v>
      </c>
      <c r="AA246" s="1">
        <v>3</v>
      </c>
      <c r="AB246" s="1" t="s">
        <v>15</v>
      </c>
      <c r="AC246" s="1" t="s">
        <v>21</v>
      </c>
      <c r="AD246" s="1">
        <v>17</v>
      </c>
      <c r="AE246" s="1">
        <v>15</v>
      </c>
      <c r="AF246" s="1">
        <v>0.76</v>
      </c>
      <c r="AG246" s="1">
        <v>0.84</v>
      </c>
      <c r="AH246" s="1">
        <v>0</v>
      </c>
      <c r="AI246" s="1">
        <v>0</v>
      </c>
      <c r="AJ246" s="1">
        <f t="shared" si="18"/>
        <v>0</v>
      </c>
      <c r="AK246" s="1">
        <f>D24</f>
        <v>0</v>
      </c>
      <c r="AL246" s="1">
        <f>D30</f>
        <v>0</v>
      </c>
      <c r="AM246" s="1">
        <f t="shared" si="19"/>
        <v>0</v>
      </c>
      <c r="AN246" s="1">
        <f t="shared" si="20"/>
        <v>0</v>
      </c>
      <c r="AO246" s="1">
        <f t="shared" si="21"/>
        <v>0</v>
      </c>
      <c r="AP246" t="b" cm="1">
        <f t="array" ref="AP246">INDEX($AU$8:$BB$25,6*(R246-1)+MATCH(AB246,$AS$8:$AS$13,0),MATCH(O246,$AU$7:$BB$7,0))</f>
        <v>1</v>
      </c>
    </row>
    <row r="247" spans="15:42" ht="14.25" x14ac:dyDescent="0.45">
      <c r="O247" s="43" t="s">
        <v>30</v>
      </c>
      <c r="P247" s="43">
        <v>3</v>
      </c>
      <c r="Q247" s="43">
        <v>11</v>
      </c>
      <c r="R247" s="43">
        <v>3</v>
      </c>
      <c r="S247" s="45"/>
      <c r="T247" t="b">
        <f>(S245+S246+S247)=O4</f>
        <v>0</v>
      </c>
      <c r="X247" s="1">
        <f t="shared" si="22"/>
        <v>0</v>
      </c>
      <c r="Y247" s="48">
        <v>0</v>
      </c>
      <c r="AA247" s="1">
        <v>3</v>
      </c>
      <c r="AB247" s="1" t="s">
        <v>15</v>
      </c>
      <c r="AC247" s="1" t="s">
        <v>21</v>
      </c>
      <c r="AD247" s="1">
        <v>17</v>
      </c>
      <c r="AE247" s="1">
        <v>15</v>
      </c>
      <c r="AF247" s="1">
        <v>0.76</v>
      </c>
      <c r="AG247" s="1">
        <v>0.84</v>
      </c>
      <c r="AH247" s="1">
        <v>0</v>
      </c>
      <c r="AI247" s="1">
        <v>0</v>
      </c>
      <c r="AJ247" s="1">
        <f t="shared" si="18"/>
        <v>0</v>
      </c>
      <c r="AK247" s="1">
        <f>E24</f>
        <v>0</v>
      </c>
      <c r="AL247" s="1">
        <f>E30</f>
        <v>0</v>
      </c>
      <c r="AM247" s="1">
        <f t="shared" si="19"/>
        <v>0</v>
      </c>
      <c r="AN247" s="1">
        <f t="shared" si="20"/>
        <v>0</v>
      </c>
      <c r="AO247" s="1">
        <f t="shared" si="21"/>
        <v>0</v>
      </c>
      <c r="AP247" t="b" cm="1">
        <f t="array" ref="AP247">INDEX($AU$8:$BB$25,6*(R247-1)+MATCH(AB247,$AS$8:$AS$13,0),MATCH(O247,$AU$7:$BB$7,0))</f>
        <v>1</v>
      </c>
    </row>
    <row r="248" spans="15:42" ht="14.25" x14ac:dyDescent="0.45">
      <c r="O248" s="43" t="s">
        <v>30</v>
      </c>
      <c r="P248" s="43">
        <v>3</v>
      </c>
      <c r="Q248" s="43">
        <v>12</v>
      </c>
      <c r="R248" s="43">
        <v>1</v>
      </c>
      <c r="S248" s="45"/>
      <c r="T248" t="b">
        <f>(S248+S249+S250)=O4</f>
        <v>0</v>
      </c>
      <c r="X248" s="1">
        <f t="shared" si="22"/>
        <v>0</v>
      </c>
      <c r="Y248" s="48">
        <v>0</v>
      </c>
      <c r="AA248" s="1">
        <v>10</v>
      </c>
      <c r="AB248" s="1" t="s">
        <v>15</v>
      </c>
      <c r="AC248" s="1" t="s">
        <v>21</v>
      </c>
      <c r="AD248" s="1">
        <v>18</v>
      </c>
      <c r="AE248" s="1">
        <v>13</v>
      </c>
      <c r="AF248" s="1">
        <v>0.76</v>
      </c>
      <c r="AG248" s="1">
        <v>0.84</v>
      </c>
      <c r="AH248" s="1">
        <v>0</v>
      </c>
      <c r="AI248" s="1">
        <v>0</v>
      </c>
      <c r="AJ248" s="1">
        <f t="shared" si="18"/>
        <v>0</v>
      </c>
      <c r="AK248" s="1">
        <f>C24</f>
        <v>0</v>
      </c>
      <c r="AL248" s="1">
        <f>C30</f>
        <v>0</v>
      </c>
      <c r="AM248" s="1">
        <f t="shared" si="19"/>
        <v>0</v>
      </c>
      <c r="AN248" s="1">
        <f t="shared" si="20"/>
        <v>0</v>
      </c>
      <c r="AO248" s="1">
        <f t="shared" si="21"/>
        <v>0</v>
      </c>
      <c r="AP248" t="b" cm="1">
        <f t="array" ref="AP248">INDEX($AU$8:$BB$25,6*(R248-1)+MATCH(AB248,$AS$8:$AS$13,0),MATCH(O248,$AU$7:$BB$7,0))</f>
        <v>1</v>
      </c>
    </row>
    <row r="249" spans="15:42" ht="14.25" x14ac:dyDescent="0.45">
      <c r="O249" s="43" t="s">
        <v>30</v>
      </c>
      <c r="P249" s="43">
        <v>3</v>
      </c>
      <c r="Q249" s="43">
        <v>12</v>
      </c>
      <c r="R249" s="43">
        <v>2</v>
      </c>
      <c r="S249" s="45"/>
      <c r="T249" t="b">
        <f>(S248+S249+S250)=O4</f>
        <v>0</v>
      </c>
      <c r="X249" s="1">
        <f t="shared" si="22"/>
        <v>0</v>
      </c>
      <c r="Y249" s="48">
        <v>0</v>
      </c>
      <c r="AA249" s="1">
        <v>10</v>
      </c>
      <c r="AB249" s="1" t="s">
        <v>15</v>
      </c>
      <c r="AC249" s="1" t="s">
        <v>21</v>
      </c>
      <c r="AD249" s="1">
        <v>18</v>
      </c>
      <c r="AE249" s="1">
        <v>13</v>
      </c>
      <c r="AF249" s="1">
        <v>0.76</v>
      </c>
      <c r="AG249" s="1">
        <v>0.84</v>
      </c>
      <c r="AH249" s="1">
        <v>0</v>
      </c>
      <c r="AI249" s="1">
        <v>0</v>
      </c>
      <c r="AJ249" s="1">
        <f t="shared" si="18"/>
        <v>0</v>
      </c>
      <c r="AK249" s="1">
        <f>D24</f>
        <v>0</v>
      </c>
      <c r="AL249" s="1">
        <f>D30</f>
        <v>0</v>
      </c>
      <c r="AM249" s="1">
        <f t="shared" si="19"/>
        <v>0</v>
      </c>
      <c r="AN249" s="1">
        <f t="shared" si="20"/>
        <v>0</v>
      </c>
      <c r="AO249" s="1">
        <f t="shared" si="21"/>
        <v>0</v>
      </c>
      <c r="AP249" t="b" cm="1">
        <f t="array" ref="AP249">INDEX($AU$8:$BB$25,6*(R249-1)+MATCH(AB249,$AS$8:$AS$13,0),MATCH(O249,$AU$7:$BB$7,0))</f>
        <v>1</v>
      </c>
    </row>
    <row r="250" spans="15:42" ht="14.25" x14ac:dyDescent="0.45">
      <c r="O250" s="43" t="s">
        <v>30</v>
      </c>
      <c r="P250" s="43">
        <v>3</v>
      </c>
      <c r="Q250" s="43">
        <v>12</v>
      </c>
      <c r="R250" s="43">
        <v>3</v>
      </c>
      <c r="S250" s="45"/>
      <c r="T250" t="b">
        <f>(S248+S249+S250)=O4</f>
        <v>0</v>
      </c>
      <c r="X250" s="1">
        <f t="shared" si="22"/>
        <v>0</v>
      </c>
      <c r="Y250" s="48">
        <v>0</v>
      </c>
      <c r="AA250" s="1">
        <v>10</v>
      </c>
      <c r="AB250" s="1" t="s">
        <v>15</v>
      </c>
      <c r="AC250" s="1" t="s">
        <v>21</v>
      </c>
      <c r="AD250" s="1">
        <v>18</v>
      </c>
      <c r="AE250" s="1">
        <v>13</v>
      </c>
      <c r="AF250" s="1">
        <v>0.76</v>
      </c>
      <c r="AG250" s="1">
        <v>0.84</v>
      </c>
      <c r="AH250" s="1">
        <v>0</v>
      </c>
      <c r="AI250" s="1">
        <v>0</v>
      </c>
      <c r="AJ250" s="1">
        <f t="shared" si="18"/>
        <v>0</v>
      </c>
      <c r="AK250" s="1">
        <f>E24</f>
        <v>0</v>
      </c>
      <c r="AL250" s="1">
        <f>E30</f>
        <v>0</v>
      </c>
      <c r="AM250" s="1">
        <f t="shared" si="19"/>
        <v>0</v>
      </c>
      <c r="AN250" s="1">
        <f t="shared" si="20"/>
        <v>0</v>
      </c>
      <c r="AO250" s="1">
        <f t="shared" si="21"/>
        <v>0</v>
      </c>
      <c r="AP250" t="b" cm="1">
        <f t="array" ref="AP250">INDEX($AU$8:$BB$25,6*(R250-1)+MATCH(AB250,$AS$8:$AS$13,0),MATCH(O250,$AU$7:$BB$7,0))</f>
        <v>1</v>
      </c>
    </row>
    <row r="251" spans="15:42" ht="14.25" x14ac:dyDescent="0.45">
      <c r="O251" s="43" t="s">
        <v>30</v>
      </c>
      <c r="P251" s="43">
        <v>3</v>
      </c>
      <c r="Q251" s="43">
        <v>13</v>
      </c>
      <c r="R251" s="43">
        <v>1</v>
      </c>
      <c r="S251" s="45"/>
      <c r="T251" t="b">
        <f>(S251+S252+S253)=O4</f>
        <v>0</v>
      </c>
      <c r="X251" s="1">
        <f t="shared" si="22"/>
        <v>0</v>
      </c>
      <c r="Y251" s="48">
        <v>0</v>
      </c>
      <c r="AA251" s="1">
        <v>2</v>
      </c>
      <c r="AB251" s="1" t="s">
        <v>16</v>
      </c>
      <c r="AC251" s="1" t="s">
        <v>22</v>
      </c>
      <c r="AD251" s="1">
        <v>20</v>
      </c>
      <c r="AE251" s="1">
        <v>18</v>
      </c>
      <c r="AF251" s="1">
        <v>0.8</v>
      </c>
      <c r="AG251" s="1">
        <v>0.9</v>
      </c>
      <c r="AH251" s="1">
        <v>0</v>
      </c>
      <c r="AI251" s="1">
        <v>0</v>
      </c>
      <c r="AJ251" s="1">
        <f t="shared" si="18"/>
        <v>0</v>
      </c>
      <c r="AK251" s="1">
        <f>C25</f>
        <v>0</v>
      </c>
      <c r="AL251" s="1">
        <f>C31</f>
        <v>0</v>
      </c>
      <c r="AM251" s="1">
        <f t="shared" si="19"/>
        <v>0</v>
      </c>
      <c r="AN251" s="1">
        <f t="shared" si="20"/>
        <v>0</v>
      </c>
      <c r="AO251" s="1">
        <f t="shared" si="21"/>
        <v>0</v>
      </c>
      <c r="AP251" t="b" cm="1">
        <f t="array" ref="AP251">INDEX($AU$8:$BB$25,6*(R251-1)+MATCH(AB251,$AS$8:$AS$13,0),MATCH(O251,$AU$7:$BB$7,0))</f>
        <v>1</v>
      </c>
    </row>
    <row r="252" spans="15:42" ht="14.25" x14ac:dyDescent="0.45">
      <c r="O252" s="43" t="s">
        <v>30</v>
      </c>
      <c r="P252" s="43">
        <v>3</v>
      </c>
      <c r="Q252" s="43">
        <v>13</v>
      </c>
      <c r="R252" s="43">
        <v>2</v>
      </c>
      <c r="S252" s="45"/>
      <c r="T252" t="b">
        <f>(S251+S252+S253)=O4</f>
        <v>0</v>
      </c>
      <c r="X252" s="1">
        <f t="shared" si="22"/>
        <v>0</v>
      </c>
      <c r="Y252" s="48">
        <v>0</v>
      </c>
      <c r="AA252" s="1">
        <v>2</v>
      </c>
      <c r="AB252" s="1" t="s">
        <v>16</v>
      </c>
      <c r="AC252" s="1" t="s">
        <v>22</v>
      </c>
      <c r="AD252" s="1">
        <v>20</v>
      </c>
      <c r="AE252" s="1">
        <v>18</v>
      </c>
      <c r="AF252" s="1">
        <v>0.8</v>
      </c>
      <c r="AG252" s="1">
        <v>0.9</v>
      </c>
      <c r="AH252" s="1">
        <v>0</v>
      </c>
      <c r="AI252" s="1">
        <v>0</v>
      </c>
      <c r="AJ252" s="1">
        <f t="shared" si="18"/>
        <v>0</v>
      </c>
      <c r="AK252" s="1">
        <f>D25</f>
        <v>0</v>
      </c>
      <c r="AL252" s="1">
        <f>D31</f>
        <v>0</v>
      </c>
      <c r="AM252" s="1">
        <f t="shared" si="19"/>
        <v>0</v>
      </c>
      <c r="AN252" s="1">
        <f t="shared" si="20"/>
        <v>0</v>
      </c>
      <c r="AO252" s="1">
        <f t="shared" si="21"/>
        <v>0</v>
      </c>
      <c r="AP252" t="b" cm="1">
        <f t="array" ref="AP252">INDEX($AU$8:$BB$25,6*(R252-1)+MATCH(AB252,$AS$8:$AS$13,0),MATCH(O252,$AU$7:$BB$7,0))</f>
        <v>1</v>
      </c>
    </row>
    <row r="253" spans="15:42" ht="14.25" x14ac:dyDescent="0.45">
      <c r="O253" s="43" t="s">
        <v>30</v>
      </c>
      <c r="P253" s="43">
        <v>3</v>
      </c>
      <c r="Q253" s="43">
        <v>13</v>
      </c>
      <c r="R253" s="43">
        <v>3</v>
      </c>
      <c r="S253" s="45"/>
      <c r="T253" t="b">
        <f>(S251+S252+S253)=O4</f>
        <v>0</v>
      </c>
      <c r="X253" s="1">
        <f t="shared" si="22"/>
        <v>0</v>
      </c>
      <c r="Y253" s="48">
        <v>0</v>
      </c>
      <c r="AA253" s="1">
        <v>2</v>
      </c>
      <c r="AB253" s="1" t="s">
        <v>16</v>
      </c>
      <c r="AC253" s="1" t="s">
        <v>22</v>
      </c>
      <c r="AD253" s="1">
        <v>20</v>
      </c>
      <c r="AE253" s="1">
        <v>18</v>
      </c>
      <c r="AF253" s="1">
        <v>0.8</v>
      </c>
      <c r="AG253" s="1">
        <v>0.9</v>
      </c>
      <c r="AH253" s="1">
        <v>0</v>
      </c>
      <c r="AI253" s="1">
        <v>0</v>
      </c>
      <c r="AJ253" s="1">
        <f t="shared" si="18"/>
        <v>0</v>
      </c>
      <c r="AK253" s="1">
        <f>E25</f>
        <v>0</v>
      </c>
      <c r="AL253" s="1">
        <f>E31</f>
        <v>0</v>
      </c>
      <c r="AM253" s="1">
        <f t="shared" si="19"/>
        <v>0</v>
      </c>
      <c r="AN253" s="1">
        <f t="shared" si="20"/>
        <v>0</v>
      </c>
      <c r="AO253" s="1">
        <f t="shared" si="21"/>
        <v>0</v>
      </c>
      <c r="AP253" t="b" cm="1">
        <f t="array" ref="AP253">INDEX($AU$8:$BB$25,6*(R253-1)+MATCH(AB253,$AS$8:$AS$13,0),MATCH(O253,$AU$7:$BB$7,0))</f>
        <v>1</v>
      </c>
    </row>
    <row r="254" spans="15:42" ht="14.25" x14ac:dyDescent="0.45">
      <c r="O254" s="43" t="s">
        <v>30</v>
      </c>
      <c r="P254" s="43">
        <v>3</v>
      </c>
      <c r="Q254" s="43">
        <v>14</v>
      </c>
      <c r="R254" s="43">
        <v>1</v>
      </c>
      <c r="S254" s="45"/>
      <c r="T254" t="b">
        <f>(S254+S255+S256)=O4</f>
        <v>0</v>
      </c>
      <c r="X254" s="1">
        <f t="shared" si="22"/>
        <v>0</v>
      </c>
      <c r="Y254" s="48">
        <v>0</v>
      </c>
      <c r="AA254" s="1">
        <v>2</v>
      </c>
      <c r="AB254" s="1" t="s">
        <v>13</v>
      </c>
      <c r="AC254" s="1" t="s">
        <v>19</v>
      </c>
      <c r="AD254" s="1">
        <v>12</v>
      </c>
      <c r="AE254" s="1">
        <v>11</v>
      </c>
      <c r="AF254" s="1">
        <v>0.8</v>
      </c>
      <c r="AG254" s="1">
        <v>0.86</v>
      </c>
      <c r="AH254" s="1">
        <v>0</v>
      </c>
      <c r="AI254" s="1">
        <v>0</v>
      </c>
      <c r="AJ254" s="1">
        <f t="shared" si="18"/>
        <v>0</v>
      </c>
      <c r="AK254" s="1">
        <f>C22</f>
        <v>0</v>
      </c>
      <c r="AL254" s="1">
        <f>C28</f>
        <v>0</v>
      </c>
      <c r="AM254" s="1">
        <f t="shared" si="19"/>
        <v>0</v>
      </c>
      <c r="AN254" s="1">
        <f t="shared" si="20"/>
        <v>0</v>
      </c>
      <c r="AO254" s="1">
        <f t="shared" si="21"/>
        <v>0</v>
      </c>
      <c r="AP254" t="b" cm="1">
        <f t="array" ref="AP254">INDEX($AU$8:$BB$25,6*(R254-1)+MATCH(AB254,$AS$8:$AS$13,0),MATCH(O254,$AU$7:$BB$7,0))</f>
        <v>1</v>
      </c>
    </row>
    <row r="255" spans="15:42" ht="14.25" x14ac:dyDescent="0.45">
      <c r="O255" s="43" t="s">
        <v>30</v>
      </c>
      <c r="P255" s="43">
        <v>3</v>
      </c>
      <c r="Q255" s="43">
        <v>14</v>
      </c>
      <c r="R255" s="43">
        <v>2</v>
      </c>
      <c r="S255" s="45"/>
      <c r="T255" t="b">
        <f>(S254+S255+S256)=O4</f>
        <v>0</v>
      </c>
      <c r="X255" s="1">
        <f t="shared" si="22"/>
        <v>0</v>
      </c>
      <c r="Y255" s="48">
        <v>0</v>
      </c>
      <c r="AA255" s="1">
        <v>2</v>
      </c>
      <c r="AB255" s="1" t="s">
        <v>13</v>
      </c>
      <c r="AC255" s="1" t="s">
        <v>19</v>
      </c>
      <c r="AD255" s="1">
        <v>12</v>
      </c>
      <c r="AE255" s="1">
        <v>11</v>
      </c>
      <c r="AF255" s="1">
        <v>0.8</v>
      </c>
      <c r="AG255" s="1">
        <v>0.86</v>
      </c>
      <c r="AH255" s="1">
        <v>0</v>
      </c>
      <c r="AI255" s="1">
        <v>0</v>
      </c>
      <c r="AJ255" s="1">
        <f t="shared" si="18"/>
        <v>0</v>
      </c>
      <c r="AK255" s="1">
        <f>D22</f>
        <v>0</v>
      </c>
      <c r="AL255" s="1">
        <f>D28</f>
        <v>0</v>
      </c>
      <c r="AM255" s="1">
        <f t="shared" si="19"/>
        <v>0</v>
      </c>
      <c r="AN255" s="1">
        <f t="shared" si="20"/>
        <v>0</v>
      </c>
      <c r="AO255" s="1">
        <f t="shared" si="21"/>
        <v>0</v>
      </c>
      <c r="AP255" t="b" cm="1">
        <f t="array" ref="AP255">INDEX($AU$8:$BB$25,6*(R255-1)+MATCH(AB255,$AS$8:$AS$13,0),MATCH(O255,$AU$7:$BB$7,0))</f>
        <v>1</v>
      </c>
    </row>
    <row r="256" spans="15:42" ht="14.25" x14ac:dyDescent="0.45">
      <c r="O256" s="43" t="s">
        <v>30</v>
      </c>
      <c r="P256" s="43">
        <v>3</v>
      </c>
      <c r="Q256" s="43">
        <v>14</v>
      </c>
      <c r="R256" s="43">
        <v>3</v>
      </c>
      <c r="S256" s="45"/>
      <c r="T256" t="b">
        <f>(S254+S255+S256)=O4</f>
        <v>0</v>
      </c>
      <c r="X256" s="1">
        <f t="shared" si="22"/>
        <v>0</v>
      </c>
      <c r="Y256" s="48">
        <v>0</v>
      </c>
      <c r="AA256" s="1">
        <v>2</v>
      </c>
      <c r="AB256" s="1" t="s">
        <v>13</v>
      </c>
      <c r="AC256" s="1" t="s">
        <v>19</v>
      </c>
      <c r="AD256" s="1">
        <v>12</v>
      </c>
      <c r="AE256" s="1">
        <v>11</v>
      </c>
      <c r="AF256" s="1">
        <v>0.8</v>
      </c>
      <c r="AG256" s="1">
        <v>0.86</v>
      </c>
      <c r="AH256" s="1">
        <v>0</v>
      </c>
      <c r="AI256" s="1">
        <v>0</v>
      </c>
      <c r="AJ256" s="1">
        <f t="shared" si="18"/>
        <v>0</v>
      </c>
      <c r="AK256" s="1">
        <f>E22</f>
        <v>0</v>
      </c>
      <c r="AL256" s="1">
        <f>E28</f>
        <v>0</v>
      </c>
      <c r="AM256" s="1">
        <f t="shared" si="19"/>
        <v>0</v>
      </c>
      <c r="AN256" s="1">
        <f t="shared" si="20"/>
        <v>0</v>
      </c>
      <c r="AO256" s="1">
        <f t="shared" si="21"/>
        <v>0</v>
      </c>
      <c r="AP256" t="b" cm="1">
        <f t="array" ref="AP256">INDEX($AU$8:$BB$25,6*(R256-1)+MATCH(AB256,$AS$8:$AS$13,0),MATCH(O256,$AU$7:$BB$7,0))</f>
        <v>1</v>
      </c>
    </row>
    <row r="257" spans="15:42" ht="14.25" x14ac:dyDescent="0.45">
      <c r="O257" s="43" t="s">
        <v>30</v>
      </c>
      <c r="P257" s="43">
        <v>3</v>
      </c>
      <c r="Q257" s="43">
        <v>15</v>
      </c>
      <c r="R257" s="43">
        <v>1</v>
      </c>
      <c r="S257" s="45"/>
      <c r="T257" t="b">
        <f>(S257+S258+S259)=O4</f>
        <v>0</v>
      </c>
      <c r="X257" s="1">
        <f t="shared" si="22"/>
        <v>0</v>
      </c>
      <c r="Y257" s="48">
        <v>0</v>
      </c>
      <c r="AA257" s="1">
        <v>2</v>
      </c>
      <c r="AB257" s="1" t="s">
        <v>14</v>
      </c>
      <c r="AC257" s="1" t="s">
        <v>20</v>
      </c>
      <c r="AD257" s="1">
        <v>11</v>
      </c>
      <c r="AE257" s="1">
        <v>10</v>
      </c>
      <c r="AF257" s="1">
        <v>0.8</v>
      </c>
      <c r="AG257" s="1">
        <v>0.88</v>
      </c>
      <c r="AH257" s="1">
        <v>0</v>
      </c>
      <c r="AI257" s="1">
        <v>0</v>
      </c>
      <c r="AJ257" s="1">
        <f t="shared" si="18"/>
        <v>0</v>
      </c>
      <c r="AK257" s="1">
        <f>C23</f>
        <v>0</v>
      </c>
      <c r="AL257" s="1">
        <f>C29</f>
        <v>0</v>
      </c>
      <c r="AM257" s="1">
        <f t="shared" si="19"/>
        <v>0</v>
      </c>
      <c r="AN257" s="1">
        <f t="shared" si="20"/>
        <v>0</v>
      </c>
      <c r="AO257" s="1">
        <f t="shared" si="21"/>
        <v>0</v>
      </c>
      <c r="AP257" t="b" cm="1">
        <f t="array" ref="AP257">INDEX($AU$8:$BB$25,6*(R257-1)+MATCH(AB257,$AS$8:$AS$13,0),MATCH(O257,$AU$7:$BB$7,0))</f>
        <v>1</v>
      </c>
    </row>
    <row r="258" spans="15:42" ht="14.25" x14ac:dyDescent="0.45">
      <c r="O258" s="43" t="s">
        <v>30</v>
      </c>
      <c r="P258" s="43">
        <v>3</v>
      </c>
      <c r="Q258" s="43">
        <v>15</v>
      </c>
      <c r="R258" s="43">
        <v>2</v>
      </c>
      <c r="S258" s="45"/>
      <c r="T258" t="b">
        <f>(S257+S258+S259)=O4</f>
        <v>0</v>
      </c>
      <c r="X258" s="1">
        <f t="shared" si="22"/>
        <v>0</v>
      </c>
      <c r="Y258" s="48">
        <v>0</v>
      </c>
      <c r="AA258" s="1">
        <v>2</v>
      </c>
      <c r="AB258" s="1" t="s">
        <v>14</v>
      </c>
      <c r="AC258" s="1" t="s">
        <v>20</v>
      </c>
      <c r="AD258" s="1">
        <v>11</v>
      </c>
      <c r="AE258" s="1">
        <v>10</v>
      </c>
      <c r="AF258" s="1">
        <v>0.8</v>
      </c>
      <c r="AG258" s="1">
        <v>0.88</v>
      </c>
      <c r="AH258" s="1">
        <v>0</v>
      </c>
      <c r="AI258" s="1">
        <v>0</v>
      </c>
      <c r="AJ258" s="1">
        <f t="shared" si="18"/>
        <v>0</v>
      </c>
      <c r="AK258" s="1">
        <f>D23</f>
        <v>0</v>
      </c>
      <c r="AL258" s="1">
        <f>D29</f>
        <v>0</v>
      </c>
      <c r="AM258" s="1">
        <f t="shared" si="19"/>
        <v>0</v>
      </c>
      <c r="AN258" s="1">
        <f t="shared" si="20"/>
        <v>0</v>
      </c>
      <c r="AO258" s="1">
        <f t="shared" si="21"/>
        <v>0</v>
      </c>
      <c r="AP258" t="b" cm="1">
        <f t="array" ref="AP258">INDEX($AU$8:$BB$25,6*(R258-1)+MATCH(AB258,$AS$8:$AS$13,0),MATCH(O258,$AU$7:$BB$7,0))</f>
        <v>1</v>
      </c>
    </row>
    <row r="259" spans="15:42" ht="14.25" x14ac:dyDescent="0.45">
      <c r="O259" s="43" t="s">
        <v>30</v>
      </c>
      <c r="P259" s="43">
        <v>3</v>
      </c>
      <c r="Q259" s="43">
        <v>15</v>
      </c>
      <c r="R259" s="43">
        <v>3</v>
      </c>
      <c r="S259" s="45"/>
      <c r="T259" t="b">
        <f>(S257+S258+S259)=O4</f>
        <v>0</v>
      </c>
      <c r="X259" s="1">
        <f t="shared" si="22"/>
        <v>0</v>
      </c>
      <c r="Y259" s="48">
        <v>0</v>
      </c>
      <c r="AA259" s="1">
        <v>2</v>
      </c>
      <c r="AB259" s="1" t="s">
        <v>14</v>
      </c>
      <c r="AC259" s="1" t="s">
        <v>20</v>
      </c>
      <c r="AD259" s="1">
        <v>11</v>
      </c>
      <c r="AE259" s="1">
        <v>10</v>
      </c>
      <c r="AF259" s="1">
        <v>0.8</v>
      </c>
      <c r="AG259" s="1">
        <v>0.88</v>
      </c>
      <c r="AH259" s="1">
        <v>0</v>
      </c>
      <c r="AI259" s="1">
        <v>0</v>
      </c>
      <c r="AJ259" s="1">
        <f t="shared" si="18"/>
        <v>0</v>
      </c>
      <c r="AK259" s="1">
        <f>E23</f>
        <v>0</v>
      </c>
      <c r="AL259" s="1">
        <f>E29</f>
        <v>0</v>
      </c>
      <c r="AM259" s="1">
        <f t="shared" si="19"/>
        <v>0</v>
      </c>
      <c r="AN259" s="1">
        <f t="shared" si="20"/>
        <v>0</v>
      </c>
      <c r="AO259" s="1">
        <f t="shared" si="21"/>
        <v>0</v>
      </c>
      <c r="AP259" t="b" cm="1">
        <f t="array" ref="AP259">INDEX($AU$8:$BB$25,6*(R259-1)+MATCH(AB259,$AS$8:$AS$13,0),MATCH(O259,$AU$7:$BB$7,0))</f>
        <v>1</v>
      </c>
    </row>
    <row r="260" spans="15:42" ht="14.25" x14ac:dyDescent="0.45">
      <c r="O260" s="43" t="s">
        <v>30</v>
      </c>
      <c r="P260" s="43">
        <v>3</v>
      </c>
      <c r="Q260" s="43">
        <v>16</v>
      </c>
      <c r="R260" s="43">
        <v>1</v>
      </c>
      <c r="S260" s="45"/>
      <c r="T260" t="b">
        <f>(S260+S261+S262)=O4</f>
        <v>0</v>
      </c>
      <c r="X260" s="1">
        <f t="shared" si="22"/>
        <v>0</v>
      </c>
      <c r="Y260" s="48">
        <v>0</v>
      </c>
      <c r="AA260" s="1">
        <v>4</v>
      </c>
      <c r="AB260" s="1" t="s">
        <v>13</v>
      </c>
      <c r="AC260" s="1" t="s">
        <v>19</v>
      </c>
      <c r="AD260" s="1">
        <v>25</v>
      </c>
      <c r="AE260" s="1">
        <v>20</v>
      </c>
      <c r="AF260" s="1">
        <v>0.8</v>
      </c>
      <c r="AG260" s="1">
        <v>0.86</v>
      </c>
      <c r="AH260" s="1">
        <v>0</v>
      </c>
      <c r="AI260" s="1">
        <v>0</v>
      </c>
      <c r="AJ260" s="1">
        <f t="shared" si="18"/>
        <v>0</v>
      </c>
      <c r="AK260" s="1">
        <f>C22</f>
        <v>0</v>
      </c>
      <c r="AL260" s="1">
        <f>C28</f>
        <v>0</v>
      </c>
      <c r="AM260" s="1">
        <f t="shared" si="19"/>
        <v>0</v>
      </c>
      <c r="AN260" s="1">
        <f t="shared" si="20"/>
        <v>0</v>
      </c>
      <c r="AO260" s="1">
        <f t="shared" si="21"/>
        <v>0</v>
      </c>
      <c r="AP260" t="b" cm="1">
        <f t="array" ref="AP260">INDEX($AU$8:$BB$25,6*(R260-1)+MATCH(AB260,$AS$8:$AS$13,0),MATCH(O260,$AU$7:$BB$7,0))</f>
        <v>1</v>
      </c>
    </row>
    <row r="261" spans="15:42" ht="14.25" x14ac:dyDescent="0.45">
      <c r="O261" s="43" t="s">
        <v>30</v>
      </c>
      <c r="P261" s="43">
        <v>3</v>
      </c>
      <c r="Q261" s="43">
        <v>16</v>
      </c>
      <c r="R261" s="43">
        <v>2</v>
      </c>
      <c r="S261" s="45"/>
      <c r="T261" t="b">
        <f>(S260+S261+S262)=O4</f>
        <v>0</v>
      </c>
      <c r="X261" s="1">
        <f t="shared" si="22"/>
        <v>0</v>
      </c>
      <c r="Y261" s="48">
        <v>0</v>
      </c>
      <c r="AA261" s="1">
        <v>4</v>
      </c>
      <c r="AB261" s="1" t="s">
        <v>13</v>
      </c>
      <c r="AC261" s="1" t="s">
        <v>19</v>
      </c>
      <c r="AD261" s="1">
        <v>25</v>
      </c>
      <c r="AE261" s="1">
        <v>20</v>
      </c>
      <c r="AF261" s="1">
        <v>0.8</v>
      </c>
      <c r="AG261" s="1">
        <v>0.86</v>
      </c>
      <c r="AH261" s="1">
        <v>0</v>
      </c>
      <c r="AI261" s="1">
        <v>0</v>
      </c>
      <c r="AJ261" s="1">
        <f t="shared" si="18"/>
        <v>0</v>
      </c>
      <c r="AK261" s="1">
        <f>D22</f>
        <v>0</v>
      </c>
      <c r="AL261" s="1">
        <f>D28</f>
        <v>0</v>
      </c>
      <c r="AM261" s="1">
        <f t="shared" si="19"/>
        <v>0</v>
      </c>
      <c r="AN261" s="1">
        <f t="shared" si="20"/>
        <v>0</v>
      </c>
      <c r="AO261" s="1">
        <f t="shared" si="21"/>
        <v>0</v>
      </c>
      <c r="AP261" t="b" cm="1">
        <f t="array" ref="AP261">INDEX($AU$8:$BB$25,6*(R261-1)+MATCH(AB261,$AS$8:$AS$13,0),MATCH(O261,$AU$7:$BB$7,0))</f>
        <v>1</v>
      </c>
    </row>
    <row r="262" spans="15:42" ht="14.25" x14ac:dyDescent="0.45">
      <c r="O262" s="43" t="s">
        <v>30</v>
      </c>
      <c r="P262" s="43">
        <v>3</v>
      </c>
      <c r="Q262" s="43">
        <v>16</v>
      </c>
      <c r="R262" s="43">
        <v>3</v>
      </c>
      <c r="S262" s="45"/>
      <c r="T262" t="b">
        <f>(S260+S261+S262)=O4</f>
        <v>0</v>
      </c>
      <c r="X262" s="1">
        <f t="shared" si="22"/>
        <v>0</v>
      </c>
      <c r="Y262" s="48">
        <v>0</v>
      </c>
      <c r="AA262" s="1">
        <v>4</v>
      </c>
      <c r="AB262" s="1" t="s">
        <v>13</v>
      </c>
      <c r="AC262" s="1" t="s">
        <v>19</v>
      </c>
      <c r="AD262" s="1">
        <v>25</v>
      </c>
      <c r="AE262" s="1">
        <v>20</v>
      </c>
      <c r="AF262" s="1">
        <v>0.8</v>
      </c>
      <c r="AG262" s="1">
        <v>0.86</v>
      </c>
      <c r="AH262" s="1">
        <v>0</v>
      </c>
      <c r="AI262" s="1">
        <v>0</v>
      </c>
      <c r="AJ262" s="1">
        <f t="shared" si="18"/>
        <v>0</v>
      </c>
      <c r="AK262" s="1">
        <f>E22</f>
        <v>0</v>
      </c>
      <c r="AL262" s="1">
        <f>E28</f>
        <v>0</v>
      </c>
      <c r="AM262" s="1">
        <f t="shared" si="19"/>
        <v>0</v>
      </c>
      <c r="AN262" s="1">
        <f t="shared" si="20"/>
        <v>0</v>
      </c>
      <c r="AO262" s="1">
        <f t="shared" si="21"/>
        <v>0</v>
      </c>
      <c r="AP262" t="b" cm="1">
        <f t="array" ref="AP262">INDEX($AU$8:$BB$25,6*(R262-1)+MATCH(AB262,$AS$8:$AS$13,0),MATCH(O262,$AU$7:$BB$7,0))</f>
        <v>1</v>
      </c>
    </row>
    <row r="263" spans="15:42" ht="14.25" x14ac:dyDescent="0.45">
      <c r="O263" s="43" t="s">
        <v>30</v>
      </c>
      <c r="P263" s="43">
        <v>3</v>
      </c>
      <c r="Q263" s="43">
        <v>17</v>
      </c>
      <c r="R263" s="43">
        <v>1</v>
      </c>
      <c r="S263" s="45"/>
      <c r="T263" t="b">
        <f>(S263+S264+S265)=O4</f>
        <v>0</v>
      </c>
      <c r="X263" s="1">
        <f t="shared" si="22"/>
        <v>0</v>
      </c>
      <c r="Y263" s="48">
        <v>0</v>
      </c>
      <c r="AA263" s="1">
        <v>1</v>
      </c>
      <c r="AB263" s="1" t="s">
        <v>16</v>
      </c>
      <c r="AC263" s="1" t="s">
        <v>22</v>
      </c>
      <c r="AD263" s="1">
        <v>14</v>
      </c>
      <c r="AE263" s="1">
        <v>13</v>
      </c>
      <c r="AF263" s="1">
        <v>0.8</v>
      </c>
      <c r="AG263" s="1">
        <v>0.9</v>
      </c>
      <c r="AH263" s="1">
        <v>0</v>
      </c>
      <c r="AI263" s="1">
        <v>0</v>
      </c>
      <c r="AJ263" s="1">
        <f t="shared" si="18"/>
        <v>0</v>
      </c>
      <c r="AK263" s="1">
        <f>C25</f>
        <v>0</v>
      </c>
      <c r="AL263" s="1">
        <f>C31</f>
        <v>0</v>
      </c>
      <c r="AM263" s="1">
        <f t="shared" si="19"/>
        <v>0</v>
      </c>
      <c r="AN263" s="1">
        <f t="shared" si="20"/>
        <v>0</v>
      </c>
      <c r="AO263" s="1">
        <f t="shared" si="21"/>
        <v>0</v>
      </c>
      <c r="AP263" t="b" cm="1">
        <f t="array" ref="AP263">INDEX($AU$8:$BB$25,6*(R263-1)+MATCH(AB263,$AS$8:$AS$13,0),MATCH(O263,$AU$7:$BB$7,0))</f>
        <v>1</v>
      </c>
    </row>
    <row r="264" spans="15:42" ht="14.25" x14ac:dyDescent="0.45">
      <c r="O264" s="43" t="s">
        <v>30</v>
      </c>
      <c r="P264" s="43">
        <v>3</v>
      </c>
      <c r="Q264" s="43">
        <v>17</v>
      </c>
      <c r="R264" s="43">
        <v>2</v>
      </c>
      <c r="S264" s="45"/>
      <c r="T264" t="b">
        <f>(S263+S264+S265)=O4</f>
        <v>0</v>
      </c>
      <c r="X264" s="1">
        <f t="shared" si="22"/>
        <v>0</v>
      </c>
      <c r="Y264" s="48">
        <v>0</v>
      </c>
      <c r="AA264" s="1">
        <v>1</v>
      </c>
      <c r="AB264" s="1" t="s">
        <v>16</v>
      </c>
      <c r="AC264" s="1" t="s">
        <v>22</v>
      </c>
      <c r="AD264" s="1">
        <v>14</v>
      </c>
      <c r="AE264" s="1">
        <v>13</v>
      </c>
      <c r="AF264" s="1">
        <v>0.8</v>
      </c>
      <c r="AG264" s="1">
        <v>0.9</v>
      </c>
      <c r="AH264" s="1">
        <v>0</v>
      </c>
      <c r="AI264" s="1">
        <v>0</v>
      </c>
      <c r="AJ264" s="1">
        <f t="shared" si="18"/>
        <v>0</v>
      </c>
      <c r="AK264" s="1">
        <f>D25</f>
        <v>0</v>
      </c>
      <c r="AL264" s="1">
        <f>D31</f>
        <v>0</v>
      </c>
      <c r="AM264" s="1">
        <f t="shared" si="19"/>
        <v>0</v>
      </c>
      <c r="AN264" s="1">
        <f t="shared" si="20"/>
        <v>0</v>
      </c>
      <c r="AO264" s="1">
        <f t="shared" si="21"/>
        <v>0</v>
      </c>
      <c r="AP264" t="b" cm="1">
        <f t="array" ref="AP264">INDEX($AU$8:$BB$25,6*(R264-1)+MATCH(AB264,$AS$8:$AS$13,0),MATCH(O264,$AU$7:$BB$7,0))</f>
        <v>1</v>
      </c>
    </row>
    <row r="265" spans="15:42" ht="14.25" x14ac:dyDescent="0.45">
      <c r="O265" s="43" t="s">
        <v>30</v>
      </c>
      <c r="P265" s="43">
        <v>3</v>
      </c>
      <c r="Q265" s="43">
        <v>17</v>
      </c>
      <c r="R265" s="43">
        <v>3</v>
      </c>
      <c r="S265" s="45"/>
      <c r="T265" t="b">
        <f>(S263+S264+S265)=O4</f>
        <v>0</v>
      </c>
      <c r="X265" s="1">
        <f t="shared" si="22"/>
        <v>0</v>
      </c>
      <c r="Y265" s="48">
        <v>0</v>
      </c>
      <c r="AA265" s="1">
        <v>1</v>
      </c>
      <c r="AB265" s="1" t="s">
        <v>16</v>
      </c>
      <c r="AC265" s="1" t="s">
        <v>22</v>
      </c>
      <c r="AD265" s="1">
        <v>14</v>
      </c>
      <c r="AE265" s="1">
        <v>13</v>
      </c>
      <c r="AF265" s="1">
        <v>0.8</v>
      </c>
      <c r="AG265" s="1">
        <v>0.9</v>
      </c>
      <c r="AH265" s="1">
        <v>0</v>
      </c>
      <c r="AI265" s="1">
        <v>0</v>
      </c>
      <c r="AJ265" s="1">
        <f t="shared" ref="AJ265:AJ328" si="23">SUMIFS(AH$8:AH$1039,$O$8:$O$1039,O265,$AB$8:$AB$1039,AB265,$R$8:$R$1039,R265,$AA$8:$AA$1039,"&lt;="&amp;AA265)</f>
        <v>0</v>
      </c>
      <c r="AK265" s="1">
        <f>E25</f>
        <v>0</v>
      </c>
      <c r="AL265" s="1">
        <f>E31</f>
        <v>0</v>
      </c>
      <c r="AM265" s="1">
        <f t="shared" ref="AM265:AM328" si="24">MAX(0,AJ265-AK265)</f>
        <v>0</v>
      </c>
      <c r="AN265" s="1">
        <f t="shared" ref="AN265:AN328" si="25">IF(AM265=0,AH265,IF(AM265&gt;=AH265,0,AH265-AM265))</f>
        <v>0</v>
      </c>
      <c r="AO265" s="1">
        <f t="shared" ref="AO265:AO328" si="26">IF(AM265&gt;=AH265,AI265,AI265*AM265/AH265)</f>
        <v>0</v>
      </c>
      <c r="AP265" t="b" cm="1">
        <f t="array" ref="AP265">INDEX($AU$8:$BB$25,6*(R265-1)+MATCH(AB265,$AS$8:$AS$13,0),MATCH(O265,$AU$7:$BB$7,0))</f>
        <v>1</v>
      </c>
    </row>
    <row r="266" spans="15:42" ht="14.25" x14ac:dyDescent="0.45">
      <c r="O266" s="43" t="s">
        <v>31</v>
      </c>
      <c r="P266" s="43">
        <v>1</v>
      </c>
      <c r="Q266" s="43">
        <v>1</v>
      </c>
      <c r="R266" s="43">
        <v>1</v>
      </c>
      <c r="S266" s="45"/>
      <c r="T266" t="b">
        <f>(S266+S267+S268)=P2</f>
        <v>0</v>
      </c>
      <c r="X266" s="1">
        <v>0</v>
      </c>
      <c r="Y266" s="48">
        <v>0</v>
      </c>
      <c r="AA266" s="1">
        <v>4</v>
      </c>
      <c r="AB266" s="1" t="s">
        <v>14</v>
      </c>
      <c r="AC266" s="1" t="s">
        <v>20</v>
      </c>
      <c r="AD266" s="1">
        <v>14</v>
      </c>
      <c r="AE266" s="1">
        <v>12</v>
      </c>
      <c r="AF266" s="1">
        <v>0.8</v>
      </c>
      <c r="AG266" s="1">
        <v>0.88</v>
      </c>
      <c r="AH266" s="1">
        <v>0</v>
      </c>
      <c r="AI266" s="1">
        <v>0</v>
      </c>
      <c r="AJ266" s="1">
        <f t="shared" si="23"/>
        <v>0</v>
      </c>
      <c r="AK266" s="1">
        <f>C35</f>
        <v>0</v>
      </c>
      <c r="AL266" s="1">
        <f>C41</f>
        <v>0</v>
      </c>
      <c r="AM266" s="1">
        <f t="shared" si="24"/>
        <v>0</v>
      </c>
      <c r="AN266" s="1">
        <f t="shared" si="25"/>
        <v>0</v>
      </c>
      <c r="AO266" s="1">
        <f t="shared" si="26"/>
        <v>0</v>
      </c>
      <c r="AP266" t="b" cm="1">
        <f t="array" ref="AP266">INDEX($AU$8:$BB$25,6*(R266-1)+MATCH(AB266,$AS$8:$AS$13,0),MATCH(O266,$AU$7:$BB$7,0))</f>
        <v>1</v>
      </c>
    </row>
    <row r="267" spans="15:42" ht="14.25" x14ac:dyDescent="0.45">
      <c r="O267" s="43" t="s">
        <v>31</v>
      </c>
      <c r="P267" s="43">
        <v>1</v>
      </c>
      <c r="Q267" s="43">
        <v>1</v>
      </c>
      <c r="R267" s="43">
        <v>2</v>
      </c>
      <c r="S267" s="45"/>
      <c r="T267" t="b">
        <f>(S266+S267+S268)=P2</f>
        <v>0</v>
      </c>
      <c r="X267" s="1">
        <v>0</v>
      </c>
      <c r="Y267" s="48">
        <v>0</v>
      </c>
      <c r="AA267" s="1">
        <v>4</v>
      </c>
      <c r="AB267" s="1" t="s">
        <v>14</v>
      </c>
      <c r="AC267" s="1" t="s">
        <v>20</v>
      </c>
      <c r="AD267" s="1">
        <v>14</v>
      </c>
      <c r="AE267" s="1">
        <v>12</v>
      </c>
      <c r="AF267" s="1">
        <v>0.8</v>
      </c>
      <c r="AG267" s="1">
        <v>0.88</v>
      </c>
      <c r="AH267" s="1">
        <v>0</v>
      </c>
      <c r="AI267" s="1">
        <v>0</v>
      </c>
      <c r="AJ267" s="1">
        <f t="shared" si="23"/>
        <v>0</v>
      </c>
      <c r="AK267" s="1">
        <f>D35</f>
        <v>0</v>
      </c>
      <c r="AL267" s="1">
        <f>D41</f>
        <v>0</v>
      </c>
      <c r="AM267" s="1">
        <f t="shared" si="24"/>
        <v>0</v>
      </c>
      <c r="AN267" s="1">
        <f t="shared" si="25"/>
        <v>0</v>
      </c>
      <c r="AO267" s="1">
        <f t="shared" si="26"/>
        <v>0</v>
      </c>
      <c r="AP267" t="b" cm="1">
        <f t="array" ref="AP267">INDEX($AU$8:$BB$25,6*(R267-1)+MATCH(AB267,$AS$8:$AS$13,0),MATCH(O267,$AU$7:$BB$7,0))</f>
        <v>1</v>
      </c>
    </row>
    <row r="268" spans="15:42" ht="14.25" x14ac:dyDescent="0.45">
      <c r="O268" s="43" t="s">
        <v>31</v>
      </c>
      <c r="P268" s="43">
        <v>1</v>
      </c>
      <c r="Q268" s="43">
        <v>1</v>
      </c>
      <c r="R268" s="43">
        <v>3</v>
      </c>
      <c r="S268" s="45"/>
      <c r="T268" t="b">
        <f>(S266+S267+S268)=P2</f>
        <v>0</v>
      </c>
      <c r="X268" s="1">
        <v>0</v>
      </c>
      <c r="Y268" s="48">
        <v>0</v>
      </c>
      <c r="AA268" s="1">
        <v>4</v>
      </c>
      <c r="AB268" s="1" t="s">
        <v>14</v>
      </c>
      <c r="AC268" s="1" t="s">
        <v>20</v>
      </c>
      <c r="AD268" s="1">
        <v>14</v>
      </c>
      <c r="AE268" s="1">
        <v>12</v>
      </c>
      <c r="AF268" s="1">
        <v>0.8</v>
      </c>
      <c r="AG268" s="1">
        <v>0.88</v>
      </c>
      <c r="AH268" s="1">
        <v>0</v>
      </c>
      <c r="AI268" s="1">
        <v>0</v>
      </c>
      <c r="AJ268" s="1">
        <f t="shared" si="23"/>
        <v>0</v>
      </c>
      <c r="AK268" s="1">
        <f>E35</f>
        <v>0</v>
      </c>
      <c r="AL268" s="1">
        <f>E41</f>
        <v>0</v>
      </c>
      <c r="AM268" s="1">
        <f t="shared" si="24"/>
        <v>0</v>
      </c>
      <c r="AN268" s="1">
        <f t="shared" si="25"/>
        <v>0</v>
      </c>
      <c r="AO268" s="1">
        <f t="shared" si="26"/>
        <v>0</v>
      </c>
      <c r="AP268" t="b" cm="1">
        <f t="array" ref="AP268">INDEX($AU$8:$BB$25,6*(R268-1)+MATCH(AB268,$AS$8:$AS$13,0),MATCH(O268,$AU$7:$BB$7,0))</f>
        <v>1</v>
      </c>
    </row>
    <row r="269" spans="15:42" ht="14.25" x14ac:dyDescent="0.45">
      <c r="O269" s="43" t="s">
        <v>31</v>
      </c>
      <c r="P269" s="43">
        <v>1</v>
      </c>
      <c r="Q269" s="43">
        <v>2</v>
      </c>
      <c r="R269" s="43">
        <v>1</v>
      </c>
      <c r="S269" s="45"/>
      <c r="T269" t="b">
        <f>(S269+S270+S271)=P2</f>
        <v>0</v>
      </c>
      <c r="X269" s="1">
        <f>MAX(S266-S269,0)</f>
        <v>0</v>
      </c>
      <c r="Y269" s="48">
        <v>0</v>
      </c>
      <c r="AA269" s="1">
        <v>10</v>
      </c>
      <c r="AB269" s="1" t="s">
        <v>16</v>
      </c>
      <c r="AC269" s="1" t="s">
        <v>22</v>
      </c>
      <c r="AD269" s="1">
        <v>25</v>
      </c>
      <c r="AE269" s="1">
        <v>21</v>
      </c>
      <c r="AF269" s="1">
        <v>0.8</v>
      </c>
      <c r="AG269" s="1">
        <v>0.9</v>
      </c>
      <c r="AH269" s="1">
        <v>0</v>
      </c>
      <c r="AI269" s="1">
        <v>0</v>
      </c>
      <c r="AJ269" s="1">
        <f t="shared" si="23"/>
        <v>0</v>
      </c>
      <c r="AK269" s="1">
        <f>C37</f>
        <v>0</v>
      </c>
      <c r="AL269" s="1">
        <f>C43</f>
        <v>0</v>
      </c>
      <c r="AM269" s="1">
        <f t="shared" si="24"/>
        <v>0</v>
      </c>
      <c r="AN269" s="1">
        <f t="shared" si="25"/>
        <v>0</v>
      </c>
      <c r="AO269" s="1">
        <f t="shared" si="26"/>
        <v>0</v>
      </c>
      <c r="AP269" t="b" cm="1">
        <f t="array" ref="AP269">INDEX($AU$8:$BB$25,6*(R269-1)+MATCH(AB269,$AS$8:$AS$13,0),MATCH(O269,$AU$7:$BB$7,0))</f>
        <v>1</v>
      </c>
    </row>
    <row r="270" spans="15:42" ht="14.25" x14ac:dyDescent="0.45">
      <c r="O270" s="43" t="s">
        <v>31</v>
      </c>
      <c r="P270" s="43">
        <v>1</v>
      </c>
      <c r="Q270" s="43">
        <v>2</v>
      </c>
      <c r="R270" s="43">
        <v>2</v>
      </c>
      <c r="S270" s="45"/>
      <c r="T270" t="b">
        <f>(S269+S270+S271)=P2</f>
        <v>0</v>
      </c>
      <c r="X270" s="1">
        <f t="shared" ref="X270:X298" si="27">MAX(S267-S270,0)</f>
        <v>0</v>
      </c>
      <c r="Y270" s="48">
        <v>0</v>
      </c>
      <c r="AA270" s="1">
        <v>10</v>
      </c>
      <c r="AB270" s="1" t="s">
        <v>16</v>
      </c>
      <c r="AC270" s="1" t="s">
        <v>22</v>
      </c>
      <c r="AD270" s="1">
        <v>25</v>
      </c>
      <c r="AE270" s="1">
        <v>21</v>
      </c>
      <c r="AF270" s="1">
        <v>0.8</v>
      </c>
      <c r="AG270" s="1">
        <v>0.9</v>
      </c>
      <c r="AH270" s="1">
        <v>0</v>
      </c>
      <c r="AI270" s="1">
        <v>0</v>
      </c>
      <c r="AJ270" s="1">
        <f t="shared" si="23"/>
        <v>0</v>
      </c>
      <c r="AK270" s="1">
        <f>D37</f>
        <v>0</v>
      </c>
      <c r="AL270" s="1">
        <f>D43</f>
        <v>0</v>
      </c>
      <c r="AM270" s="1">
        <f t="shared" si="24"/>
        <v>0</v>
      </c>
      <c r="AN270" s="1">
        <f t="shared" si="25"/>
        <v>0</v>
      </c>
      <c r="AO270" s="1">
        <f t="shared" si="26"/>
        <v>0</v>
      </c>
      <c r="AP270" t="b" cm="1">
        <f t="array" ref="AP270">INDEX($AU$8:$BB$25,6*(R270-1)+MATCH(AB270,$AS$8:$AS$13,0),MATCH(O270,$AU$7:$BB$7,0))</f>
        <v>1</v>
      </c>
    </row>
    <row r="271" spans="15:42" ht="14.25" x14ac:dyDescent="0.45">
      <c r="O271" s="43" t="s">
        <v>31</v>
      </c>
      <c r="P271" s="43">
        <v>1</v>
      </c>
      <c r="Q271" s="43">
        <v>2</v>
      </c>
      <c r="R271" s="43">
        <v>3</v>
      </c>
      <c r="S271" s="45"/>
      <c r="T271" t="b">
        <f>(S269+S270+S271)=P2</f>
        <v>0</v>
      </c>
      <c r="X271" s="1">
        <f t="shared" si="27"/>
        <v>0</v>
      </c>
      <c r="Y271" s="48">
        <v>0</v>
      </c>
      <c r="AA271" s="1">
        <v>10</v>
      </c>
      <c r="AB271" s="1" t="s">
        <v>16</v>
      </c>
      <c r="AC271" s="1" t="s">
        <v>22</v>
      </c>
      <c r="AD271" s="1">
        <v>25</v>
      </c>
      <c r="AE271" s="1">
        <v>21</v>
      </c>
      <c r="AF271" s="1">
        <v>0.8</v>
      </c>
      <c r="AG271" s="1">
        <v>0.9</v>
      </c>
      <c r="AH271" s="1">
        <v>0</v>
      </c>
      <c r="AI271" s="1">
        <v>0</v>
      </c>
      <c r="AJ271" s="1">
        <f t="shared" si="23"/>
        <v>0</v>
      </c>
      <c r="AK271" s="1">
        <f>E37</f>
        <v>0</v>
      </c>
      <c r="AL271" s="1">
        <f>E43</f>
        <v>0</v>
      </c>
      <c r="AM271" s="1">
        <f t="shared" si="24"/>
        <v>0</v>
      </c>
      <c r="AN271" s="1">
        <f t="shared" si="25"/>
        <v>0</v>
      </c>
      <c r="AO271" s="1">
        <f t="shared" si="26"/>
        <v>0</v>
      </c>
      <c r="AP271" t="b" cm="1">
        <f t="array" ref="AP271">INDEX($AU$8:$BB$25,6*(R271-1)+MATCH(AB271,$AS$8:$AS$13,0),MATCH(O271,$AU$7:$BB$7,0))</f>
        <v>1</v>
      </c>
    </row>
    <row r="272" spans="15:42" ht="14.25" x14ac:dyDescent="0.45">
      <c r="O272" s="43" t="s">
        <v>31</v>
      </c>
      <c r="P272" s="43">
        <v>1</v>
      </c>
      <c r="Q272" s="43">
        <v>3</v>
      </c>
      <c r="R272" s="43">
        <v>1</v>
      </c>
      <c r="S272" s="45"/>
      <c r="T272" t="b">
        <f>(S272+S273+S274)=P2</f>
        <v>0</v>
      </c>
      <c r="X272" s="1">
        <f t="shared" si="27"/>
        <v>0</v>
      </c>
      <c r="Y272" s="48">
        <v>0</v>
      </c>
      <c r="AA272" s="1">
        <v>8</v>
      </c>
      <c r="AB272" s="1" t="s">
        <v>16</v>
      </c>
      <c r="AC272" s="1" t="s">
        <v>22</v>
      </c>
      <c r="AD272" s="1">
        <v>27</v>
      </c>
      <c r="AE272" s="1">
        <v>23</v>
      </c>
      <c r="AF272" s="1">
        <v>0.8</v>
      </c>
      <c r="AG272" s="1">
        <v>0.9</v>
      </c>
      <c r="AH272" s="1">
        <v>0</v>
      </c>
      <c r="AI272" s="1">
        <v>0</v>
      </c>
      <c r="AJ272" s="1">
        <f t="shared" si="23"/>
        <v>0</v>
      </c>
      <c r="AK272" s="1">
        <f>C37</f>
        <v>0</v>
      </c>
      <c r="AL272" s="1">
        <f>C43</f>
        <v>0</v>
      </c>
      <c r="AM272" s="1">
        <f t="shared" si="24"/>
        <v>0</v>
      </c>
      <c r="AN272" s="1">
        <f t="shared" si="25"/>
        <v>0</v>
      </c>
      <c r="AO272" s="1">
        <f t="shared" si="26"/>
        <v>0</v>
      </c>
      <c r="AP272" t="b" cm="1">
        <f t="array" ref="AP272">INDEX($AU$8:$BB$25,6*(R272-1)+MATCH(AB272,$AS$8:$AS$13,0),MATCH(O272,$AU$7:$BB$7,0))</f>
        <v>1</v>
      </c>
    </row>
    <row r="273" spans="15:42" ht="14.25" x14ac:dyDescent="0.45">
      <c r="O273" s="43" t="s">
        <v>31</v>
      </c>
      <c r="P273" s="43">
        <v>1</v>
      </c>
      <c r="Q273" s="43">
        <v>3</v>
      </c>
      <c r="R273" s="43">
        <v>2</v>
      </c>
      <c r="S273" s="45"/>
      <c r="T273" t="b">
        <f>(S272+S273+S274)=P2</f>
        <v>0</v>
      </c>
      <c r="X273" s="1">
        <f t="shared" si="27"/>
        <v>0</v>
      </c>
      <c r="Y273" s="48">
        <v>0</v>
      </c>
      <c r="AA273" s="1">
        <v>8</v>
      </c>
      <c r="AB273" s="1" t="s">
        <v>16</v>
      </c>
      <c r="AC273" s="1" t="s">
        <v>22</v>
      </c>
      <c r="AD273" s="1">
        <v>27</v>
      </c>
      <c r="AE273" s="1">
        <v>23</v>
      </c>
      <c r="AF273" s="1">
        <v>0.8</v>
      </c>
      <c r="AG273" s="1">
        <v>0.9</v>
      </c>
      <c r="AH273" s="1">
        <v>0</v>
      </c>
      <c r="AI273" s="1">
        <v>0</v>
      </c>
      <c r="AJ273" s="1">
        <f t="shared" si="23"/>
        <v>0</v>
      </c>
      <c r="AK273" s="1">
        <f>D37</f>
        <v>0</v>
      </c>
      <c r="AL273" s="1">
        <f>D43</f>
        <v>0</v>
      </c>
      <c r="AM273" s="1">
        <f t="shared" si="24"/>
        <v>0</v>
      </c>
      <c r="AN273" s="1">
        <f t="shared" si="25"/>
        <v>0</v>
      </c>
      <c r="AO273" s="1">
        <f t="shared" si="26"/>
        <v>0</v>
      </c>
      <c r="AP273" t="b" cm="1">
        <f t="array" ref="AP273">INDEX($AU$8:$BB$25,6*(R273-1)+MATCH(AB273,$AS$8:$AS$13,0),MATCH(O273,$AU$7:$BB$7,0))</f>
        <v>1</v>
      </c>
    </row>
    <row r="274" spans="15:42" ht="14.25" x14ac:dyDescent="0.45">
      <c r="O274" s="43" t="s">
        <v>31</v>
      </c>
      <c r="P274" s="43">
        <v>1</v>
      </c>
      <c r="Q274" s="43">
        <v>3</v>
      </c>
      <c r="R274" s="43">
        <v>3</v>
      </c>
      <c r="S274" s="45"/>
      <c r="T274" t="b">
        <f>(S272+S273+S274)=P2</f>
        <v>0</v>
      </c>
      <c r="X274" s="1">
        <f t="shared" si="27"/>
        <v>0</v>
      </c>
      <c r="Y274" s="48">
        <v>0</v>
      </c>
      <c r="AA274" s="1">
        <v>8</v>
      </c>
      <c r="AB274" s="1" t="s">
        <v>16</v>
      </c>
      <c r="AC274" s="1" t="s">
        <v>22</v>
      </c>
      <c r="AD274" s="1">
        <v>27</v>
      </c>
      <c r="AE274" s="1">
        <v>23</v>
      </c>
      <c r="AF274" s="1">
        <v>0.8</v>
      </c>
      <c r="AG274" s="1">
        <v>0.9</v>
      </c>
      <c r="AH274" s="1">
        <v>0</v>
      </c>
      <c r="AI274" s="1">
        <v>0</v>
      </c>
      <c r="AJ274" s="1">
        <f t="shared" si="23"/>
        <v>0</v>
      </c>
      <c r="AK274" s="1">
        <f>E37</f>
        <v>0</v>
      </c>
      <c r="AL274" s="1">
        <f>E43</f>
        <v>0</v>
      </c>
      <c r="AM274" s="1">
        <f t="shared" si="24"/>
        <v>0</v>
      </c>
      <c r="AN274" s="1">
        <f t="shared" si="25"/>
        <v>0</v>
      </c>
      <c r="AO274" s="1">
        <f t="shared" si="26"/>
        <v>0</v>
      </c>
      <c r="AP274" t="b" cm="1">
        <f t="array" ref="AP274">INDEX($AU$8:$BB$25,6*(R274-1)+MATCH(AB274,$AS$8:$AS$13,0),MATCH(O274,$AU$7:$BB$7,0))</f>
        <v>1</v>
      </c>
    </row>
    <row r="275" spans="15:42" ht="14.25" x14ac:dyDescent="0.45">
      <c r="O275" s="43" t="s">
        <v>31</v>
      </c>
      <c r="P275" s="43">
        <v>1</v>
      </c>
      <c r="Q275" s="43">
        <v>4</v>
      </c>
      <c r="R275" s="43">
        <v>1</v>
      </c>
      <c r="S275" s="45"/>
      <c r="T275" t="b">
        <f>(S275+S276+S277)=P2</f>
        <v>0</v>
      </c>
      <c r="X275" s="1">
        <f t="shared" si="27"/>
        <v>0</v>
      </c>
      <c r="Y275" s="48">
        <v>0</v>
      </c>
      <c r="AA275" s="1">
        <v>3</v>
      </c>
      <c r="AB275" s="1" t="s">
        <v>10</v>
      </c>
      <c r="AC275" s="1" t="s">
        <v>17</v>
      </c>
      <c r="AD275" s="1">
        <v>20</v>
      </c>
      <c r="AE275" s="1">
        <v>16</v>
      </c>
      <c r="AF275" s="1">
        <v>0.78</v>
      </c>
      <c r="AG275" s="1">
        <v>0.84</v>
      </c>
      <c r="AH275" s="1">
        <v>0</v>
      </c>
      <c r="AI275" s="1">
        <v>0</v>
      </c>
      <c r="AJ275" s="1">
        <f t="shared" si="23"/>
        <v>0</v>
      </c>
      <c r="AK275" s="1">
        <f>C32</f>
        <v>0</v>
      </c>
      <c r="AL275" s="1">
        <f>C38</f>
        <v>0</v>
      </c>
      <c r="AM275" s="1">
        <f t="shared" si="24"/>
        <v>0</v>
      </c>
      <c r="AN275" s="1">
        <f t="shared" si="25"/>
        <v>0</v>
      </c>
      <c r="AO275" s="1">
        <f t="shared" si="26"/>
        <v>0</v>
      </c>
      <c r="AP275" t="b" cm="1">
        <f t="array" ref="AP275">INDEX($AU$8:$BB$25,6*(R275-1)+MATCH(AB275,$AS$8:$AS$13,0),MATCH(O275,$AU$7:$BB$7,0))</f>
        <v>1</v>
      </c>
    </row>
    <row r="276" spans="15:42" ht="14.25" x14ac:dyDescent="0.45">
      <c r="O276" s="43" t="s">
        <v>31</v>
      </c>
      <c r="P276" s="43">
        <v>1</v>
      </c>
      <c r="Q276" s="43">
        <v>4</v>
      </c>
      <c r="R276" s="43">
        <v>2</v>
      </c>
      <c r="S276" s="45"/>
      <c r="T276" t="b">
        <f>(S275+S276+S277)=P2</f>
        <v>0</v>
      </c>
      <c r="X276" s="1">
        <f t="shared" si="27"/>
        <v>0</v>
      </c>
      <c r="Y276" s="48">
        <v>0</v>
      </c>
      <c r="AA276" s="1">
        <v>3</v>
      </c>
      <c r="AB276" s="1" t="s">
        <v>10</v>
      </c>
      <c r="AC276" s="1" t="s">
        <v>17</v>
      </c>
      <c r="AD276" s="1">
        <v>20</v>
      </c>
      <c r="AE276" s="1">
        <v>16</v>
      </c>
      <c r="AF276" s="1">
        <v>0.78</v>
      </c>
      <c r="AG276" s="1">
        <v>0.84</v>
      </c>
      <c r="AH276" s="1">
        <v>0</v>
      </c>
      <c r="AI276" s="1">
        <v>0</v>
      </c>
      <c r="AJ276" s="1">
        <f t="shared" si="23"/>
        <v>0</v>
      </c>
      <c r="AK276" s="1">
        <f>D32</f>
        <v>0</v>
      </c>
      <c r="AL276" s="1">
        <f>D38</f>
        <v>0</v>
      </c>
      <c r="AM276" s="1">
        <f t="shared" si="24"/>
        <v>0</v>
      </c>
      <c r="AN276" s="1">
        <f t="shared" si="25"/>
        <v>0</v>
      </c>
      <c r="AO276" s="1">
        <f t="shared" si="26"/>
        <v>0</v>
      </c>
      <c r="AP276" t="b" cm="1">
        <f t="array" ref="AP276">INDEX($AU$8:$BB$25,6*(R276-1)+MATCH(AB276,$AS$8:$AS$13,0),MATCH(O276,$AU$7:$BB$7,0))</f>
        <v>1</v>
      </c>
    </row>
    <row r="277" spans="15:42" ht="14.25" x14ac:dyDescent="0.45">
      <c r="O277" s="43" t="s">
        <v>31</v>
      </c>
      <c r="P277" s="43">
        <v>1</v>
      </c>
      <c r="Q277" s="43">
        <v>4</v>
      </c>
      <c r="R277" s="43">
        <v>3</v>
      </c>
      <c r="S277" s="45"/>
      <c r="T277" t="b">
        <f>(S275+S276+S277)=P2</f>
        <v>0</v>
      </c>
      <c r="X277" s="1">
        <f t="shared" si="27"/>
        <v>0</v>
      </c>
      <c r="Y277" s="48">
        <v>0</v>
      </c>
      <c r="AA277" s="1">
        <v>3</v>
      </c>
      <c r="AB277" s="1" t="s">
        <v>10</v>
      </c>
      <c r="AC277" s="1" t="s">
        <v>17</v>
      </c>
      <c r="AD277" s="1">
        <v>20</v>
      </c>
      <c r="AE277" s="1">
        <v>16</v>
      </c>
      <c r="AF277" s="1">
        <v>0.78</v>
      </c>
      <c r="AG277" s="1">
        <v>0.84</v>
      </c>
      <c r="AH277" s="1">
        <v>0</v>
      </c>
      <c r="AI277" s="1">
        <v>0</v>
      </c>
      <c r="AJ277" s="1">
        <f t="shared" si="23"/>
        <v>0</v>
      </c>
      <c r="AK277" s="1">
        <f>E32</f>
        <v>0</v>
      </c>
      <c r="AL277" s="1">
        <f>E38</f>
        <v>0</v>
      </c>
      <c r="AM277" s="1">
        <f t="shared" si="24"/>
        <v>0</v>
      </c>
      <c r="AN277" s="1">
        <f t="shared" si="25"/>
        <v>0</v>
      </c>
      <c r="AO277" s="1">
        <f t="shared" si="26"/>
        <v>0</v>
      </c>
      <c r="AP277" t="b" cm="1">
        <f t="array" ref="AP277">INDEX($AU$8:$BB$25,6*(R277-1)+MATCH(AB277,$AS$8:$AS$13,0),MATCH(O277,$AU$7:$BB$7,0))</f>
        <v>1</v>
      </c>
    </row>
    <row r="278" spans="15:42" ht="14.25" x14ac:dyDescent="0.45">
      <c r="O278" s="43" t="s">
        <v>31</v>
      </c>
      <c r="P278" s="43">
        <v>1</v>
      </c>
      <c r="Q278" s="43">
        <v>5</v>
      </c>
      <c r="R278" s="43">
        <v>1</v>
      </c>
      <c r="S278" s="45"/>
      <c r="T278" t="b">
        <f>(S278+S279+S280)=P2</f>
        <v>0</v>
      </c>
      <c r="X278" s="1">
        <f t="shared" si="27"/>
        <v>0</v>
      </c>
      <c r="Y278" s="48">
        <v>0</v>
      </c>
      <c r="AA278" s="1">
        <v>11</v>
      </c>
      <c r="AB278" s="1" t="s">
        <v>16</v>
      </c>
      <c r="AC278" s="1" t="s">
        <v>22</v>
      </c>
      <c r="AD278" s="1">
        <v>12</v>
      </c>
      <c r="AE278" s="1">
        <v>9</v>
      </c>
      <c r="AF278" s="1">
        <v>0.8</v>
      </c>
      <c r="AG278" s="1">
        <v>0.9</v>
      </c>
      <c r="AH278" s="1">
        <v>0</v>
      </c>
      <c r="AI278" s="1">
        <v>0</v>
      </c>
      <c r="AJ278" s="1">
        <f t="shared" si="23"/>
        <v>0</v>
      </c>
      <c r="AK278" s="1">
        <f>C37</f>
        <v>0</v>
      </c>
      <c r="AL278" s="1">
        <f>C43</f>
        <v>0</v>
      </c>
      <c r="AM278" s="1">
        <f t="shared" si="24"/>
        <v>0</v>
      </c>
      <c r="AN278" s="1">
        <f t="shared" si="25"/>
        <v>0</v>
      </c>
      <c r="AO278" s="1">
        <f t="shared" si="26"/>
        <v>0</v>
      </c>
      <c r="AP278" t="b" cm="1">
        <f t="array" ref="AP278">INDEX($AU$8:$BB$25,6*(R278-1)+MATCH(AB278,$AS$8:$AS$13,0),MATCH(O278,$AU$7:$BB$7,0))</f>
        <v>1</v>
      </c>
    </row>
    <row r="279" spans="15:42" ht="14.25" x14ac:dyDescent="0.45">
      <c r="O279" s="43" t="s">
        <v>31</v>
      </c>
      <c r="P279" s="43">
        <v>1</v>
      </c>
      <c r="Q279" s="43">
        <v>5</v>
      </c>
      <c r="R279" s="43">
        <v>2</v>
      </c>
      <c r="S279" s="45"/>
      <c r="T279" t="b">
        <f>(S278+S279+S280)=P2</f>
        <v>0</v>
      </c>
      <c r="X279" s="1">
        <f t="shared" si="27"/>
        <v>0</v>
      </c>
      <c r="Y279" s="48">
        <v>0</v>
      </c>
      <c r="AA279" s="1">
        <v>11</v>
      </c>
      <c r="AB279" s="1" t="s">
        <v>16</v>
      </c>
      <c r="AC279" s="1" t="s">
        <v>22</v>
      </c>
      <c r="AD279" s="1">
        <v>12</v>
      </c>
      <c r="AE279" s="1">
        <v>9</v>
      </c>
      <c r="AF279" s="1">
        <v>0.8</v>
      </c>
      <c r="AG279" s="1">
        <v>0.9</v>
      </c>
      <c r="AH279" s="1">
        <v>0</v>
      </c>
      <c r="AI279" s="1">
        <v>0</v>
      </c>
      <c r="AJ279" s="1">
        <f t="shared" si="23"/>
        <v>0</v>
      </c>
      <c r="AK279" s="1">
        <f>D37</f>
        <v>0</v>
      </c>
      <c r="AL279" s="1">
        <f>D43</f>
        <v>0</v>
      </c>
      <c r="AM279" s="1">
        <f t="shared" si="24"/>
        <v>0</v>
      </c>
      <c r="AN279" s="1">
        <f t="shared" si="25"/>
        <v>0</v>
      </c>
      <c r="AO279" s="1">
        <f t="shared" si="26"/>
        <v>0</v>
      </c>
      <c r="AP279" t="b" cm="1">
        <f t="array" ref="AP279">INDEX($AU$8:$BB$25,6*(R279-1)+MATCH(AB279,$AS$8:$AS$13,0),MATCH(O279,$AU$7:$BB$7,0))</f>
        <v>1</v>
      </c>
    </row>
    <row r="280" spans="15:42" ht="14.25" x14ac:dyDescent="0.45">
      <c r="O280" s="43" t="s">
        <v>31</v>
      </c>
      <c r="P280" s="43">
        <v>1</v>
      </c>
      <c r="Q280" s="43">
        <v>5</v>
      </c>
      <c r="R280" s="43">
        <v>3</v>
      </c>
      <c r="S280" s="45"/>
      <c r="T280" t="b">
        <f>(S278+S279+S280)=P2</f>
        <v>0</v>
      </c>
      <c r="X280" s="1">
        <f t="shared" si="27"/>
        <v>0</v>
      </c>
      <c r="Y280" s="48">
        <v>0</v>
      </c>
      <c r="AA280" s="1">
        <v>11</v>
      </c>
      <c r="AB280" s="1" t="s">
        <v>16</v>
      </c>
      <c r="AC280" s="1" t="s">
        <v>22</v>
      </c>
      <c r="AD280" s="1">
        <v>12</v>
      </c>
      <c r="AE280" s="1">
        <v>9</v>
      </c>
      <c r="AF280" s="1">
        <v>0.8</v>
      </c>
      <c r="AG280" s="1">
        <v>0.9</v>
      </c>
      <c r="AH280" s="1">
        <v>0</v>
      </c>
      <c r="AI280" s="1">
        <v>0</v>
      </c>
      <c r="AJ280" s="1">
        <f t="shared" si="23"/>
        <v>0</v>
      </c>
      <c r="AK280" s="1">
        <f>E37</f>
        <v>0</v>
      </c>
      <c r="AL280" s="1">
        <f>E43</f>
        <v>0</v>
      </c>
      <c r="AM280" s="1">
        <f t="shared" si="24"/>
        <v>0</v>
      </c>
      <c r="AN280" s="1">
        <f t="shared" si="25"/>
        <v>0</v>
      </c>
      <c r="AO280" s="1">
        <f t="shared" si="26"/>
        <v>0</v>
      </c>
      <c r="AP280" t="b" cm="1">
        <f t="array" ref="AP280">INDEX($AU$8:$BB$25,6*(R280-1)+MATCH(AB280,$AS$8:$AS$13,0),MATCH(O280,$AU$7:$BB$7,0))</f>
        <v>1</v>
      </c>
    </row>
    <row r="281" spans="15:42" ht="14.25" x14ac:dyDescent="0.45">
      <c r="O281" s="43" t="s">
        <v>31</v>
      </c>
      <c r="P281" s="43">
        <v>1</v>
      </c>
      <c r="Q281" s="43">
        <v>6</v>
      </c>
      <c r="R281" s="43">
        <v>1</v>
      </c>
      <c r="S281" s="45"/>
      <c r="T281" t="b">
        <f>(S281+S282+S283)=P2</f>
        <v>0</v>
      </c>
      <c r="X281" s="1">
        <f t="shared" si="27"/>
        <v>0</v>
      </c>
      <c r="Y281" s="48">
        <v>0</v>
      </c>
      <c r="AA281" s="1">
        <v>7</v>
      </c>
      <c r="AB281" s="1" t="s">
        <v>14</v>
      </c>
      <c r="AC281" s="1" t="s">
        <v>20</v>
      </c>
      <c r="AD281" s="1">
        <v>27</v>
      </c>
      <c r="AE281" s="1">
        <v>21</v>
      </c>
      <c r="AF281" s="1">
        <v>0.8</v>
      </c>
      <c r="AG281" s="1">
        <v>0.88</v>
      </c>
      <c r="AH281" s="1">
        <v>0</v>
      </c>
      <c r="AI281" s="1">
        <v>0</v>
      </c>
      <c r="AJ281" s="1">
        <f t="shared" si="23"/>
        <v>0</v>
      </c>
      <c r="AK281" s="1">
        <f>C35</f>
        <v>0</v>
      </c>
      <c r="AL281" s="1">
        <f>C41</f>
        <v>0</v>
      </c>
      <c r="AM281" s="1">
        <f t="shared" si="24"/>
        <v>0</v>
      </c>
      <c r="AN281" s="1">
        <f t="shared" si="25"/>
        <v>0</v>
      </c>
      <c r="AO281" s="1">
        <f t="shared" si="26"/>
        <v>0</v>
      </c>
      <c r="AP281" t="b" cm="1">
        <f t="array" ref="AP281">INDEX($AU$8:$BB$25,6*(R281-1)+MATCH(AB281,$AS$8:$AS$13,0),MATCH(O281,$AU$7:$BB$7,0))</f>
        <v>1</v>
      </c>
    </row>
    <row r="282" spans="15:42" ht="14.25" x14ac:dyDescent="0.45">
      <c r="O282" s="43" t="s">
        <v>31</v>
      </c>
      <c r="P282" s="43">
        <v>1</v>
      </c>
      <c r="Q282" s="43">
        <v>6</v>
      </c>
      <c r="R282" s="43">
        <v>2</v>
      </c>
      <c r="S282" s="45"/>
      <c r="T282" t="b">
        <f>(S281+S282+S283)=P2</f>
        <v>0</v>
      </c>
      <c r="X282" s="1">
        <f t="shared" si="27"/>
        <v>0</v>
      </c>
      <c r="Y282" s="48">
        <v>0</v>
      </c>
      <c r="AA282" s="1">
        <v>7</v>
      </c>
      <c r="AB282" s="1" t="s">
        <v>14</v>
      </c>
      <c r="AC282" s="1" t="s">
        <v>20</v>
      </c>
      <c r="AD282" s="1">
        <v>27</v>
      </c>
      <c r="AE282" s="1">
        <v>21</v>
      </c>
      <c r="AF282" s="1">
        <v>0.8</v>
      </c>
      <c r="AG282" s="1">
        <v>0.88</v>
      </c>
      <c r="AH282" s="1">
        <v>0</v>
      </c>
      <c r="AI282" s="1">
        <v>0</v>
      </c>
      <c r="AJ282" s="1">
        <f t="shared" si="23"/>
        <v>0</v>
      </c>
      <c r="AK282" s="1">
        <f>D35</f>
        <v>0</v>
      </c>
      <c r="AL282" s="1">
        <f>D41</f>
        <v>0</v>
      </c>
      <c r="AM282" s="1">
        <f t="shared" si="24"/>
        <v>0</v>
      </c>
      <c r="AN282" s="1">
        <f t="shared" si="25"/>
        <v>0</v>
      </c>
      <c r="AO282" s="1">
        <f t="shared" si="26"/>
        <v>0</v>
      </c>
      <c r="AP282" t="b" cm="1">
        <f t="array" ref="AP282">INDEX($AU$8:$BB$25,6*(R282-1)+MATCH(AB282,$AS$8:$AS$13,0),MATCH(O282,$AU$7:$BB$7,0))</f>
        <v>1</v>
      </c>
    </row>
    <row r="283" spans="15:42" ht="14.25" x14ac:dyDescent="0.45">
      <c r="O283" s="43" t="s">
        <v>31</v>
      </c>
      <c r="P283" s="43">
        <v>1</v>
      </c>
      <c r="Q283" s="43">
        <v>6</v>
      </c>
      <c r="R283" s="43">
        <v>3</v>
      </c>
      <c r="S283" s="45"/>
      <c r="T283" t="b">
        <f>(S281+S282+S283)=P2</f>
        <v>0</v>
      </c>
      <c r="X283" s="1">
        <f t="shared" si="27"/>
        <v>0</v>
      </c>
      <c r="Y283" s="48">
        <v>0</v>
      </c>
      <c r="AA283" s="1">
        <v>7</v>
      </c>
      <c r="AB283" s="1" t="s">
        <v>14</v>
      </c>
      <c r="AC283" s="1" t="s">
        <v>20</v>
      </c>
      <c r="AD283" s="1">
        <v>27</v>
      </c>
      <c r="AE283" s="1">
        <v>21</v>
      </c>
      <c r="AF283" s="1">
        <v>0.8</v>
      </c>
      <c r="AG283" s="1">
        <v>0.88</v>
      </c>
      <c r="AH283" s="1">
        <v>0</v>
      </c>
      <c r="AI283" s="1">
        <v>0</v>
      </c>
      <c r="AJ283" s="1">
        <f t="shared" si="23"/>
        <v>0</v>
      </c>
      <c r="AK283" s="1">
        <f>E35</f>
        <v>0</v>
      </c>
      <c r="AL283" s="1">
        <f>E41</f>
        <v>0</v>
      </c>
      <c r="AM283" s="1">
        <f t="shared" si="24"/>
        <v>0</v>
      </c>
      <c r="AN283" s="1">
        <f t="shared" si="25"/>
        <v>0</v>
      </c>
      <c r="AO283" s="1">
        <f t="shared" si="26"/>
        <v>0</v>
      </c>
      <c r="AP283" t="b" cm="1">
        <f t="array" ref="AP283">INDEX($AU$8:$BB$25,6*(R283-1)+MATCH(AB283,$AS$8:$AS$13,0),MATCH(O283,$AU$7:$BB$7,0))</f>
        <v>1</v>
      </c>
    </row>
    <row r="284" spans="15:42" ht="14.25" x14ac:dyDescent="0.45">
      <c r="O284" s="43" t="s">
        <v>31</v>
      </c>
      <c r="P284" s="43">
        <v>1</v>
      </c>
      <c r="Q284" s="43">
        <v>7</v>
      </c>
      <c r="R284" s="43">
        <v>1</v>
      </c>
      <c r="S284" s="45"/>
      <c r="T284" t="b">
        <f>(S284+S285+S286)=P2</f>
        <v>0</v>
      </c>
      <c r="X284" s="1">
        <f t="shared" si="27"/>
        <v>0</v>
      </c>
      <c r="Y284" s="48">
        <v>0</v>
      </c>
      <c r="AA284" s="1">
        <v>9</v>
      </c>
      <c r="AB284" s="1" t="s">
        <v>14</v>
      </c>
      <c r="AC284" s="1" t="s">
        <v>20</v>
      </c>
      <c r="AD284" s="1">
        <v>17</v>
      </c>
      <c r="AE284" s="1">
        <v>13</v>
      </c>
      <c r="AF284" s="1">
        <v>0.8</v>
      </c>
      <c r="AG284" s="1">
        <v>0.88</v>
      </c>
      <c r="AH284" s="1">
        <v>0</v>
      </c>
      <c r="AI284" s="1">
        <v>0</v>
      </c>
      <c r="AJ284" s="1">
        <f t="shared" si="23"/>
        <v>0</v>
      </c>
      <c r="AK284" s="1">
        <f>C35</f>
        <v>0</v>
      </c>
      <c r="AL284" s="1">
        <f>C41</f>
        <v>0</v>
      </c>
      <c r="AM284" s="1">
        <f t="shared" si="24"/>
        <v>0</v>
      </c>
      <c r="AN284" s="1">
        <f t="shared" si="25"/>
        <v>0</v>
      </c>
      <c r="AO284" s="1">
        <f t="shared" si="26"/>
        <v>0</v>
      </c>
      <c r="AP284" t="b" cm="1">
        <f t="array" ref="AP284">INDEX($AU$8:$BB$25,6*(R284-1)+MATCH(AB284,$AS$8:$AS$13,0),MATCH(O284,$AU$7:$BB$7,0))</f>
        <v>1</v>
      </c>
    </row>
    <row r="285" spans="15:42" ht="14.25" x14ac:dyDescent="0.45">
      <c r="O285" s="43" t="s">
        <v>31</v>
      </c>
      <c r="P285" s="43">
        <v>1</v>
      </c>
      <c r="Q285" s="43">
        <v>7</v>
      </c>
      <c r="R285" s="43">
        <v>2</v>
      </c>
      <c r="S285" s="45"/>
      <c r="T285" t="b">
        <f>(S284+S285+S286)=P2</f>
        <v>0</v>
      </c>
      <c r="X285" s="1">
        <f t="shared" si="27"/>
        <v>0</v>
      </c>
      <c r="Y285" s="48">
        <v>0</v>
      </c>
      <c r="AA285" s="1">
        <v>9</v>
      </c>
      <c r="AB285" s="1" t="s">
        <v>14</v>
      </c>
      <c r="AC285" s="1" t="s">
        <v>20</v>
      </c>
      <c r="AD285" s="1">
        <v>17</v>
      </c>
      <c r="AE285" s="1">
        <v>13</v>
      </c>
      <c r="AF285" s="1">
        <v>0.8</v>
      </c>
      <c r="AG285" s="1">
        <v>0.88</v>
      </c>
      <c r="AH285" s="1">
        <v>0</v>
      </c>
      <c r="AI285" s="1">
        <v>0</v>
      </c>
      <c r="AJ285" s="1">
        <f t="shared" si="23"/>
        <v>0</v>
      </c>
      <c r="AK285" s="1">
        <f>D35</f>
        <v>0</v>
      </c>
      <c r="AL285" s="1">
        <f>D41</f>
        <v>0</v>
      </c>
      <c r="AM285" s="1">
        <f t="shared" si="24"/>
        <v>0</v>
      </c>
      <c r="AN285" s="1">
        <f t="shared" si="25"/>
        <v>0</v>
      </c>
      <c r="AO285" s="1">
        <f t="shared" si="26"/>
        <v>0</v>
      </c>
      <c r="AP285" t="b" cm="1">
        <f t="array" ref="AP285">INDEX($AU$8:$BB$25,6*(R285-1)+MATCH(AB285,$AS$8:$AS$13,0),MATCH(O285,$AU$7:$BB$7,0))</f>
        <v>1</v>
      </c>
    </row>
    <row r="286" spans="15:42" ht="14.25" x14ac:dyDescent="0.45">
      <c r="O286" s="43" t="s">
        <v>31</v>
      </c>
      <c r="P286" s="43">
        <v>1</v>
      </c>
      <c r="Q286" s="43">
        <v>7</v>
      </c>
      <c r="R286" s="43">
        <v>3</v>
      </c>
      <c r="S286" s="45"/>
      <c r="T286" t="b">
        <f>(S284+S285+S286)=P2</f>
        <v>0</v>
      </c>
      <c r="X286" s="1">
        <f t="shared" si="27"/>
        <v>0</v>
      </c>
      <c r="Y286" s="48">
        <v>0</v>
      </c>
      <c r="AA286" s="1">
        <v>9</v>
      </c>
      <c r="AB286" s="1" t="s">
        <v>14</v>
      </c>
      <c r="AC286" s="1" t="s">
        <v>20</v>
      </c>
      <c r="AD286" s="1">
        <v>17</v>
      </c>
      <c r="AE286" s="1">
        <v>13</v>
      </c>
      <c r="AF286" s="1">
        <v>0.8</v>
      </c>
      <c r="AG286" s="1">
        <v>0.88</v>
      </c>
      <c r="AH286" s="1">
        <v>0</v>
      </c>
      <c r="AI286" s="1">
        <v>0</v>
      </c>
      <c r="AJ286" s="1">
        <f t="shared" si="23"/>
        <v>0</v>
      </c>
      <c r="AK286" s="1">
        <f>E35</f>
        <v>0</v>
      </c>
      <c r="AL286" s="1">
        <f>E41</f>
        <v>0</v>
      </c>
      <c r="AM286" s="1">
        <f t="shared" si="24"/>
        <v>0</v>
      </c>
      <c r="AN286" s="1">
        <f t="shared" si="25"/>
        <v>0</v>
      </c>
      <c r="AO286" s="1">
        <f t="shared" si="26"/>
        <v>0</v>
      </c>
      <c r="AP286" t="b" cm="1">
        <f t="array" ref="AP286">INDEX($AU$8:$BB$25,6*(R286-1)+MATCH(AB286,$AS$8:$AS$13,0),MATCH(O286,$AU$7:$BB$7,0))</f>
        <v>1</v>
      </c>
    </row>
    <row r="287" spans="15:42" ht="14.25" x14ac:dyDescent="0.45">
      <c r="O287" s="43" t="s">
        <v>31</v>
      </c>
      <c r="P287" s="43">
        <v>1</v>
      </c>
      <c r="Q287" s="43">
        <v>8</v>
      </c>
      <c r="R287" s="43">
        <v>1</v>
      </c>
      <c r="S287" s="45"/>
      <c r="T287" t="b">
        <f>(S287+S288+S289)=P2</f>
        <v>0</v>
      </c>
      <c r="X287" s="1">
        <f t="shared" si="27"/>
        <v>0</v>
      </c>
      <c r="Y287" s="48">
        <v>0</v>
      </c>
      <c r="AA287" s="1">
        <v>1</v>
      </c>
      <c r="AB287" s="1" t="s">
        <v>10</v>
      </c>
      <c r="AC287" s="1" t="s">
        <v>17</v>
      </c>
      <c r="AD287" s="1">
        <v>18</v>
      </c>
      <c r="AE287" s="1">
        <v>16</v>
      </c>
      <c r="AF287" s="1">
        <v>0.78</v>
      </c>
      <c r="AG287" s="1">
        <v>0.84</v>
      </c>
      <c r="AH287" s="1">
        <v>0</v>
      </c>
      <c r="AI287" s="1">
        <v>0</v>
      </c>
      <c r="AJ287" s="1">
        <f t="shared" si="23"/>
        <v>0</v>
      </c>
      <c r="AK287" s="1">
        <f>C32</f>
        <v>0</v>
      </c>
      <c r="AL287" s="1">
        <f>C38</f>
        <v>0</v>
      </c>
      <c r="AM287" s="1">
        <f t="shared" si="24"/>
        <v>0</v>
      </c>
      <c r="AN287" s="1">
        <f t="shared" si="25"/>
        <v>0</v>
      </c>
      <c r="AO287" s="1">
        <f t="shared" si="26"/>
        <v>0</v>
      </c>
      <c r="AP287" t="b" cm="1">
        <f t="array" ref="AP287">INDEX($AU$8:$BB$25,6*(R287-1)+MATCH(AB287,$AS$8:$AS$13,0),MATCH(O287,$AU$7:$BB$7,0))</f>
        <v>1</v>
      </c>
    </row>
    <row r="288" spans="15:42" ht="14.25" x14ac:dyDescent="0.45">
      <c r="O288" s="43" t="s">
        <v>31</v>
      </c>
      <c r="P288" s="43">
        <v>1</v>
      </c>
      <c r="Q288" s="43">
        <v>8</v>
      </c>
      <c r="R288" s="43">
        <v>2</v>
      </c>
      <c r="S288" s="45"/>
      <c r="T288" t="b">
        <f>(S287+S288+S289)=P2</f>
        <v>0</v>
      </c>
      <c r="X288" s="1">
        <f t="shared" si="27"/>
        <v>0</v>
      </c>
      <c r="Y288" s="48">
        <v>0</v>
      </c>
      <c r="AA288" s="1">
        <v>1</v>
      </c>
      <c r="AB288" s="1" t="s">
        <v>10</v>
      </c>
      <c r="AC288" s="1" t="s">
        <v>17</v>
      </c>
      <c r="AD288" s="1">
        <v>18</v>
      </c>
      <c r="AE288" s="1">
        <v>16</v>
      </c>
      <c r="AF288" s="1">
        <v>0.78</v>
      </c>
      <c r="AG288" s="1">
        <v>0.84</v>
      </c>
      <c r="AH288" s="1">
        <v>0</v>
      </c>
      <c r="AI288" s="1">
        <v>0</v>
      </c>
      <c r="AJ288" s="1">
        <f t="shared" si="23"/>
        <v>0</v>
      </c>
      <c r="AK288" s="1">
        <f>D32</f>
        <v>0</v>
      </c>
      <c r="AL288" s="1">
        <f>D38</f>
        <v>0</v>
      </c>
      <c r="AM288" s="1">
        <f t="shared" si="24"/>
        <v>0</v>
      </c>
      <c r="AN288" s="1">
        <f t="shared" si="25"/>
        <v>0</v>
      </c>
      <c r="AO288" s="1">
        <f t="shared" si="26"/>
        <v>0</v>
      </c>
      <c r="AP288" t="b" cm="1">
        <f t="array" ref="AP288">INDEX($AU$8:$BB$25,6*(R288-1)+MATCH(AB288,$AS$8:$AS$13,0),MATCH(O288,$AU$7:$BB$7,0))</f>
        <v>1</v>
      </c>
    </row>
    <row r="289" spans="15:42" ht="14.25" x14ac:dyDescent="0.45">
      <c r="O289" s="43" t="s">
        <v>31</v>
      </c>
      <c r="P289" s="43">
        <v>1</v>
      </c>
      <c r="Q289" s="43">
        <v>8</v>
      </c>
      <c r="R289" s="43">
        <v>3</v>
      </c>
      <c r="S289" s="45"/>
      <c r="T289" t="b">
        <f>(S287+S288+S289)=P2</f>
        <v>0</v>
      </c>
      <c r="X289" s="1">
        <f t="shared" si="27"/>
        <v>0</v>
      </c>
      <c r="Y289" s="48">
        <v>0</v>
      </c>
      <c r="AA289" s="1">
        <v>1</v>
      </c>
      <c r="AB289" s="1" t="s">
        <v>10</v>
      </c>
      <c r="AC289" s="1" t="s">
        <v>17</v>
      </c>
      <c r="AD289" s="1">
        <v>18</v>
      </c>
      <c r="AE289" s="1">
        <v>16</v>
      </c>
      <c r="AF289" s="1">
        <v>0.78</v>
      </c>
      <c r="AG289" s="1">
        <v>0.84</v>
      </c>
      <c r="AH289" s="1">
        <v>0</v>
      </c>
      <c r="AI289" s="1">
        <v>0</v>
      </c>
      <c r="AJ289" s="1">
        <f t="shared" si="23"/>
        <v>0</v>
      </c>
      <c r="AK289" s="1">
        <f>E32</f>
        <v>0</v>
      </c>
      <c r="AL289" s="1">
        <f>E38</f>
        <v>0</v>
      </c>
      <c r="AM289" s="1">
        <f t="shared" si="24"/>
        <v>0</v>
      </c>
      <c r="AN289" s="1">
        <f t="shared" si="25"/>
        <v>0</v>
      </c>
      <c r="AO289" s="1">
        <f t="shared" si="26"/>
        <v>0</v>
      </c>
      <c r="AP289" t="b" cm="1">
        <f t="array" ref="AP289">INDEX($AU$8:$BB$25,6*(R289-1)+MATCH(AB289,$AS$8:$AS$13,0),MATCH(O289,$AU$7:$BB$7,0))</f>
        <v>1</v>
      </c>
    </row>
    <row r="290" spans="15:42" ht="14.25" x14ac:dyDescent="0.45">
      <c r="O290" s="43" t="s">
        <v>31</v>
      </c>
      <c r="P290" s="43">
        <v>1</v>
      </c>
      <c r="Q290" s="43">
        <v>9</v>
      </c>
      <c r="R290" s="43">
        <v>1</v>
      </c>
      <c r="S290" s="45"/>
      <c r="T290" t="b">
        <f>(S290+S291+S292)=P2</f>
        <v>0</v>
      </c>
      <c r="X290" s="1">
        <f t="shared" si="27"/>
        <v>0</v>
      </c>
      <c r="Y290" s="48">
        <v>0</v>
      </c>
      <c r="AA290" s="1">
        <v>2</v>
      </c>
      <c r="AB290" s="1" t="s">
        <v>10</v>
      </c>
      <c r="AC290" s="1" t="s">
        <v>17</v>
      </c>
      <c r="AD290" s="1">
        <v>16</v>
      </c>
      <c r="AE290" s="1">
        <v>13</v>
      </c>
      <c r="AF290" s="1">
        <v>0.78</v>
      </c>
      <c r="AG290" s="1">
        <v>0.84</v>
      </c>
      <c r="AH290" s="1">
        <v>0</v>
      </c>
      <c r="AI290" s="1">
        <v>0</v>
      </c>
      <c r="AJ290" s="1">
        <f t="shared" si="23"/>
        <v>0</v>
      </c>
      <c r="AK290" s="1">
        <f>C32</f>
        <v>0</v>
      </c>
      <c r="AL290" s="1">
        <f>C38</f>
        <v>0</v>
      </c>
      <c r="AM290" s="1">
        <f t="shared" si="24"/>
        <v>0</v>
      </c>
      <c r="AN290" s="1">
        <f t="shared" si="25"/>
        <v>0</v>
      </c>
      <c r="AO290" s="1">
        <f t="shared" si="26"/>
        <v>0</v>
      </c>
      <c r="AP290" t="b" cm="1">
        <f t="array" ref="AP290">INDEX($AU$8:$BB$25,6*(R290-1)+MATCH(AB290,$AS$8:$AS$13,0),MATCH(O290,$AU$7:$BB$7,0))</f>
        <v>1</v>
      </c>
    </row>
    <row r="291" spans="15:42" ht="14.25" x14ac:dyDescent="0.45">
      <c r="O291" s="43" t="s">
        <v>31</v>
      </c>
      <c r="P291" s="43">
        <v>1</v>
      </c>
      <c r="Q291" s="43">
        <v>9</v>
      </c>
      <c r="R291" s="43">
        <v>2</v>
      </c>
      <c r="S291" s="45"/>
      <c r="T291" t="b">
        <f>(S290+S291+S292)=P2</f>
        <v>0</v>
      </c>
      <c r="X291" s="1">
        <f t="shared" si="27"/>
        <v>0</v>
      </c>
      <c r="Y291" s="48">
        <v>0</v>
      </c>
      <c r="AA291" s="1">
        <v>2</v>
      </c>
      <c r="AB291" s="1" t="s">
        <v>10</v>
      </c>
      <c r="AC291" s="1" t="s">
        <v>17</v>
      </c>
      <c r="AD291" s="1">
        <v>16</v>
      </c>
      <c r="AE291" s="1">
        <v>13</v>
      </c>
      <c r="AF291" s="1">
        <v>0.78</v>
      </c>
      <c r="AG291" s="1">
        <v>0.84</v>
      </c>
      <c r="AH291" s="1">
        <v>0</v>
      </c>
      <c r="AI291" s="1">
        <v>0</v>
      </c>
      <c r="AJ291" s="1">
        <f t="shared" si="23"/>
        <v>0</v>
      </c>
      <c r="AK291" s="1">
        <f>D32</f>
        <v>0</v>
      </c>
      <c r="AL291" s="1">
        <f>D38</f>
        <v>0</v>
      </c>
      <c r="AM291" s="1">
        <f t="shared" si="24"/>
        <v>0</v>
      </c>
      <c r="AN291" s="1">
        <f t="shared" si="25"/>
        <v>0</v>
      </c>
      <c r="AO291" s="1">
        <f t="shared" si="26"/>
        <v>0</v>
      </c>
      <c r="AP291" t="b" cm="1">
        <f t="array" ref="AP291">INDEX($AU$8:$BB$25,6*(R291-1)+MATCH(AB291,$AS$8:$AS$13,0),MATCH(O291,$AU$7:$BB$7,0))</f>
        <v>1</v>
      </c>
    </row>
    <row r="292" spans="15:42" ht="14.25" x14ac:dyDescent="0.45">
      <c r="O292" s="43" t="s">
        <v>31</v>
      </c>
      <c r="P292" s="43">
        <v>1</v>
      </c>
      <c r="Q292" s="43">
        <v>9</v>
      </c>
      <c r="R292" s="43">
        <v>3</v>
      </c>
      <c r="S292" s="45"/>
      <c r="T292" t="b">
        <f>(S290+S291+S292)=P2</f>
        <v>0</v>
      </c>
      <c r="X292" s="1">
        <f t="shared" si="27"/>
        <v>0</v>
      </c>
      <c r="Y292" s="48">
        <v>0</v>
      </c>
      <c r="AA292" s="1">
        <v>2</v>
      </c>
      <c r="AB292" s="1" t="s">
        <v>10</v>
      </c>
      <c r="AC292" s="1" t="s">
        <v>17</v>
      </c>
      <c r="AD292" s="1">
        <v>16</v>
      </c>
      <c r="AE292" s="1">
        <v>13</v>
      </c>
      <c r="AF292" s="1">
        <v>0.78</v>
      </c>
      <c r="AG292" s="1">
        <v>0.84</v>
      </c>
      <c r="AH292" s="1">
        <v>0</v>
      </c>
      <c r="AI292" s="1">
        <v>0</v>
      </c>
      <c r="AJ292" s="1">
        <f t="shared" si="23"/>
        <v>0</v>
      </c>
      <c r="AK292" s="1">
        <f>E32</f>
        <v>0</v>
      </c>
      <c r="AL292" s="1">
        <f>E38</f>
        <v>0</v>
      </c>
      <c r="AM292" s="1">
        <f t="shared" si="24"/>
        <v>0</v>
      </c>
      <c r="AN292" s="1">
        <f t="shared" si="25"/>
        <v>0</v>
      </c>
      <c r="AO292" s="1">
        <f t="shared" si="26"/>
        <v>0</v>
      </c>
      <c r="AP292" t="b" cm="1">
        <f t="array" ref="AP292">INDEX($AU$8:$BB$25,6*(R292-1)+MATCH(AB292,$AS$8:$AS$13,0),MATCH(O292,$AU$7:$BB$7,0))</f>
        <v>1</v>
      </c>
    </row>
    <row r="293" spans="15:42" ht="14.25" x14ac:dyDescent="0.45">
      <c r="O293" s="43" t="s">
        <v>31</v>
      </c>
      <c r="P293" s="43">
        <v>1</v>
      </c>
      <c r="Q293" s="43">
        <v>10</v>
      </c>
      <c r="R293" s="43">
        <v>1</v>
      </c>
      <c r="S293" s="45"/>
      <c r="T293" t="b">
        <f>(S293+S294+S295)=P2</f>
        <v>0</v>
      </c>
      <c r="X293" s="1">
        <f t="shared" si="27"/>
        <v>0</v>
      </c>
      <c r="Y293" s="48">
        <v>0</v>
      </c>
      <c r="AA293" s="1">
        <v>6</v>
      </c>
      <c r="AB293" s="1" t="s">
        <v>14</v>
      </c>
      <c r="AC293" s="1" t="s">
        <v>20</v>
      </c>
      <c r="AD293" s="1">
        <v>14</v>
      </c>
      <c r="AE293" s="1">
        <v>11</v>
      </c>
      <c r="AF293" s="1">
        <v>0.8</v>
      </c>
      <c r="AG293" s="1">
        <v>0.88</v>
      </c>
      <c r="AH293" s="1">
        <v>0</v>
      </c>
      <c r="AI293" s="1">
        <v>0</v>
      </c>
      <c r="AJ293" s="1">
        <f t="shared" si="23"/>
        <v>0</v>
      </c>
      <c r="AK293" s="1">
        <f>C35</f>
        <v>0</v>
      </c>
      <c r="AL293" s="1">
        <f>C41</f>
        <v>0</v>
      </c>
      <c r="AM293" s="1">
        <f t="shared" si="24"/>
        <v>0</v>
      </c>
      <c r="AN293" s="1">
        <f t="shared" si="25"/>
        <v>0</v>
      </c>
      <c r="AO293" s="1">
        <f t="shared" si="26"/>
        <v>0</v>
      </c>
      <c r="AP293" t="b" cm="1">
        <f t="array" ref="AP293">INDEX($AU$8:$BB$25,6*(R293-1)+MATCH(AB293,$AS$8:$AS$13,0),MATCH(O293,$AU$7:$BB$7,0))</f>
        <v>1</v>
      </c>
    </row>
    <row r="294" spans="15:42" ht="14.25" x14ac:dyDescent="0.45">
      <c r="O294" s="43" t="s">
        <v>31</v>
      </c>
      <c r="P294" s="43">
        <v>1</v>
      </c>
      <c r="Q294" s="43">
        <v>10</v>
      </c>
      <c r="R294" s="43">
        <v>2</v>
      </c>
      <c r="S294" s="45"/>
      <c r="T294" t="b">
        <f>(S293+S294+S295)=P2</f>
        <v>0</v>
      </c>
      <c r="X294" s="1">
        <f t="shared" si="27"/>
        <v>0</v>
      </c>
      <c r="Y294" s="48">
        <v>0</v>
      </c>
      <c r="AA294" s="1">
        <v>6</v>
      </c>
      <c r="AB294" s="1" t="s">
        <v>14</v>
      </c>
      <c r="AC294" s="1" t="s">
        <v>20</v>
      </c>
      <c r="AD294" s="1">
        <v>14</v>
      </c>
      <c r="AE294" s="1">
        <v>11</v>
      </c>
      <c r="AF294" s="1">
        <v>0.8</v>
      </c>
      <c r="AG294" s="1">
        <v>0.88</v>
      </c>
      <c r="AH294" s="1">
        <v>0</v>
      </c>
      <c r="AI294" s="1">
        <v>0</v>
      </c>
      <c r="AJ294" s="1">
        <f t="shared" si="23"/>
        <v>0</v>
      </c>
      <c r="AK294" s="1">
        <f>D35</f>
        <v>0</v>
      </c>
      <c r="AL294" s="1">
        <f>D41</f>
        <v>0</v>
      </c>
      <c r="AM294" s="1">
        <f t="shared" si="24"/>
        <v>0</v>
      </c>
      <c r="AN294" s="1">
        <f t="shared" si="25"/>
        <v>0</v>
      </c>
      <c r="AO294" s="1">
        <f t="shared" si="26"/>
        <v>0</v>
      </c>
      <c r="AP294" t="b" cm="1">
        <f t="array" ref="AP294">INDEX($AU$8:$BB$25,6*(R294-1)+MATCH(AB294,$AS$8:$AS$13,0),MATCH(O294,$AU$7:$BB$7,0))</f>
        <v>1</v>
      </c>
    </row>
    <row r="295" spans="15:42" ht="14.25" x14ac:dyDescent="0.45">
      <c r="O295" s="43" t="s">
        <v>31</v>
      </c>
      <c r="P295" s="43">
        <v>1</v>
      </c>
      <c r="Q295" s="43">
        <v>10</v>
      </c>
      <c r="R295" s="43">
        <v>3</v>
      </c>
      <c r="S295" s="45"/>
      <c r="T295" t="b">
        <f>(S293+S294+S295)=P2</f>
        <v>0</v>
      </c>
      <c r="X295" s="1">
        <f t="shared" si="27"/>
        <v>0</v>
      </c>
      <c r="Y295" s="48">
        <v>0</v>
      </c>
      <c r="AA295" s="1">
        <v>6</v>
      </c>
      <c r="AB295" s="1" t="s">
        <v>14</v>
      </c>
      <c r="AC295" s="1" t="s">
        <v>20</v>
      </c>
      <c r="AD295" s="1">
        <v>14</v>
      </c>
      <c r="AE295" s="1">
        <v>11</v>
      </c>
      <c r="AF295" s="1">
        <v>0.8</v>
      </c>
      <c r="AG295" s="1">
        <v>0.88</v>
      </c>
      <c r="AH295" s="1">
        <v>0</v>
      </c>
      <c r="AI295" s="1">
        <v>0</v>
      </c>
      <c r="AJ295" s="1">
        <f t="shared" si="23"/>
        <v>0</v>
      </c>
      <c r="AK295" s="1">
        <f>E35</f>
        <v>0</v>
      </c>
      <c r="AL295" s="1">
        <f>E41</f>
        <v>0</v>
      </c>
      <c r="AM295" s="1">
        <f t="shared" si="24"/>
        <v>0</v>
      </c>
      <c r="AN295" s="1">
        <f t="shared" si="25"/>
        <v>0</v>
      </c>
      <c r="AO295" s="1">
        <f t="shared" si="26"/>
        <v>0</v>
      </c>
      <c r="AP295" t="b" cm="1">
        <f t="array" ref="AP295">INDEX($AU$8:$BB$25,6*(R295-1)+MATCH(AB295,$AS$8:$AS$13,0),MATCH(O295,$AU$7:$BB$7,0))</f>
        <v>1</v>
      </c>
    </row>
    <row r="296" spans="15:42" ht="14.25" x14ac:dyDescent="0.45">
      <c r="O296" s="43" t="s">
        <v>31</v>
      </c>
      <c r="P296" s="43">
        <v>1</v>
      </c>
      <c r="Q296" s="43">
        <v>11</v>
      </c>
      <c r="R296" s="43">
        <v>1</v>
      </c>
      <c r="S296" s="45"/>
      <c r="T296" t="b">
        <f>(S296+S297+S298)=P2</f>
        <v>0</v>
      </c>
      <c r="X296" s="1">
        <f t="shared" si="27"/>
        <v>0</v>
      </c>
      <c r="Y296" s="48">
        <v>0</v>
      </c>
      <c r="AA296" s="1">
        <v>3</v>
      </c>
      <c r="AB296" s="1" t="s">
        <v>16</v>
      </c>
      <c r="AC296" s="1" t="s">
        <v>22</v>
      </c>
      <c r="AD296" s="1">
        <v>18</v>
      </c>
      <c r="AE296" s="1">
        <v>16</v>
      </c>
      <c r="AF296" s="1">
        <v>0.8</v>
      </c>
      <c r="AG296" s="1">
        <v>0.9</v>
      </c>
      <c r="AH296" s="1">
        <v>0</v>
      </c>
      <c r="AI296" s="1">
        <v>0</v>
      </c>
      <c r="AJ296" s="1">
        <f t="shared" si="23"/>
        <v>0</v>
      </c>
      <c r="AK296" s="1">
        <f>C37</f>
        <v>0</v>
      </c>
      <c r="AL296" s="1">
        <f>C43</f>
        <v>0</v>
      </c>
      <c r="AM296" s="1">
        <f t="shared" si="24"/>
        <v>0</v>
      </c>
      <c r="AN296" s="1">
        <f t="shared" si="25"/>
        <v>0</v>
      </c>
      <c r="AO296" s="1">
        <f t="shared" si="26"/>
        <v>0</v>
      </c>
      <c r="AP296" t="b" cm="1">
        <f t="array" ref="AP296">INDEX($AU$8:$BB$25,6*(R296-1)+MATCH(AB296,$AS$8:$AS$13,0),MATCH(O296,$AU$7:$BB$7,0))</f>
        <v>1</v>
      </c>
    </row>
    <row r="297" spans="15:42" ht="14.25" x14ac:dyDescent="0.45">
      <c r="O297" s="43" t="s">
        <v>31</v>
      </c>
      <c r="P297" s="43">
        <v>1</v>
      </c>
      <c r="Q297" s="43">
        <v>11</v>
      </c>
      <c r="R297" s="43">
        <v>2</v>
      </c>
      <c r="S297" s="45"/>
      <c r="T297" t="b">
        <f>(S296+S297+S298)=P2</f>
        <v>0</v>
      </c>
      <c r="X297" s="1">
        <f t="shared" si="27"/>
        <v>0</v>
      </c>
      <c r="Y297" s="48">
        <v>0</v>
      </c>
      <c r="AA297" s="1">
        <v>3</v>
      </c>
      <c r="AB297" s="1" t="s">
        <v>16</v>
      </c>
      <c r="AC297" s="1" t="s">
        <v>22</v>
      </c>
      <c r="AD297" s="1">
        <v>18</v>
      </c>
      <c r="AE297" s="1">
        <v>16</v>
      </c>
      <c r="AF297" s="1">
        <v>0.8</v>
      </c>
      <c r="AG297" s="1">
        <v>0.9</v>
      </c>
      <c r="AH297" s="1">
        <v>0</v>
      </c>
      <c r="AI297" s="1">
        <v>0</v>
      </c>
      <c r="AJ297" s="1">
        <f t="shared" si="23"/>
        <v>0</v>
      </c>
      <c r="AK297" s="1">
        <f>D37</f>
        <v>0</v>
      </c>
      <c r="AL297" s="1">
        <f>D43</f>
        <v>0</v>
      </c>
      <c r="AM297" s="1">
        <f t="shared" si="24"/>
        <v>0</v>
      </c>
      <c r="AN297" s="1">
        <f t="shared" si="25"/>
        <v>0</v>
      </c>
      <c r="AO297" s="1">
        <f t="shared" si="26"/>
        <v>0</v>
      </c>
      <c r="AP297" t="b" cm="1">
        <f t="array" ref="AP297">INDEX($AU$8:$BB$25,6*(R297-1)+MATCH(AB297,$AS$8:$AS$13,0),MATCH(O297,$AU$7:$BB$7,0))</f>
        <v>1</v>
      </c>
    </row>
    <row r="298" spans="15:42" ht="14.25" x14ac:dyDescent="0.45">
      <c r="O298" s="43" t="s">
        <v>31</v>
      </c>
      <c r="P298" s="43">
        <v>1</v>
      </c>
      <c r="Q298" s="43">
        <v>11</v>
      </c>
      <c r="R298" s="43">
        <v>3</v>
      </c>
      <c r="S298" s="45"/>
      <c r="T298" t="b">
        <f>(S296+S297+S298)=P2</f>
        <v>0</v>
      </c>
      <c r="X298" s="1">
        <f t="shared" si="27"/>
        <v>0</v>
      </c>
      <c r="Y298" s="48">
        <v>0</v>
      </c>
      <c r="AA298" s="1">
        <v>3</v>
      </c>
      <c r="AB298" s="1" t="s">
        <v>16</v>
      </c>
      <c r="AC298" s="1" t="s">
        <v>22</v>
      </c>
      <c r="AD298" s="1">
        <v>18</v>
      </c>
      <c r="AE298" s="1">
        <v>16</v>
      </c>
      <c r="AF298" s="1">
        <v>0.8</v>
      </c>
      <c r="AG298" s="1">
        <v>0.9</v>
      </c>
      <c r="AH298" s="1">
        <v>0</v>
      </c>
      <c r="AI298" s="1">
        <v>0</v>
      </c>
      <c r="AJ298" s="1">
        <f t="shared" si="23"/>
        <v>0</v>
      </c>
      <c r="AK298" s="1">
        <f>E37</f>
        <v>0</v>
      </c>
      <c r="AL298" s="1">
        <f>E43</f>
        <v>0</v>
      </c>
      <c r="AM298" s="1">
        <f t="shared" si="24"/>
        <v>0</v>
      </c>
      <c r="AN298" s="1">
        <f t="shared" si="25"/>
        <v>0</v>
      </c>
      <c r="AO298" s="1">
        <f t="shared" si="26"/>
        <v>0</v>
      </c>
      <c r="AP298" t="b" cm="1">
        <f t="array" ref="AP298">INDEX($AU$8:$BB$25,6*(R298-1)+MATCH(AB298,$AS$8:$AS$13,0),MATCH(O298,$AU$7:$BB$7,0))</f>
        <v>1</v>
      </c>
    </row>
    <row r="299" spans="15:42" ht="14.25" x14ac:dyDescent="0.45">
      <c r="O299" s="43" t="s">
        <v>31</v>
      </c>
      <c r="P299" s="43">
        <v>2</v>
      </c>
      <c r="Q299" s="43">
        <v>1</v>
      </c>
      <c r="R299" s="43">
        <v>1</v>
      </c>
      <c r="S299" s="45"/>
      <c r="T299" t="b">
        <f>(S299+S300+S301)=P3</f>
        <v>0</v>
      </c>
      <c r="X299" s="1">
        <v>0</v>
      </c>
      <c r="Y299" s="48">
        <v>0</v>
      </c>
      <c r="AA299" s="1">
        <v>9</v>
      </c>
      <c r="AB299" s="1" t="s">
        <v>16</v>
      </c>
      <c r="AC299" s="1" t="s">
        <v>22</v>
      </c>
      <c r="AD299" s="1">
        <v>19</v>
      </c>
      <c r="AE299" s="1">
        <v>16</v>
      </c>
      <c r="AF299" s="1">
        <v>0.8</v>
      </c>
      <c r="AG299" s="1">
        <v>0.9</v>
      </c>
      <c r="AH299" s="1">
        <v>0</v>
      </c>
      <c r="AI299" s="1">
        <v>0</v>
      </c>
      <c r="AJ299" s="1">
        <f t="shared" si="23"/>
        <v>0</v>
      </c>
      <c r="AK299" s="1">
        <f>C37</f>
        <v>0</v>
      </c>
      <c r="AL299" s="1">
        <f>C43</f>
        <v>0</v>
      </c>
      <c r="AM299" s="1">
        <f t="shared" si="24"/>
        <v>0</v>
      </c>
      <c r="AN299" s="1">
        <f t="shared" si="25"/>
        <v>0</v>
      </c>
      <c r="AO299" s="1">
        <f t="shared" si="26"/>
        <v>0</v>
      </c>
      <c r="AP299" t="b" cm="1">
        <f t="array" ref="AP299">INDEX($AU$8:$BB$25,6*(R299-1)+MATCH(AB299,$AS$8:$AS$13,0),MATCH(O299,$AU$7:$BB$7,0))</f>
        <v>1</v>
      </c>
    </row>
    <row r="300" spans="15:42" ht="14.25" x14ac:dyDescent="0.45">
      <c r="O300" s="43" t="s">
        <v>31</v>
      </c>
      <c r="P300" s="43">
        <v>2</v>
      </c>
      <c r="Q300" s="43">
        <v>1</v>
      </c>
      <c r="R300" s="43">
        <v>2</v>
      </c>
      <c r="S300" s="45"/>
      <c r="T300" t="b">
        <f>(S299+S300+S301)=P3</f>
        <v>0</v>
      </c>
      <c r="X300" s="1">
        <v>0</v>
      </c>
      <c r="Y300" s="48">
        <v>0</v>
      </c>
      <c r="AA300" s="1">
        <v>9</v>
      </c>
      <c r="AB300" s="1" t="s">
        <v>16</v>
      </c>
      <c r="AC300" s="1" t="s">
        <v>22</v>
      </c>
      <c r="AD300" s="1">
        <v>19</v>
      </c>
      <c r="AE300" s="1">
        <v>16</v>
      </c>
      <c r="AF300" s="1">
        <v>0.8</v>
      </c>
      <c r="AG300" s="1">
        <v>0.9</v>
      </c>
      <c r="AH300" s="1">
        <v>0</v>
      </c>
      <c r="AI300" s="1">
        <v>0</v>
      </c>
      <c r="AJ300" s="1">
        <f t="shared" si="23"/>
        <v>0</v>
      </c>
      <c r="AK300" s="1">
        <f>D37</f>
        <v>0</v>
      </c>
      <c r="AL300" s="1">
        <f>D43</f>
        <v>0</v>
      </c>
      <c r="AM300" s="1">
        <f t="shared" si="24"/>
        <v>0</v>
      </c>
      <c r="AN300" s="1">
        <f t="shared" si="25"/>
        <v>0</v>
      </c>
      <c r="AO300" s="1">
        <f t="shared" si="26"/>
        <v>0</v>
      </c>
      <c r="AP300" t="b" cm="1">
        <f t="array" ref="AP300">INDEX($AU$8:$BB$25,6*(R300-1)+MATCH(AB300,$AS$8:$AS$13,0),MATCH(O300,$AU$7:$BB$7,0))</f>
        <v>1</v>
      </c>
    </row>
    <row r="301" spans="15:42" ht="14.25" x14ac:dyDescent="0.45">
      <c r="O301" s="43" t="s">
        <v>31</v>
      </c>
      <c r="P301" s="43">
        <v>2</v>
      </c>
      <c r="Q301" s="43">
        <v>1</v>
      </c>
      <c r="R301" s="43">
        <v>3</v>
      </c>
      <c r="S301" s="45"/>
      <c r="T301" t="b">
        <f>(S299+S300+S301)=P3</f>
        <v>0</v>
      </c>
      <c r="X301" s="1">
        <v>0</v>
      </c>
      <c r="Y301" s="48">
        <v>0</v>
      </c>
      <c r="AA301" s="1">
        <v>9</v>
      </c>
      <c r="AB301" s="1" t="s">
        <v>16</v>
      </c>
      <c r="AC301" s="1" t="s">
        <v>22</v>
      </c>
      <c r="AD301" s="1">
        <v>19</v>
      </c>
      <c r="AE301" s="1">
        <v>16</v>
      </c>
      <c r="AF301" s="1">
        <v>0.8</v>
      </c>
      <c r="AG301" s="1">
        <v>0.9</v>
      </c>
      <c r="AH301" s="1">
        <v>0</v>
      </c>
      <c r="AI301" s="1">
        <v>0</v>
      </c>
      <c r="AJ301" s="1">
        <f t="shared" si="23"/>
        <v>0</v>
      </c>
      <c r="AK301" s="1">
        <f>E37</f>
        <v>0</v>
      </c>
      <c r="AL301" s="1">
        <f>E43</f>
        <v>0</v>
      </c>
      <c r="AM301" s="1">
        <f t="shared" si="24"/>
        <v>0</v>
      </c>
      <c r="AN301" s="1">
        <f t="shared" si="25"/>
        <v>0</v>
      </c>
      <c r="AO301" s="1">
        <f t="shared" si="26"/>
        <v>0</v>
      </c>
      <c r="AP301" t="b" cm="1">
        <f t="array" ref="AP301">INDEX($AU$8:$BB$25,6*(R301-1)+MATCH(AB301,$AS$8:$AS$13,0),MATCH(O301,$AU$7:$BB$7,0))</f>
        <v>1</v>
      </c>
    </row>
    <row r="302" spans="15:42" ht="14.25" x14ac:dyDescent="0.45">
      <c r="O302" s="43" t="s">
        <v>31</v>
      </c>
      <c r="P302" s="43">
        <v>2</v>
      </c>
      <c r="Q302" s="43">
        <v>2</v>
      </c>
      <c r="R302" s="43">
        <v>1</v>
      </c>
      <c r="S302" s="45"/>
      <c r="T302" t="b">
        <f>(S302+S303+S304)=P3</f>
        <v>0</v>
      </c>
      <c r="X302" s="1">
        <f t="shared" ref="X302:X343" si="28">MAX(S299-S302,0)</f>
        <v>0</v>
      </c>
      <c r="Y302" s="48">
        <v>0</v>
      </c>
      <c r="AA302" s="1">
        <v>1</v>
      </c>
      <c r="AB302" s="1" t="s">
        <v>12</v>
      </c>
      <c r="AC302" s="1" t="s">
        <v>18</v>
      </c>
      <c r="AD302" s="1">
        <v>20</v>
      </c>
      <c r="AE302" s="1">
        <v>18</v>
      </c>
      <c r="AF302" s="1">
        <v>0.76</v>
      </c>
      <c r="AG302" s="1">
        <v>0.81</v>
      </c>
      <c r="AH302" s="1">
        <v>0</v>
      </c>
      <c r="AI302" s="1">
        <v>0</v>
      </c>
      <c r="AJ302" s="1">
        <f t="shared" si="23"/>
        <v>0</v>
      </c>
      <c r="AK302" s="1">
        <f>C33</f>
        <v>0</v>
      </c>
      <c r="AL302" s="1">
        <f>C39</f>
        <v>0</v>
      </c>
      <c r="AM302" s="1">
        <f t="shared" si="24"/>
        <v>0</v>
      </c>
      <c r="AN302" s="1">
        <f t="shared" si="25"/>
        <v>0</v>
      </c>
      <c r="AO302" s="1">
        <f t="shared" si="26"/>
        <v>0</v>
      </c>
      <c r="AP302" t="b" cm="1">
        <f t="array" ref="AP302">INDEX($AU$8:$BB$25,6*(R302-1)+MATCH(AB302,$AS$8:$AS$13,0),MATCH(O302,$AU$7:$BB$7,0))</f>
        <v>1</v>
      </c>
    </row>
    <row r="303" spans="15:42" ht="14.25" x14ac:dyDescent="0.45">
      <c r="O303" s="43" t="s">
        <v>31</v>
      </c>
      <c r="P303" s="43">
        <v>2</v>
      </c>
      <c r="Q303" s="43">
        <v>2</v>
      </c>
      <c r="R303" s="43">
        <v>2</v>
      </c>
      <c r="S303" s="45"/>
      <c r="T303" t="b">
        <f>(S302+S303+S304)=P3</f>
        <v>0</v>
      </c>
      <c r="X303" s="1">
        <f t="shared" si="28"/>
        <v>0</v>
      </c>
      <c r="Y303" s="48">
        <v>0</v>
      </c>
      <c r="AA303" s="1">
        <v>1</v>
      </c>
      <c r="AB303" s="1" t="s">
        <v>12</v>
      </c>
      <c r="AC303" s="1" t="s">
        <v>18</v>
      </c>
      <c r="AD303" s="1">
        <v>20</v>
      </c>
      <c r="AE303" s="1">
        <v>18</v>
      </c>
      <c r="AF303" s="1">
        <v>0.76</v>
      </c>
      <c r="AG303" s="1">
        <v>0.81</v>
      </c>
      <c r="AH303" s="1">
        <v>0</v>
      </c>
      <c r="AI303" s="1">
        <v>0</v>
      </c>
      <c r="AJ303" s="1">
        <f t="shared" si="23"/>
        <v>0</v>
      </c>
      <c r="AK303" s="1">
        <f>D33</f>
        <v>0</v>
      </c>
      <c r="AL303" s="1">
        <f>D39</f>
        <v>0</v>
      </c>
      <c r="AM303" s="1">
        <f t="shared" si="24"/>
        <v>0</v>
      </c>
      <c r="AN303" s="1">
        <f t="shared" si="25"/>
        <v>0</v>
      </c>
      <c r="AO303" s="1">
        <f t="shared" si="26"/>
        <v>0</v>
      </c>
      <c r="AP303" t="b" cm="1">
        <f t="array" ref="AP303">INDEX($AU$8:$BB$25,6*(R303-1)+MATCH(AB303,$AS$8:$AS$13,0),MATCH(O303,$AU$7:$BB$7,0))</f>
        <v>1</v>
      </c>
    </row>
    <row r="304" spans="15:42" ht="14.25" x14ac:dyDescent="0.45">
      <c r="O304" s="43" t="s">
        <v>31</v>
      </c>
      <c r="P304" s="43">
        <v>2</v>
      </c>
      <c r="Q304" s="43">
        <v>2</v>
      </c>
      <c r="R304" s="43">
        <v>3</v>
      </c>
      <c r="S304" s="45"/>
      <c r="T304" t="b">
        <f>(S302+S303+S304)=P3</f>
        <v>0</v>
      </c>
      <c r="X304" s="1">
        <f t="shared" si="28"/>
        <v>0</v>
      </c>
      <c r="Y304" s="48">
        <v>0</v>
      </c>
      <c r="AA304" s="1">
        <v>1</v>
      </c>
      <c r="AB304" s="1" t="s">
        <v>12</v>
      </c>
      <c r="AC304" s="1" t="s">
        <v>18</v>
      </c>
      <c r="AD304" s="1">
        <v>20</v>
      </c>
      <c r="AE304" s="1">
        <v>18</v>
      </c>
      <c r="AF304" s="1">
        <v>0.76</v>
      </c>
      <c r="AG304" s="1">
        <v>0.81</v>
      </c>
      <c r="AH304" s="1">
        <v>0</v>
      </c>
      <c r="AI304" s="1">
        <v>0</v>
      </c>
      <c r="AJ304" s="1">
        <f t="shared" si="23"/>
        <v>0</v>
      </c>
      <c r="AK304" s="1">
        <f>E33</f>
        <v>0</v>
      </c>
      <c r="AL304" s="1">
        <f>E39</f>
        <v>0</v>
      </c>
      <c r="AM304" s="1">
        <f t="shared" si="24"/>
        <v>0</v>
      </c>
      <c r="AN304" s="1">
        <f t="shared" si="25"/>
        <v>0</v>
      </c>
      <c r="AO304" s="1">
        <f t="shared" si="26"/>
        <v>0</v>
      </c>
      <c r="AP304" t="b" cm="1">
        <f t="array" ref="AP304">INDEX($AU$8:$BB$25,6*(R304-1)+MATCH(AB304,$AS$8:$AS$13,0),MATCH(O304,$AU$7:$BB$7,0))</f>
        <v>1</v>
      </c>
    </row>
    <row r="305" spans="15:42" ht="14.25" x14ac:dyDescent="0.45">
      <c r="O305" s="43" t="s">
        <v>31</v>
      </c>
      <c r="P305" s="43">
        <v>2</v>
      </c>
      <c r="Q305" s="43">
        <v>3</v>
      </c>
      <c r="R305" s="43">
        <v>1</v>
      </c>
      <c r="S305" s="45"/>
      <c r="T305" t="b">
        <f>(S305+S306+S307)=P3</f>
        <v>0</v>
      </c>
      <c r="X305" s="1">
        <f t="shared" si="28"/>
        <v>0</v>
      </c>
      <c r="Y305" s="48">
        <v>0</v>
      </c>
      <c r="AA305" s="1">
        <v>11</v>
      </c>
      <c r="AB305" s="1" t="s">
        <v>15</v>
      </c>
      <c r="AC305" s="1" t="s">
        <v>21</v>
      </c>
      <c r="AD305" s="1">
        <v>10</v>
      </c>
      <c r="AE305" s="1">
        <v>7</v>
      </c>
      <c r="AF305" s="1">
        <v>0.76</v>
      </c>
      <c r="AG305" s="1">
        <v>0.84</v>
      </c>
      <c r="AH305" s="1">
        <v>0</v>
      </c>
      <c r="AI305" s="1">
        <v>0</v>
      </c>
      <c r="AJ305" s="1">
        <f t="shared" si="23"/>
        <v>0</v>
      </c>
      <c r="AK305" s="1">
        <f>C36</f>
        <v>0</v>
      </c>
      <c r="AL305" s="1">
        <f>C42</f>
        <v>0</v>
      </c>
      <c r="AM305" s="1">
        <f t="shared" si="24"/>
        <v>0</v>
      </c>
      <c r="AN305" s="1">
        <f t="shared" si="25"/>
        <v>0</v>
      </c>
      <c r="AO305" s="1">
        <f t="shared" si="26"/>
        <v>0</v>
      </c>
      <c r="AP305" t="b" cm="1">
        <f t="array" ref="AP305">INDEX($AU$8:$BB$25,6*(R305-1)+MATCH(AB305,$AS$8:$AS$13,0),MATCH(O305,$AU$7:$BB$7,0))</f>
        <v>1</v>
      </c>
    </row>
    <row r="306" spans="15:42" ht="14.25" x14ac:dyDescent="0.45">
      <c r="O306" s="43" t="s">
        <v>31</v>
      </c>
      <c r="P306" s="43">
        <v>2</v>
      </c>
      <c r="Q306" s="43">
        <v>3</v>
      </c>
      <c r="R306" s="43">
        <v>2</v>
      </c>
      <c r="S306" s="45"/>
      <c r="T306" t="b">
        <f>(S305+S306+S307)=P3</f>
        <v>0</v>
      </c>
      <c r="X306" s="1">
        <f t="shared" si="28"/>
        <v>0</v>
      </c>
      <c r="Y306" s="48">
        <v>0</v>
      </c>
      <c r="AA306" s="1">
        <v>11</v>
      </c>
      <c r="AB306" s="1" t="s">
        <v>15</v>
      </c>
      <c r="AC306" s="1" t="s">
        <v>21</v>
      </c>
      <c r="AD306" s="1">
        <v>10</v>
      </c>
      <c r="AE306" s="1">
        <v>7</v>
      </c>
      <c r="AF306" s="1">
        <v>0.76</v>
      </c>
      <c r="AG306" s="1">
        <v>0.84</v>
      </c>
      <c r="AH306" s="1">
        <v>0</v>
      </c>
      <c r="AI306" s="1">
        <v>0</v>
      </c>
      <c r="AJ306" s="1">
        <f t="shared" si="23"/>
        <v>0</v>
      </c>
      <c r="AK306" s="1">
        <f>D36</f>
        <v>0</v>
      </c>
      <c r="AL306" s="1">
        <f>D42</f>
        <v>0</v>
      </c>
      <c r="AM306" s="1">
        <f t="shared" si="24"/>
        <v>0</v>
      </c>
      <c r="AN306" s="1">
        <f t="shared" si="25"/>
        <v>0</v>
      </c>
      <c r="AO306" s="1">
        <f t="shared" si="26"/>
        <v>0</v>
      </c>
      <c r="AP306" t="b" cm="1">
        <f t="array" ref="AP306">INDEX($AU$8:$BB$25,6*(R306-1)+MATCH(AB306,$AS$8:$AS$13,0),MATCH(O306,$AU$7:$BB$7,0))</f>
        <v>1</v>
      </c>
    </row>
    <row r="307" spans="15:42" ht="14.25" x14ac:dyDescent="0.45">
      <c r="O307" s="43" t="s">
        <v>31</v>
      </c>
      <c r="P307" s="43">
        <v>2</v>
      </c>
      <c r="Q307" s="43">
        <v>3</v>
      </c>
      <c r="R307" s="43">
        <v>3</v>
      </c>
      <c r="S307" s="45"/>
      <c r="T307" t="b">
        <f>(S305+S306+S307)=P3</f>
        <v>0</v>
      </c>
      <c r="X307" s="1">
        <f t="shared" si="28"/>
        <v>0</v>
      </c>
      <c r="Y307" s="48">
        <v>0</v>
      </c>
      <c r="AA307" s="1">
        <v>11</v>
      </c>
      <c r="AB307" s="1" t="s">
        <v>15</v>
      </c>
      <c r="AC307" s="1" t="s">
        <v>21</v>
      </c>
      <c r="AD307" s="1">
        <v>10</v>
      </c>
      <c r="AE307" s="1">
        <v>7</v>
      </c>
      <c r="AF307" s="1">
        <v>0.76</v>
      </c>
      <c r="AG307" s="1">
        <v>0.84</v>
      </c>
      <c r="AH307" s="1">
        <v>0</v>
      </c>
      <c r="AI307" s="1">
        <v>0</v>
      </c>
      <c r="AJ307" s="1">
        <f t="shared" si="23"/>
        <v>0</v>
      </c>
      <c r="AK307" s="1">
        <f>E36</f>
        <v>0</v>
      </c>
      <c r="AL307" s="1">
        <f>E42</f>
        <v>0</v>
      </c>
      <c r="AM307" s="1">
        <f t="shared" si="24"/>
        <v>0</v>
      </c>
      <c r="AN307" s="1">
        <f t="shared" si="25"/>
        <v>0</v>
      </c>
      <c r="AO307" s="1">
        <f t="shared" si="26"/>
        <v>0</v>
      </c>
      <c r="AP307" t="b" cm="1">
        <f t="array" ref="AP307">INDEX($AU$8:$BB$25,6*(R307-1)+MATCH(AB307,$AS$8:$AS$13,0),MATCH(O307,$AU$7:$BB$7,0))</f>
        <v>1</v>
      </c>
    </row>
    <row r="308" spans="15:42" ht="14.25" x14ac:dyDescent="0.45">
      <c r="O308" s="43" t="s">
        <v>31</v>
      </c>
      <c r="P308" s="43">
        <v>2</v>
      </c>
      <c r="Q308" s="43">
        <v>4</v>
      </c>
      <c r="R308" s="43">
        <v>1</v>
      </c>
      <c r="S308" s="45"/>
      <c r="T308" t="b">
        <f>(S308+S309+S310)=P3</f>
        <v>0</v>
      </c>
      <c r="X308" s="1">
        <f t="shared" si="28"/>
        <v>0</v>
      </c>
      <c r="Y308" s="48">
        <v>0</v>
      </c>
      <c r="AA308" s="1">
        <v>2</v>
      </c>
      <c r="AB308" s="1" t="s">
        <v>12</v>
      </c>
      <c r="AC308" s="1" t="s">
        <v>18</v>
      </c>
      <c r="AD308" s="1">
        <v>25</v>
      </c>
      <c r="AE308" s="1">
        <v>19</v>
      </c>
      <c r="AF308" s="1">
        <v>0.76</v>
      </c>
      <c r="AG308" s="1">
        <v>0.81</v>
      </c>
      <c r="AH308" s="1">
        <v>0</v>
      </c>
      <c r="AI308" s="1">
        <v>0</v>
      </c>
      <c r="AJ308" s="1">
        <f t="shared" si="23"/>
        <v>0</v>
      </c>
      <c r="AK308" s="1">
        <f>C33</f>
        <v>0</v>
      </c>
      <c r="AL308" s="1">
        <f>C39</f>
        <v>0</v>
      </c>
      <c r="AM308" s="1">
        <f t="shared" si="24"/>
        <v>0</v>
      </c>
      <c r="AN308" s="1">
        <f t="shared" si="25"/>
        <v>0</v>
      </c>
      <c r="AO308" s="1">
        <f t="shared" si="26"/>
        <v>0</v>
      </c>
      <c r="AP308" t="b" cm="1">
        <f t="array" ref="AP308">INDEX($AU$8:$BB$25,6*(R308-1)+MATCH(AB308,$AS$8:$AS$13,0),MATCH(O308,$AU$7:$BB$7,0))</f>
        <v>1</v>
      </c>
    </row>
    <row r="309" spans="15:42" ht="14.25" x14ac:dyDescent="0.45">
      <c r="O309" s="43" t="s">
        <v>31</v>
      </c>
      <c r="P309" s="43">
        <v>2</v>
      </c>
      <c r="Q309" s="43">
        <v>4</v>
      </c>
      <c r="R309" s="43">
        <v>2</v>
      </c>
      <c r="S309" s="45"/>
      <c r="T309" t="b">
        <f>(S308+S309+S310)=P3</f>
        <v>0</v>
      </c>
      <c r="X309" s="1">
        <f t="shared" si="28"/>
        <v>0</v>
      </c>
      <c r="Y309" s="48">
        <v>0</v>
      </c>
      <c r="AA309" s="1">
        <v>2</v>
      </c>
      <c r="AB309" s="1" t="s">
        <v>12</v>
      </c>
      <c r="AC309" s="1" t="s">
        <v>18</v>
      </c>
      <c r="AD309" s="1">
        <v>25</v>
      </c>
      <c r="AE309" s="1">
        <v>19</v>
      </c>
      <c r="AF309" s="1">
        <v>0.76</v>
      </c>
      <c r="AG309" s="1">
        <v>0.81</v>
      </c>
      <c r="AH309" s="1">
        <v>0</v>
      </c>
      <c r="AI309" s="1">
        <v>0</v>
      </c>
      <c r="AJ309" s="1">
        <f t="shared" si="23"/>
        <v>0</v>
      </c>
      <c r="AK309" s="1">
        <f>D33</f>
        <v>0</v>
      </c>
      <c r="AL309" s="1">
        <f>D39</f>
        <v>0</v>
      </c>
      <c r="AM309" s="1">
        <f t="shared" si="24"/>
        <v>0</v>
      </c>
      <c r="AN309" s="1">
        <f t="shared" si="25"/>
        <v>0</v>
      </c>
      <c r="AO309" s="1">
        <f t="shared" si="26"/>
        <v>0</v>
      </c>
      <c r="AP309" t="b" cm="1">
        <f t="array" ref="AP309">INDEX($AU$8:$BB$25,6*(R309-1)+MATCH(AB309,$AS$8:$AS$13,0),MATCH(O309,$AU$7:$BB$7,0))</f>
        <v>1</v>
      </c>
    </row>
    <row r="310" spans="15:42" ht="14.25" x14ac:dyDescent="0.45">
      <c r="O310" s="43" t="s">
        <v>31</v>
      </c>
      <c r="P310" s="43">
        <v>2</v>
      </c>
      <c r="Q310" s="43">
        <v>4</v>
      </c>
      <c r="R310" s="43">
        <v>3</v>
      </c>
      <c r="S310" s="45"/>
      <c r="T310" t="b">
        <f>(S308+S309+S310)=P3</f>
        <v>0</v>
      </c>
      <c r="X310" s="1">
        <f t="shared" si="28"/>
        <v>0</v>
      </c>
      <c r="Y310" s="48">
        <v>0</v>
      </c>
      <c r="AA310" s="1">
        <v>2</v>
      </c>
      <c r="AB310" s="1" t="s">
        <v>12</v>
      </c>
      <c r="AC310" s="1" t="s">
        <v>18</v>
      </c>
      <c r="AD310" s="1">
        <v>25</v>
      </c>
      <c r="AE310" s="1">
        <v>19</v>
      </c>
      <c r="AF310" s="1">
        <v>0.76</v>
      </c>
      <c r="AG310" s="1">
        <v>0.81</v>
      </c>
      <c r="AH310" s="1">
        <v>0</v>
      </c>
      <c r="AI310" s="1">
        <v>0</v>
      </c>
      <c r="AJ310" s="1">
        <f t="shared" si="23"/>
        <v>0</v>
      </c>
      <c r="AK310" s="1">
        <f>E33</f>
        <v>0</v>
      </c>
      <c r="AL310" s="1">
        <f>E39</f>
        <v>0</v>
      </c>
      <c r="AM310" s="1">
        <f t="shared" si="24"/>
        <v>0</v>
      </c>
      <c r="AN310" s="1">
        <f t="shared" si="25"/>
        <v>0</v>
      </c>
      <c r="AO310" s="1">
        <f t="shared" si="26"/>
        <v>0</v>
      </c>
      <c r="AP310" t="b" cm="1">
        <f t="array" ref="AP310">INDEX($AU$8:$BB$25,6*(R310-1)+MATCH(AB310,$AS$8:$AS$13,0),MATCH(O310,$AU$7:$BB$7,0))</f>
        <v>1</v>
      </c>
    </row>
    <row r="311" spans="15:42" ht="14.25" x14ac:dyDescent="0.45">
      <c r="O311" s="43" t="s">
        <v>31</v>
      </c>
      <c r="P311" s="43">
        <v>2</v>
      </c>
      <c r="Q311" s="43">
        <v>5</v>
      </c>
      <c r="R311" s="43">
        <v>1</v>
      </c>
      <c r="S311" s="45"/>
      <c r="T311" t="b">
        <f>(S311+S312+S313)=P3</f>
        <v>0</v>
      </c>
      <c r="X311" s="1">
        <f t="shared" si="28"/>
        <v>0</v>
      </c>
      <c r="Y311" s="48">
        <v>0</v>
      </c>
      <c r="AA311" s="1">
        <v>3</v>
      </c>
      <c r="AB311" s="1" t="s">
        <v>12</v>
      </c>
      <c r="AC311" s="1" t="s">
        <v>18</v>
      </c>
      <c r="AD311" s="1">
        <v>15</v>
      </c>
      <c r="AE311" s="1">
        <v>11</v>
      </c>
      <c r="AF311" s="1">
        <v>0.76</v>
      </c>
      <c r="AG311" s="1">
        <v>0.81</v>
      </c>
      <c r="AH311" s="1">
        <v>0</v>
      </c>
      <c r="AI311" s="1">
        <v>0</v>
      </c>
      <c r="AJ311" s="1">
        <f t="shared" si="23"/>
        <v>0</v>
      </c>
      <c r="AK311" s="1">
        <f>C33</f>
        <v>0</v>
      </c>
      <c r="AL311" s="1">
        <f>C39</f>
        <v>0</v>
      </c>
      <c r="AM311" s="1">
        <f t="shared" si="24"/>
        <v>0</v>
      </c>
      <c r="AN311" s="1">
        <f t="shared" si="25"/>
        <v>0</v>
      </c>
      <c r="AO311" s="1">
        <f t="shared" si="26"/>
        <v>0</v>
      </c>
      <c r="AP311" t="b" cm="1">
        <f t="array" ref="AP311">INDEX($AU$8:$BB$25,6*(R311-1)+MATCH(AB311,$AS$8:$AS$13,0),MATCH(O311,$AU$7:$BB$7,0))</f>
        <v>1</v>
      </c>
    </row>
    <row r="312" spans="15:42" ht="14.25" x14ac:dyDescent="0.45">
      <c r="O312" s="43" t="s">
        <v>31</v>
      </c>
      <c r="P312" s="43">
        <v>2</v>
      </c>
      <c r="Q312" s="43">
        <v>5</v>
      </c>
      <c r="R312" s="43">
        <v>2</v>
      </c>
      <c r="S312" s="45"/>
      <c r="T312" t="b">
        <f>(S311+S312+S313)=P3</f>
        <v>0</v>
      </c>
      <c r="X312" s="1">
        <f t="shared" si="28"/>
        <v>0</v>
      </c>
      <c r="Y312" s="48">
        <v>0</v>
      </c>
      <c r="AA312" s="1">
        <v>3</v>
      </c>
      <c r="AB312" s="1" t="s">
        <v>12</v>
      </c>
      <c r="AC312" s="1" t="s">
        <v>18</v>
      </c>
      <c r="AD312" s="1">
        <v>15</v>
      </c>
      <c r="AE312" s="1">
        <v>11</v>
      </c>
      <c r="AF312" s="1">
        <v>0.76</v>
      </c>
      <c r="AG312" s="1">
        <v>0.81</v>
      </c>
      <c r="AH312" s="1">
        <v>0</v>
      </c>
      <c r="AI312" s="1">
        <v>0</v>
      </c>
      <c r="AJ312" s="1">
        <f t="shared" si="23"/>
        <v>0</v>
      </c>
      <c r="AK312" s="1">
        <f>D33</f>
        <v>0</v>
      </c>
      <c r="AL312" s="1">
        <f>D39</f>
        <v>0</v>
      </c>
      <c r="AM312" s="1">
        <f t="shared" si="24"/>
        <v>0</v>
      </c>
      <c r="AN312" s="1">
        <f t="shared" si="25"/>
        <v>0</v>
      </c>
      <c r="AO312" s="1">
        <f t="shared" si="26"/>
        <v>0</v>
      </c>
      <c r="AP312" t="b" cm="1">
        <f t="array" ref="AP312">INDEX($AU$8:$BB$25,6*(R312-1)+MATCH(AB312,$AS$8:$AS$13,0),MATCH(O312,$AU$7:$BB$7,0))</f>
        <v>1</v>
      </c>
    </row>
    <row r="313" spans="15:42" ht="14.25" x14ac:dyDescent="0.45">
      <c r="O313" s="43" t="s">
        <v>31</v>
      </c>
      <c r="P313" s="43">
        <v>2</v>
      </c>
      <c r="Q313" s="43">
        <v>5</v>
      </c>
      <c r="R313" s="43">
        <v>3</v>
      </c>
      <c r="S313" s="45"/>
      <c r="T313" t="b">
        <f>(S311+S312+S313)=P3</f>
        <v>0</v>
      </c>
      <c r="X313" s="1">
        <f t="shared" si="28"/>
        <v>0</v>
      </c>
      <c r="Y313" s="48">
        <v>0</v>
      </c>
      <c r="AA313" s="1">
        <v>3</v>
      </c>
      <c r="AB313" s="1" t="s">
        <v>12</v>
      </c>
      <c r="AC313" s="1" t="s">
        <v>18</v>
      </c>
      <c r="AD313" s="1">
        <v>15</v>
      </c>
      <c r="AE313" s="1">
        <v>11</v>
      </c>
      <c r="AF313" s="1">
        <v>0.76</v>
      </c>
      <c r="AG313" s="1">
        <v>0.81</v>
      </c>
      <c r="AH313" s="1">
        <v>0</v>
      </c>
      <c r="AI313" s="1">
        <v>0</v>
      </c>
      <c r="AJ313" s="1">
        <f t="shared" si="23"/>
        <v>0</v>
      </c>
      <c r="AK313" s="1">
        <f>E33</f>
        <v>0</v>
      </c>
      <c r="AL313" s="1">
        <f>E39</f>
        <v>0</v>
      </c>
      <c r="AM313" s="1">
        <f t="shared" si="24"/>
        <v>0</v>
      </c>
      <c r="AN313" s="1">
        <f t="shared" si="25"/>
        <v>0</v>
      </c>
      <c r="AO313" s="1">
        <f t="shared" si="26"/>
        <v>0</v>
      </c>
      <c r="AP313" t="b" cm="1">
        <f t="array" ref="AP313">INDEX($AU$8:$BB$25,6*(R313-1)+MATCH(AB313,$AS$8:$AS$13,0),MATCH(O313,$AU$7:$BB$7,0))</f>
        <v>1</v>
      </c>
    </row>
    <row r="314" spans="15:42" ht="14.25" x14ac:dyDescent="0.45">
      <c r="O314" s="43" t="s">
        <v>31</v>
      </c>
      <c r="P314" s="43">
        <v>2</v>
      </c>
      <c r="Q314" s="43">
        <v>6</v>
      </c>
      <c r="R314" s="43">
        <v>1</v>
      </c>
      <c r="S314" s="45"/>
      <c r="T314" t="b">
        <f>(S314+S315+S316)=P3</f>
        <v>0</v>
      </c>
      <c r="X314" s="1">
        <f t="shared" si="28"/>
        <v>0</v>
      </c>
      <c r="Y314" s="48">
        <v>0</v>
      </c>
      <c r="AA314" s="1">
        <v>5</v>
      </c>
      <c r="AB314" s="1" t="s">
        <v>16</v>
      </c>
      <c r="AC314" s="1" t="s">
        <v>22</v>
      </c>
      <c r="AD314" s="1">
        <v>16</v>
      </c>
      <c r="AE314" s="1">
        <v>14</v>
      </c>
      <c r="AF314" s="1">
        <v>0.8</v>
      </c>
      <c r="AG314" s="1">
        <v>0.9</v>
      </c>
      <c r="AH314" s="1">
        <v>0</v>
      </c>
      <c r="AI314" s="1">
        <v>0</v>
      </c>
      <c r="AJ314" s="1">
        <f t="shared" si="23"/>
        <v>0</v>
      </c>
      <c r="AK314" s="1">
        <f>C37</f>
        <v>0</v>
      </c>
      <c r="AL314" s="1">
        <f>C43</f>
        <v>0</v>
      </c>
      <c r="AM314" s="1">
        <f t="shared" si="24"/>
        <v>0</v>
      </c>
      <c r="AN314" s="1">
        <f t="shared" si="25"/>
        <v>0</v>
      </c>
      <c r="AO314" s="1">
        <f t="shared" si="26"/>
        <v>0</v>
      </c>
      <c r="AP314" t="b" cm="1">
        <f t="array" ref="AP314">INDEX($AU$8:$BB$25,6*(R314-1)+MATCH(AB314,$AS$8:$AS$13,0),MATCH(O314,$AU$7:$BB$7,0))</f>
        <v>1</v>
      </c>
    </row>
    <row r="315" spans="15:42" ht="14.25" x14ac:dyDescent="0.45">
      <c r="O315" s="43" t="s">
        <v>31</v>
      </c>
      <c r="P315" s="43">
        <v>2</v>
      </c>
      <c r="Q315" s="43">
        <v>6</v>
      </c>
      <c r="R315" s="43">
        <v>2</v>
      </c>
      <c r="S315" s="45"/>
      <c r="T315" t="b">
        <f>(S314+S315+S316)=P3</f>
        <v>0</v>
      </c>
      <c r="X315" s="1">
        <f t="shared" si="28"/>
        <v>0</v>
      </c>
      <c r="Y315" s="48">
        <v>0</v>
      </c>
      <c r="AA315" s="1">
        <v>5</v>
      </c>
      <c r="AB315" s="1" t="s">
        <v>16</v>
      </c>
      <c r="AC315" s="1" t="s">
        <v>22</v>
      </c>
      <c r="AD315" s="1">
        <v>16</v>
      </c>
      <c r="AE315" s="1">
        <v>14</v>
      </c>
      <c r="AF315" s="1">
        <v>0.8</v>
      </c>
      <c r="AG315" s="1">
        <v>0.9</v>
      </c>
      <c r="AH315" s="1">
        <v>0</v>
      </c>
      <c r="AI315" s="1">
        <v>0</v>
      </c>
      <c r="AJ315" s="1">
        <f t="shared" si="23"/>
        <v>0</v>
      </c>
      <c r="AK315" s="1">
        <f>D37</f>
        <v>0</v>
      </c>
      <c r="AL315" s="1">
        <f>D43</f>
        <v>0</v>
      </c>
      <c r="AM315" s="1">
        <f t="shared" si="24"/>
        <v>0</v>
      </c>
      <c r="AN315" s="1">
        <f t="shared" si="25"/>
        <v>0</v>
      </c>
      <c r="AO315" s="1">
        <f t="shared" si="26"/>
        <v>0</v>
      </c>
      <c r="AP315" t="b" cm="1">
        <f t="array" ref="AP315">INDEX($AU$8:$BB$25,6*(R315-1)+MATCH(AB315,$AS$8:$AS$13,0),MATCH(O315,$AU$7:$BB$7,0))</f>
        <v>1</v>
      </c>
    </row>
    <row r="316" spans="15:42" ht="14.25" x14ac:dyDescent="0.45">
      <c r="O316" s="43" t="s">
        <v>31</v>
      </c>
      <c r="P316" s="43">
        <v>2</v>
      </c>
      <c r="Q316" s="43">
        <v>6</v>
      </c>
      <c r="R316" s="43">
        <v>3</v>
      </c>
      <c r="S316" s="45"/>
      <c r="T316" t="b">
        <f>(S314+S315+S316)=P3</f>
        <v>0</v>
      </c>
      <c r="X316" s="1">
        <f t="shared" si="28"/>
        <v>0</v>
      </c>
      <c r="Y316" s="48">
        <v>0</v>
      </c>
      <c r="AA316" s="1">
        <v>5</v>
      </c>
      <c r="AB316" s="1" t="s">
        <v>16</v>
      </c>
      <c r="AC316" s="1" t="s">
        <v>22</v>
      </c>
      <c r="AD316" s="1">
        <v>16</v>
      </c>
      <c r="AE316" s="1">
        <v>14</v>
      </c>
      <c r="AF316" s="1">
        <v>0.8</v>
      </c>
      <c r="AG316" s="1">
        <v>0.9</v>
      </c>
      <c r="AH316" s="1">
        <v>0</v>
      </c>
      <c r="AI316" s="1">
        <v>0</v>
      </c>
      <c r="AJ316" s="1">
        <f t="shared" si="23"/>
        <v>0</v>
      </c>
      <c r="AK316" s="1">
        <f>E37</f>
        <v>0</v>
      </c>
      <c r="AL316" s="1">
        <f>E43</f>
        <v>0</v>
      </c>
      <c r="AM316" s="1">
        <f t="shared" si="24"/>
        <v>0</v>
      </c>
      <c r="AN316" s="1">
        <f t="shared" si="25"/>
        <v>0</v>
      </c>
      <c r="AO316" s="1">
        <f t="shared" si="26"/>
        <v>0</v>
      </c>
      <c r="AP316" t="b" cm="1">
        <f t="array" ref="AP316">INDEX($AU$8:$BB$25,6*(R316-1)+MATCH(AB316,$AS$8:$AS$13,0),MATCH(O316,$AU$7:$BB$7,0))</f>
        <v>1</v>
      </c>
    </row>
    <row r="317" spans="15:42" ht="14.25" x14ac:dyDescent="0.45">
      <c r="O317" s="43" t="s">
        <v>31</v>
      </c>
      <c r="P317" s="43">
        <v>2</v>
      </c>
      <c r="Q317" s="43">
        <v>7</v>
      </c>
      <c r="R317" s="43">
        <v>1</v>
      </c>
      <c r="S317" s="45"/>
      <c r="T317" t="b">
        <f>(S317+S318+S319)=P3</f>
        <v>0</v>
      </c>
      <c r="X317" s="1">
        <f t="shared" si="28"/>
        <v>0</v>
      </c>
      <c r="Y317" s="48">
        <v>0</v>
      </c>
      <c r="AA317" s="1">
        <v>4</v>
      </c>
      <c r="AB317" s="1" t="s">
        <v>16</v>
      </c>
      <c r="AC317" s="1" t="s">
        <v>22</v>
      </c>
      <c r="AD317" s="1">
        <v>17</v>
      </c>
      <c r="AE317" s="1">
        <v>15</v>
      </c>
      <c r="AF317" s="1">
        <v>0.8</v>
      </c>
      <c r="AG317" s="1">
        <v>0.9</v>
      </c>
      <c r="AH317" s="1">
        <v>0</v>
      </c>
      <c r="AI317" s="1">
        <v>0</v>
      </c>
      <c r="AJ317" s="1">
        <f t="shared" si="23"/>
        <v>0</v>
      </c>
      <c r="AK317" s="1">
        <f>C37</f>
        <v>0</v>
      </c>
      <c r="AL317" s="1">
        <f>C43</f>
        <v>0</v>
      </c>
      <c r="AM317" s="1">
        <f t="shared" si="24"/>
        <v>0</v>
      </c>
      <c r="AN317" s="1">
        <f t="shared" si="25"/>
        <v>0</v>
      </c>
      <c r="AO317" s="1">
        <f t="shared" si="26"/>
        <v>0</v>
      </c>
      <c r="AP317" t="b" cm="1">
        <f t="array" ref="AP317">INDEX($AU$8:$BB$25,6*(R317-1)+MATCH(AB317,$AS$8:$AS$13,0),MATCH(O317,$AU$7:$BB$7,0))</f>
        <v>1</v>
      </c>
    </row>
    <row r="318" spans="15:42" ht="14.25" x14ac:dyDescent="0.45">
      <c r="O318" s="43" t="s">
        <v>31</v>
      </c>
      <c r="P318" s="43">
        <v>2</v>
      </c>
      <c r="Q318" s="43">
        <v>7</v>
      </c>
      <c r="R318" s="43">
        <v>2</v>
      </c>
      <c r="S318" s="45"/>
      <c r="T318" t="b">
        <f>(S317+S318+S319)=P3</f>
        <v>0</v>
      </c>
      <c r="X318" s="1">
        <f t="shared" si="28"/>
        <v>0</v>
      </c>
      <c r="Y318" s="48">
        <v>0</v>
      </c>
      <c r="AA318" s="1">
        <v>4</v>
      </c>
      <c r="AB318" s="1" t="s">
        <v>16</v>
      </c>
      <c r="AC318" s="1" t="s">
        <v>22</v>
      </c>
      <c r="AD318" s="1">
        <v>17</v>
      </c>
      <c r="AE318" s="1">
        <v>15</v>
      </c>
      <c r="AF318" s="1">
        <v>0.8</v>
      </c>
      <c r="AG318" s="1">
        <v>0.9</v>
      </c>
      <c r="AH318" s="1">
        <v>0</v>
      </c>
      <c r="AI318" s="1">
        <v>0</v>
      </c>
      <c r="AJ318" s="1">
        <f t="shared" si="23"/>
        <v>0</v>
      </c>
      <c r="AK318" s="1">
        <f>D37</f>
        <v>0</v>
      </c>
      <c r="AL318" s="1">
        <f>D43</f>
        <v>0</v>
      </c>
      <c r="AM318" s="1">
        <f t="shared" si="24"/>
        <v>0</v>
      </c>
      <c r="AN318" s="1">
        <f t="shared" si="25"/>
        <v>0</v>
      </c>
      <c r="AO318" s="1">
        <f t="shared" si="26"/>
        <v>0</v>
      </c>
      <c r="AP318" t="b" cm="1">
        <f t="array" ref="AP318">INDEX($AU$8:$BB$25,6*(R318-1)+MATCH(AB318,$AS$8:$AS$13,0),MATCH(O318,$AU$7:$BB$7,0))</f>
        <v>1</v>
      </c>
    </row>
    <row r="319" spans="15:42" ht="14.25" x14ac:dyDescent="0.45">
      <c r="O319" s="43" t="s">
        <v>31</v>
      </c>
      <c r="P319" s="43">
        <v>2</v>
      </c>
      <c r="Q319" s="43">
        <v>7</v>
      </c>
      <c r="R319" s="43">
        <v>3</v>
      </c>
      <c r="S319" s="45"/>
      <c r="T319" t="b">
        <f>(S317+S318+S319)=P3</f>
        <v>0</v>
      </c>
      <c r="X319" s="1">
        <f t="shared" si="28"/>
        <v>0</v>
      </c>
      <c r="Y319" s="48">
        <v>0</v>
      </c>
      <c r="AA319" s="1">
        <v>4</v>
      </c>
      <c r="AB319" s="1" t="s">
        <v>16</v>
      </c>
      <c r="AC319" s="1" t="s">
        <v>22</v>
      </c>
      <c r="AD319" s="1">
        <v>17</v>
      </c>
      <c r="AE319" s="1">
        <v>15</v>
      </c>
      <c r="AF319" s="1">
        <v>0.8</v>
      </c>
      <c r="AG319" s="1">
        <v>0.9</v>
      </c>
      <c r="AH319" s="1">
        <v>0</v>
      </c>
      <c r="AI319" s="1">
        <v>0</v>
      </c>
      <c r="AJ319" s="1">
        <f t="shared" si="23"/>
        <v>0</v>
      </c>
      <c r="AK319" s="1">
        <f>E37</f>
        <v>0</v>
      </c>
      <c r="AL319" s="1">
        <f>E43</f>
        <v>0</v>
      </c>
      <c r="AM319" s="1">
        <f t="shared" si="24"/>
        <v>0</v>
      </c>
      <c r="AN319" s="1">
        <f t="shared" si="25"/>
        <v>0</v>
      </c>
      <c r="AO319" s="1">
        <f t="shared" si="26"/>
        <v>0</v>
      </c>
      <c r="AP319" t="b" cm="1">
        <f t="array" ref="AP319">INDEX($AU$8:$BB$25,6*(R319-1)+MATCH(AB319,$AS$8:$AS$13,0),MATCH(O319,$AU$7:$BB$7,0))</f>
        <v>1</v>
      </c>
    </row>
    <row r="320" spans="15:42" ht="14.25" x14ac:dyDescent="0.45">
      <c r="O320" s="43" t="s">
        <v>31</v>
      </c>
      <c r="P320" s="43">
        <v>2</v>
      </c>
      <c r="Q320" s="43">
        <v>8</v>
      </c>
      <c r="R320" s="43">
        <v>1</v>
      </c>
      <c r="S320" s="45"/>
      <c r="T320" t="b">
        <f>(S320+S321+S322)=P3</f>
        <v>0</v>
      </c>
      <c r="X320" s="1">
        <f t="shared" si="28"/>
        <v>0</v>
      </c>
      <c r="Y320" s="48">
        <v>0</v>
      </c>
      <c r="AA320" s="1">
        <v>4</v>
      </c>
      <c r="AB320" s="1" t="s">
        <v>12</v>
      </c>
      <c r="AC320" s="1" t="s">
        <v>18</v>
      </c>
      <c r="AD320" s="1">
        <v>22</v>
      </c>
      <c r="AE320" s="1">
        <v>16</v>
      </c>
      <c r="AF320" s="1">
        <v>0.76</v>
      </c>
      <c r="AG320" s="1">
        <v>0.81</v>
      </c>
      <c r="AH320" s="1">
        <v>0</v>
      </c>
      <c r="AI320" s="1">
        <v>0</v>
      </c>
      <c r="AJ320" s="1">
        <f t="shared" si="23"/>
        <v>0</v>
      </c>
      <c r="AK320" s="1">
        <f>C33</f>
        <v>0</v>
      </c>
      <c r="AL320" s="1">
        <f>C39</f>
        <v>0</v>
      </c>
      <c r="AM320" s="1">
        <f t="shared" si="24"/>
        <v>0</v>
      </c>
      <c r="AN320" s="1">
        <f t="shared" si="25"/>
        <v>0</v>
      </c>
      <c r="AO320" s="1">
        <f t="shared" si="26"/>
        <v>0</v>
      </c>
      <c r="AP320" t="b" cm="1">
        <f t="array" ref="AP320">INDEX($AU$8:$BB$25,6*(R320-1)+MATCH(AB320,$AS$8:$AS$13,0),MATCH(O320,$AU$7:$BB$7,0))</f>
        <v>1</v>
      </c>
    </row>
    <row r="321" spans="15:42" ht="14.25" x14ac:dyDescent="0.45">
      <c r="O321" s="43" t="s">
        <v>31</v>
      </c>
      <c r="P321" s="43">
        <v>2</v>
      </c>
      <c r="Q321" s="43">
        <v>8</v>
      </c>
      <c r="R321" s="43">
        <v>2</v>
      </c>
      <c r="S321" s="45"/>
      <c r="T321" t="b">
        <f>(S320+S321+S322)=P3</f>
        <v>0</v>
      </c>
      <c r="X321" s="1">
        <f t="shared" si="28"/>
        <v>0</v>
      </c>
      <c r="Y321" s="48">
        <v>0</v>
      </c>
      <c r="AA321" s="1">
        <v>4</v>
      </c>
      <c r="AB321" s="1" t="s">
        <v>12</v>
      </c>
      <c r="AC321" s="1" t="s">
        <v>18</v>
      </c>
      <c r="AD321" s="1">
        <v>22</v>
      </c>
      <c r="AE321" s="1">
        <v>16</v>
      </c>
      <c r="AF321" s="1">
        <v>0.76</v>
      </c>
      <c r="AG321" s="1">
        <v>0.81</v>
      </c>
      <c r="AH321" s="1">
        <v>0</v>
      </c>
      <c r="AI321" s="1">
        <v>0</v>
      </c>
      <c r="AJ321" s="1">
        <f t="shared" si="23"/>
        <v>0</v>
      </c>
      <c r="AK321" s="1">
        <f>D33</f>
        <v>0</v>
      </c>
      <c r="AL321" s="1">
        <f>D39</f>
        <v>0</v>
      </c>
      <c r="AM321" s="1">
        <f t="shared" si="24"/>
        <v>0</v>
      </c>
      <c r="AN321" s="1">
        <f t="shared" si="25"/>
        <v>0</v>
      </c>
      <c r="AO321" s="1">
        <f t="shared" si="26"/>
        <v>0</v>
      </c>
      <c r="AP321" t="b" cm="1">
        <f t="array" ref="AP321">INDEX($AU$8:$BB$25,6*(R321-1)+MATCH(AB321,$AS$8:$AS$13,0),MATCH(O321,$AU$7:$BB$7,0))</f>
        <v>1</v>
      </c>
    </row>
    <row r="322" spans="15:42" ht="14.25" x14ac:dyDescent="0.45">
      <c r="O322" s="43" t="s">
        <v>31</v>
      </c>
      <c r="P322" s="43">
        <v>2</v>
      </c>
      <c r="Q322" s="43">
        <v>8</v>
      </c>
      <c r="R322" s="43">
        <v>3</v>
      </c>
      <c r="S322" s="45"/>
      <c r="T322" t="b">
        <f>(S320+S321+S322)=P3</f>
        <v>0</v>
      </c>
      <c r="X322" s="1">
        <f t="shared" si="28"/>
        <v>0</v>
      </c>
      <c r="Y322" s="48">
        <v>0</v>
      </c>
      <c r="AA322" s="1">
        <v>4</v>
      </c>
      <c r="AB322" s="1" t="s">
        <v>12</v>
      </c>
      <c r="AC322" s="1" t="s">
        <v>18</v>
      </c>
      <c r="AD322" s="1">
        <v>22</v>
      </c>
      <c r="AE322" s="1">
        <v>16</v>
      </c>
      <c r="AF322" s="1">
        <v>0.76</v>
      </c>
      <c r="AG322" s="1">
        <v>0.81</v>
      </c>
      <c r="AH322" s="1">
        <v>0</v>
      </c>
      <c r="AI322" s="1">
        <v>0</v>
      </c>
      <c r="AJ322" s="1">
        <f t="shared" si="23"/>
        <v>0</v>
      </c>
      <c r="AK322" s="1">
        <f>E33</f>
        <v>0</v>
      </c>
      <c r="AL322" s="1">
        <f>E39</f>
        <v>0</v>
      </c>
      <c r="AM322" s="1">
        <f t="shared" si="24"/>
        <v>0</v>
      </c>
      <c r="AN322" s="1">
        <f t="shared" si="25"/>
        <v>0</v>
      </c>
      <c r="AO322" s="1">
        <f t="shared" si="26"/>
        <v>0</v>
      </c>
      <c r="AP322" t="b" cm="1">
        <f t="array" ref="AP322">INDEX($AU$8:$BB$25,6*(R322-1)+MATCH(AB322,$AS$8:$AS$13,0),MATCH(O322,$AU$7:$BB$7,0))</f>
        <v>1</v>
      </c>
    </row>
    <row r="323" spans="15:42" ht="14.25" x14ac:dyDescent="0.45">
      <c r="O323" s="43" t="s">
        <v>31</v>
      </c>
      <c r="P323" s="43">
        <v>2</v>
      </c>
      <c r="Q323" s="43">
        <v>9</v>
      </c>
      <c r="R323" s="43">
        <v>1</v>
      </c>
      <c r="S323" s="45"/>
      <c r="T323" t="b">
        <f>(S323+S324+S325)=P3</f>
        <v>0</v>
      </c>
      <c r="X323" s="1">
        <f t="shared" si="28"/>
        <v>0</v>
      </c>
      <c r="Y323" s="48">
        <v>0</v>
      </c>
      <c r="AA323" s="1">
        <v>4</v>
      </c>
      <c r="AB323" s="1" t="s">
        <v>15</v>
      </c>
      <c r="AC323" s="1" t="s">
        <v>21</v>
      </c>
      <c r="AD323" s="1">
        <v>7</v>
      </c>
      <c r="AE323" s="1">
        <v>6</v>
      </c>
      <c r="AF323" s="1">
        <v>0.76</v>
      </c>
      <c r="AG323" s="1">
        <v>0.84</v>
      </c>
      <c r="AH323" s="1">
        <v>0</v>
      </c>
      <c r="AI323" s="1">
        <v>0</v>
      </c>
      <c r="AJ323" s="1">
        <f t="shared" si="23"/>
        <v>0</v>
      </c>
      <c r="AK323" s="1">
        <f>C36</f>
        <v>0</v>
      </c>
      <c r="AL323" s="1">
        <f>C42</f>
        <v>0</v>
      </c>
      <c r="AM323" s="1">
        <f t="shared" si="24"/>
        <v>0</v>
      </c>
      <c r="AN323" s="1">
        <f t="shared" si="25"/>
        <v>0</v>
      </c>
      <c r="AO323" s="1">
        <f t="shared" si="26"/>
        <v>0</v>
      </c>
      <c r="AP323" t="b" cm="1">
        <f t="array" ref="AP323">INDEX($AU$8:$BB$25,6*(R323-1)+MATCH(AB323,$AS$8:$AS$13,0),MATCH(O323,$AU$7:$BB$7,0))</f>
        <v>1</v>
      </c>
    </row>
    <row r="324" spans="15:42" ht="14.25" x14ac:dyDescent="0.45">
      <c r="O324" s="43" t="s">
        <v>31</v>
      </c>
      <c r="P324" s="43">
        <v>2</v>
      </c>
      <c r="Q324" s="43">
        <v>9</v>
      </c>
      <c r="R324" s="43">
        <v>2</v>
      </c>
      <c r="S324" s="45"/>
      <c r="T324" t="b">
        <f>(S323+S324+S325)=P3</f>
        <v>0</v>
      </c>
      <c r="X324" s="1">
        <f t="shared" si="28"/>
        <v>0</v>
      </c>
      <c r="Y324" s="48">
        <v>0</v>
      </c>
      <c r="AA324" s="1">
        <v>4</v>
      </c>
      <c r="AB324" s="1" t="s">
        <v>15</v>
      </c>
      <c r="AC324" s="1" t="s">
        <v>21</v>
      </c>
      <c r="AD324" s="1">
        <v>7</v>
      </c>
      <c r="AE324" s="1">
        <v>6</v>
      </c>
      <c r="AF324" s="1">
        <v>0.76</v>
      </c>
      <c r="AG324" s="1">
        <v>0.84</v>
      </c>
      <c r="AH324" s="1">
        <v>0</v>
      </c>
      <c r="AI324" s="1">
        <v>0</v>
      </c>
      <c r="AJ324" s="1">
        <f t="shared" si="23"/>
        <v>0</v>
      </c>
      <c r="AK324" s="1">
        <f>D36</f>
        <v>0</v>
      </c>
      <c r="AL324" s="1">
        <f>D42</f>
        <v>0</v>
      </c>
      <c r="AM324" s="1">
        <f t="shared" si="24"/>
        <v>0</v>
      </c>
      <c r="AN324" s="1">
        <f t="shared" si="25"/>
        <v>0</v>
      </c>
      <c r="AO324" s="1">
        <f t="shared" si="26"/>
        <v>0</v>
      </c>
      <c r="AP324" t="b" cm="1">
        <f t="array" ref="AP324">INDEX($AU$8:$BB$25,6*(R324-1)+MATCH(AB324,$AS$8:$AS$13,0),MATCH(O324,$AU$7:$BB$7,0))</f>
        <v>1</v>
      </c>
    </row>
    <row r="325" spans="15:42" ht="14.25" x14ac:dyDescent="0.45">
      <c r="O325" s="43" t="s">
        <v>31</v>
      </c>
      <c r="P325" s="43">
        <v>2</v>
      </c>
      <c r="Q325" s="43">
        <v>9</v>
      </c>
      <c r="R325" s="43">
        <v>3</v>
      </c>
      <c r="S325" s="45"/>
      <c r="T325" t="b">
        <f>(S323+S324+S325)=P3</f>
        <v>0</v>
      </c>
      <c r="X325" s="1">
        <f t="shared" si="28"/>
        <v>0</v>
      </c>
      <c r="Y325" s="48">
        <v>0</v>
      </c>
      <c r="AA325" s="1">
        <v>4</v>
      </c>
      <c r="AB325" s="1" t="s">
        <v>15</v>
      </c>
      <c r="AC325" s="1" t="s">
        <v>21</v>
      </c>
      <c r="AD325" s="1">
        <v>7</v>
      </c>
      <c r="AE325" s="1">
        <v>6</v>
      </c>
      <c r="AF325" s="1">
        <v>0.76</v>
      </c>
      <c r="AG325" s="1">
        <v>0.84</v>
      </c>
      <c r="AH325" s="1">
        <v>0</v>
      </c>
      <c r="AI325" s="1">
        <v>0</v>
      </c>
      <c r="AJ325" s="1">
        <f t="shared" si="23"/>
        <v>0</v>
      </c>
      <c r="AK325" s="1">
        <f>E36</f>
        <v>0</v>
      </c>
      <c r="AL325" s="1">
        <f>E42</f>
        <v>0</v>
      </c>
      <c r="AM325" s="1">
        <f t="shared" si="24"/>
        <v>0</v>
      </c>
      <c r="AN325" s="1">
        <f t="shared" si="25"/>
        <v>0</v>
      </c>
      <c r="AO325" s="1">
        <f t="shared" si="26"/>
        <v>0</v>
      </c>
      <c r="AP325" t="b" cm="1">
        <f t="array" ref="AP325">INDEX($AU$8:$BB$25,6*(R325-1)+MATCH(AB325,$AS$8:$AS$13,0),MATCH(O325,$AU$7:$BB$7,0))</f>
        <v>1</v>
      </c>
    </row>
    <row r="326" spans="15:42" ht="14.25" x14ac:dyDescent="0.45">
      <c r="O326" s="43" t="s">
        <v>31</v>
      </c>
      <c r="P326" s="43">
        <v>2</v>
      </c>
      <c r="Q326" s="43">
        <v>10</v>
      </c>
      <c r="R326" s="43">
        <v>1</v>
      </c>
      <c r="S326" s="45"/>
      <c r="T326" t="b">
        <f>(S326+S327+S328)=P3</f>
        <v>0</v>
      </c>
      <c r="X326" s="1">
        <f t="shared" si="28"/>
        <v>0</v>
      </c>
      <c r="Y326" s="48">
        <v>0</v>
      </c>
      <c r="AA326" s="1">
        <v>6</v>
      </c>
      <c r="AB326" s="1" t="s">
        <v>15</v>
      </c>
      <c r="AC326" s="1" t="s">
        <v>21</v>
      </c>
      <c r="AD326" s="1">
        <v>9</v>
      </c>
      <c r="AE326" s="1">
        <v>7</v>
      </c>
      <c r="AF326" s="1">
        <v>0.76</v>
      </c>
      <c r="AG326" s="1">
        <v>0.84</v>
      </c>
      <c r="AH326" s="1">
        <v>0</v>
      </c>
      <c r="AI326" s="1">
        <v>0</v>
      </c>
      <c r="AJ326" s="1">
        <f t="shared" si="23"/>
        <v>0</v>
      </c>
      <c r="AK326" s="1">
        <f>C36</f>
        <v>0</v>
      </c>
      <c r="AL326" s="1">
        <f>C42</f>
        <v>0</v>
      </c>
      <c r="AM326" s="1">
        <f t="shared" si="24"/>
        <v>0</v>
      </c>
      <c r="AN326" s="1">
        <f t="shared" si="25"/>
        <v>0</v>
      </c>
      <c r="AO326" s="1">
        <f t="shared" si="26"/>
        <v>0</v>
      </c>
      <c r="AP326" t="b" cm="1">
        <f t="array" ref="AP326">INDEX($AU$8:$BB$25,6*(R326-1)+MATCH(AB326,$AS$8:$AS$13,0),MATCH(O326,$AU$7:$BB$7,0))</f>
        <v>1</v>
      </c>
    </row>
    <row r="327" spans="15:42" ht="14.25" x14ac:dyDescent="0.45">
      <c r="O327" s="43" t="s">
        <v>31</v>
      </c>
      <c r="P327" s="43">
        <v>2</v>
      </c>
      <c r="Q327" s="43">
        <v>10</v>
      </c>
      <c r="R327" s="43">
        <v>2</v>
      </c>
      <c r="S327" s="45"/>
      <c r="T327" t="b">
        <f>(S326+S327+S328)=P3</f>
        <v>0</v>
      </c>
      <c r="X327" s="1">
        <f t="shared" si="28"/>
        <v>0</v>
      </c>
      <c r="Y327" s="48">
        <v>0</v>
      </c>
      <c r="AA327" s="1">
        <v>6</v>
      </c>
      <c r="AB327" s="1" t="s">
        <v>15</v>
      </c>
      <c r="AC327" s="1" t="s">
        <v>21</v>
      </c>
      <c r="AD327" s="1">
        <v>9</v>
      </c>
      <c r="AE327" s="1">
        <v>7</v>
      </c>
      <c r="AF327" s="1">
        <v>0.76</v>
      </c>
      <c r="AG327" s="1">
        <v>0.84</v>
      </c>
      <c r="AH327" s="1">
        <v>0</v>
      </c>
      <c r="AI327" s="1">
        <v>0</v>
      </c>
      <c r="AJ327" s="1">
        <f t="shared" si="23"/>
        <v>0</v>
      </c>
      <c r="AK327" s="1">
        <f>D36</f>
        <v>0</v>
      </c>
      <c r="AL327" s="1">
        <f>D42</f>
        <v>0</v>
      </c>
      <c r="AM327" s="1">
        <f t="shared" si="24"/>
        <v>0</v>
      </c>
      <c r="AN327" s="1">
        <f t="shared" si="25"/>
        <v>0</v>
      </c>
      <c r="AO327" s="1">
        <f t="shared" si="26"/>
        <v>0</v>
      </c>
      <c r="AP327" t="b" cm="1">
        <f t="array" ref="AP327">INDEX($AU$8:$BB$25,6*(R327-1)+MATCH(AB327,$AS$8:$AS$13,0),MATCH(O327,$AU$7:$BB$7,0))</f>
        <v>1</v>
      </c>
    </row>
    <row r="328" spans="15:42" ht="14.25" x14ac:dyDescent="0.45">
      <c r="O328" s="43" t="s">
        <v>31</v>
      </c>
      <c r="P328" s="43">
        <v>2</v>
      </c>
      <c r="Q328" s="43">
        <v>10</v>
      </c>
      <c r="R328" s="43">
        <v>3</v>
      </c>
      <c r="S328" s="45"/>
      <c r="T328" t="b">
        <f>(S326+S327+S328)=P3</f>
        <v>0</v>
      </c>
      <c r="X328" s="1">
        <f t="shared" si="28"/>
        <v>0</v>
      </c>
      <c r="Y328" s="48">
        <v>0</v>
      </c>
      <c r="AA328" s="1">
        <v>6</v>
      </c>
      <c r="AB328" s="1" t="s">
        <v>15</v>
      </c>
      <c r="AC328" s="1" t="s">
        <v>21</v>
      </c>
      <c r="AD328" s="1">
        <v>9</v>
      </c>
      <c r="AE328" s="1">
        <v>7</v>
      </c>
      <c r="AF328" s="1">
        <v>0.76</v>
      </c>
      <c r="AG328" s="1">
        <v>0.84</v>
      </c>
      <c r="AH328" s="1">
        <v>0</v>
      </c>
      <c r="AI328" s="1">
        <v>0</v>
      </c>
      <c r="AJ328" s="1">
        <f t="shared" si="23"/>
        <v>0</v>
      </c>
      <c r="AK328" s="1">
        <f>E36</f>
        <v>0</v>
      </c>
      <c r="AL328" s="1">
        <f>E42</f>
        <v>0</v>
      </c>
      <c r="AM328" s="1">
        <f t="shared" si="24"/>
        <v>0</v>
      </c>
      <c r="AN328" s="1">
        <f t="shared" si="25"/>
        <v>0</v>
      </c>
      <c r="AO328" s="1">
        <f t="shared" si="26"/>
        <v>0</v>
      </c>
      <c r="AP328" t="b" cm="1">
        <f t="array" ref="AP328">INDEX($AU$8:$BB$25,6*(R328-1)+MATCH(AB328,$AS$8:$AS$13,0),MATCH(O328,$AU$7:$BB$7,0))</f>
        <v>1</v>
      </c>
    </row>
    <row r="329" spans="15:42" ht="14.25" x14ac:dyDescent="0.45">
      <c r="O329" s="43" t="s">
        <v>31</v>
      </c>
      <c r="P329" s="43">
        <v>2</v>
      </c>
      <c r="Q329" s="43">
        <v>11</v>
      </c>
      <c r="R329" s="43">
        <v>1</v>
      </c>
      <c r="S329" s="45"/>
      <c r="T329" t="b">
        <f>(S329+S330+S331)=P3</f>
        <v>0</v>
      </c>
      <c r="X329" s="1">
        <f t="shared" si="28"/>
        <v>0</v>
      </c>
      <c r="Y329" s="48">
        <v>0</v>
      </c>
      <c r="AA329" s="1">
        <v>2</v>
      </c>
      <c r="AB329" s="1" t="s">
        <v>15</v>
      </c>
      <c r="AC329" s="1" t="s">
        <v>21</v>
      </c>
      <c r="AD329" s="1">
        <v>20</v>
      </c>
      <c r="AE329" s="1">
        <v>19</v>
      </c>
      <c r="AF329" s="1">
        <v>0.76</v>
      </c>
      <c r="AG329" s="1">
        <v>0.84</v>
      </c>
      <c r="AH329" s="1">
        <v>0</v>
      </c>
      <c r="AI329" s="1">
        <v>0</v>
      </c>
      <c r="AJ329" s="1">
        <f t="shared" ref="AJ329:AJ392" si="29">SUMIFS(AH$8:AH$1039,$O$8:$O$1039,O329,$AB$8:$AB$1039,AB329,$R$8:$R$1039,R329,$AA$8:$AA$1039,"&lt;="&amp;AA329)</f>
        <v>0</v>
      </c>
      <c r="AK329" s="1">
        <f>C36</f>
        <v>0</v>
      </c>
      <c r="AL329" s="1">
        <f>C42</f>
        <v>0</v>
      </c>
      <c r="AM329" s="1">
        <f t="shared" ref="AM329:AM392" si="30">MAX(0,AJ329-AK329)</f>
        <v>0</v>
      </c>
      <c r="AN329" s="1">
        <f t="shared" ref="AN329:AN392" si="31">IF(AM329=0,AH329,IF(AM329&gt;=AH329,0,AH329-AM329))</f>
        <v>0</v>
      </c>
      <c r="AO329" s="1">
        <f t="shared" ref="AO329:AO392" si="32">IF(AM329&gt;=AH329,AI329,AI329*AM329/AH329)</f>
        <v>0</v>
      </c>
      <c r="AP329" t="b" cm="1">
        <f t="array" ref="AP329">INDEX($AU$8:$BB$25,6*(R329-1)+MATCH(AB329,$AS$8:$AS$13,0),MATCH(O329,$AU$7:$BB$7,0))</f>
        <v>1</v>
      </c>
    </row>
    <row r="330" spans="15:42" ht="14.25" x14ac:dyDescent="0.45">
      <c r="O330" s="43" t="s">
        <v>31</v>
      </c>
      <c r="P330" s="43">
        <v>2</v>
      </c>
      <c r="Q330" s="43">
        <v>11</v>
      </c>
      <c r="R330" s="43">
        <v>2</v>
      </c>
      <c r="S330" s="45"/>
      <c r="T330" t="b">
        <f>(S329+S330+S331)=P3</f>
        <v>0</v>
      </c>
      <c r="X330" s="1">
        <f t="shared" si="28"/>
        <v>0</v>
      </c>
      <c r="Y330" s="48">
        <v>0</v>
      </c>
      <c r="AA330" s="1">
        <v>2</v>
      </c>
      <c r="AB330" s="1" t="s">
        <v>15</v>
      </c>
      <c r="AC330" s="1" t="s">
        <v>21</v>
      </c>
      <c r="AD330" s="1">
        <v>20</v>
      </c>
      <c r="AE330" s="1">
        <v>19</v>
      </c>
      <c r="AF330" s="1">
        <v>0.76</v>
      </c>
      <c r="AG330" s="1">
        <v>0.84</v>
      </c>
      <c r="AH330" s="1">
        <v>0</v>
      </c>
      <c r="AI330" s="1">
        <v>0</v>
      </c>
      <c r="AJ330" s="1">
        <f t="shared" si="29"/>
        <v>0</v>
      </c>
      <c r="AK330" s="1">
        <f>D36</f>
        <v>0</v>
      </c>
      <c r="AL330" s="1">
        <f>D42</f>
        <v>0</v>
      </c>
      <c r="AM330" s="1">
        <f t="shared" si="30"/>
        <v>0</v>
      </c>
      <c r="AN330" s="1">
        <f t="shared" si="31"/>
        <v>0</v>
      </c>
      <c r="AO330" s="1">
        <f t="shared" si="32"/>
        <v>0</v>
      </c>
      <c r="AP330" t="b" cm="1">
        <f t="array" ref="AP330">INDEX($AU$8:$BB$25,6*(R330-1)+MATCH(AB330,$AS$8:$AS$13,0),MATCH(O330,$AU$7:$BB$7,0))</f>
        <v>1</v>
      </c>
    </row>
    <row r="331" spans="15:42" ht="14.25" x14ac:dyDescent="0.45">
      <c r="O331" s="43" t="s">
        <v>31</v>
      </c>
      <c r="P331" s="43">
        <v>2</v>
      </c>
      <c r="Q331" s="43">
        <v>11</v>
      </c>
      <c r="R331" s="43">
        <v>3</v>
      </c>
      <c r="S331" s="45"/>
      <c r="T331" t="b">
        <f>(S329+S330+S331)=P3</f>
        <v>0</v>
      </c>
      <c r="X331" s="1">
        <f t="shared" si="28"/>
        <v>0</v>
      </c>
      <c r="Y331" s="48">
        <v>0</v>
      </c>
      <c r="AA331" s="1">
        <v>2</v>
      </c>
      <c r="AB331" s="1" t="s">
        <v>15</v>
      </c>
      <c r="AC331" s="1" t="s">
        <v>21</v>
      </c>
      <c r="AD331" s="1">
        <v>20</v>
      </c>
      <c r="AE331" s="1">
        <v>19</v>
      </c>
      <c r="AF331" s="1">
        <v>0.76</v>
      </c>
      <c r="AG331" s="1">
        <v>0.84</v>
      </c>
      <c r="AH331" s="1">
        <v>0</v>
      </c>
      <c r="AI331" s="1">
        <v>0</v>
      </c>
      <c r="AJ331" s="1">
        <f t="shared" si="29"/>
        <v>0</v>
      </c>
      <c r="AK331" s="1">
        <f>E36</f>
        <v>0</v>
      </c>
      <c r="AL331" s="1">
        <f>E42</f>
        <v>0</v>
      </c>
      <c r="AM331" s="1">
        <f t="shared" si="30"/>
        <v>0</v>
      </c>
      <c r="AN331" s="1">
        <f t="shared" si="31"/>
        <v>0</v>
      </c>
      <c r="AO331" s="1">
        <f t="shared" si="32"/>
        <v>0</v>
      </c>
      <c r="AP331" t="b" cm="1">
        <f t="array" ref="AP331">INDEX($AU$8:$BB$25,6*(R331-1)+MATCH(AB331,$AS$8:$AS$13,0),MATCH(O331,$AU$7:$BB$7,0))</f>
        <v>1</v>
      </c>
    </row>
    <row r="332" spans="15:42" ht="14.25" x14ac:dyDescent="0.45">
      <c r="O332" s="43" t="s">
        <v>31</v>
      </c>
      <c r="P332" s="43">
        <v>2</v>
      </c>
      <c r="Q332" s="43">
        <v>12</v>
      </c>
      <c r="R332" s="43">
        <v>1</v>
      </c>
      <c r="S332" s="45"/>
      <c r="T332" t="b">
        <f>(S332+S333+S334)=P3</f>
        <v>0</v>
      </c>
      <c r="X332" s="1">
        <f t="shared" si="28"/>
        <v>0</v>
      </c>
      <c r="Y332" s="48">
        <v>0</v>
      </c>
      <c r="AA332" s="1">
        <v>7</v>
      </c>
      <c r="AB332" s="1" t="s">
        <v>16</v>
      </c>
      <c r="AC332" s="1" t="s">
        <v>22</v>
      </c>
      <c r="AD332" s="1">
        <v>21</v>
      </c>
      <c r="AE332" s="1">
        <v>18</v>
      </c>
      <c r="AF332" s="1">
        <v>0.8</v>
      </c>
      <c r="AG332" s="1">
        <v>0.9</v>
      </c>
      <c r="AH332" s="1">
        <v>0</v>
      </c>
      <c r="AI332" s="1">
        <v>0</v>
      </c>
      <c r="AJ332" s="1">
        <f t="shared" si="29"/>
        <v>0</v>
      </c>
      <c r="AK332" s="1">
        <f>C37</f>
        <v>0</v>
      </c>
      <c r="AL332" s="1">
        <f>C43</f>
        <v>0</v>
      </c>
      <c r="AM332" s="1">
        <f t="shared" si="30"/>
        <v>0</v>
      </c>
      <c r="AN332" s="1">
        <f t="shared" si="31"/>
        <v>0</v>
      </c>
      <c r="AO332" s="1">
        <f t="shared" si="32"/>
        <v>0</v>
      </c>
      <c r="AP332" t="b" cm="1">
        <f t="array" ref="AP332">INDEX($AU$8:$BB$25,6*(R332-1)+MATCH(AB332,$AS$8:$AS$13,0),MATCH(O332,$AU$7:$BB$7,0))</f>
        <v>1</v>
      </c>
    </row>
    <row r="333" spans="15:42" ht="14.25" x14ac:dyDescent="0.45">
      <c r="O333" s="43" t="s">
        <v>31</v>
      </c>
      <c r="P333" s="43">
        <v>2</v>
      </c>
      <c r="Q333" s="43">
        <v>12</v>
      </c>
      <c r="R333" s="43">
        <v>2</v>
      </c>
      <c r="S333" s="45"/>
      <c r="T333" t="b">
        <f>(S332+S333+S334)=P3</f>
        <v>0</v>
      </c>
      <c r="X333" s="1">
        <f t="shared" si="28"/>
        <v>0</v>
      </c>
      <c r="Y333" s="48">
        <v>0</v>
      </c>
      <c r="AA333" s="1">
        <v>7</v>
      </c>
      <c r="AB333" s="1" t="s">
        <v>16</v>
      </c>
      <c r="AC333" s="1" t="s">
        <v>22</v>
      </c>
      <c r="AD333" s="1">
        <v>21</v>
      </c>
      <c r="AE333" s="1">
        <v>18</v>
      </c>
      <c r="AF333" s="1">
        <v>0.8</v>
      </c>
      <c r="AG333" s="1">
        <v>0.9</v>
      </c>
      <c r="AH333" s="1">
        <v>0</v>
      </c>
      <c r="AI333" s="1">
        <v>0</v>
      </c>
      <c r="AJ333" s="1">
        <f t="shared" si="29"/>
        <v>0</v>
      </c>
      <c r="AK333" s="1">
        <f>D37</f>
        <v>0</v>
      </c>
      <c r="AL333" s="1">
        <f>D43</f>
        <v>0</v>
      </c>
      <c r="AM333" s="1">
        <f t="shared" si="30"/>
        <v>0</v>
      </c>
      <c r="AN333" s="1">
        <f t="shared" si="31"/>
        <v>0</v>
      </c>
      <c r="AO333" s="1">
        <f t="shared" si="32"/>
        <v>0</v>
      </c>
      <c r="AP333" t="b" cm="1">
        <f t="array" ref="AP333">INDEX($AU$8:$BB$25,6*(R333-1)+MATCH(AB333,$AS$8:$AS$13,0),MATCH(O333,$AU$7:$BB$7,0))</f>
        <v>1</v>
      </c>
    </row>
    <row r="334" spans="15:42" ht="14.25" x14ac:dyDescent="0.45">
      <c r="O334" s="43" t="s">
        <v>31</v>
      </c>
      <c r="P334" s="43">
        <v>2</v>
      </c>
      <c r="Q334" s="43">
        <v>12</v>
      </c>
      <c r="R334" s="43">
        <v>3</v>
      </c>
      <c r="S334" s="45"/>
      <c r="T334" t="b">
        <f>(S332+S333+S334)=P3</f>
        <v>0</v>
      </c>
      <c r="X334" s="1">
        <f t="shared" si="28"/>
        <v>0</v>
      </c>
      <c r="Y334" s="48">
        <v>0</v>
      </c>
      <c r="AA334" s="1">
        <v>7</v>
      </c>
      <c r="AB334" s="1" t="s">
        <v>16</v>
      </c>
      <c r="AC334" s="1" t="s">
        <v>22</v>
      </c>
      <c r="AD334" s="1">
        <v>21</v>
      </c>
      <c r="AE334" s="1">
        <v>18</v>
      </c>
      <c r="AF334" s="1">
        <v>0.8</v>
      </c>
      <c r="AG334" s="1">
        <v>0.9</v>
      </c>
      <c r="AH334" s="1">
        <v>0</v>
      </c>
      <c r="AI334" s="1">
        <v>0</v>
      </c>
      <c r="AJ334" s="1">
        <f t="shared" si="29"/>
        <v>0</v>
      </c>
      <c r="AK334" s="1">
        <f>E37</f>
        <v>0</v>
      </c>
      <c r="AL334" s="1">
        <f>E43</f>
        <v>0</v>
      </c>
      <c r="AM334" s="1">
        <f t="shared" si="30"/>
        <v>0</v>
      </c>
      <c r="AN334" s="1">
        <f t="shared" si="31"/>
        <v>0</v>
      </c>
      <c r="AO334" s="1">
        <f t="shared" si="32"/>
        <v>0</v>
      </c>
      <c r="AP334" t="b" cm="1">
        <f t="array" ref="AP334">INDEX($AU$8:$BB$25,6*(R334-1)+MATCH(AB334,$AS$8:$AS$13,0),MATCH(O334,$AU$7:$BB$7,0))</f>
        <v>1</v>
      </c>
    </row>
    <row r="335" spans="15:42" ht="14.25" x14ac:dyDescent="0.45">
      <c r="O335" s="43" t="s">
        <v>31</v>
      </c>
      <c r="P335" s="43">
        <v>2</v>
      </c>
      <c r="Q335" s="43">
        <v>13</v>
      </c>
      <c r="R335" s="43">
        <v>1</v>
      </c>
      <c r="S335" s="45"/>
      <c r="T335" t="b">
        <f>(S335+S336+S337)=P3</f>
        <v>0</v>
      </c>
      <c r="X335" s="1">
        <f t="shared" si="28"/>
        <v>0</v>
      </c>
      <c r="Y335" s="48">
        <v>0</v>
      </c>
      <c r="AA335" s="1">
        <v>8</v>
      </c>
      <c r="AB335" s="1" t="s">
        <v>15</v>
      </c>
      <c r="AC335" s="1" t="s">
        <v>21</v>
      </c>
      <c r="AD335" s="1">
        <v>12</v>
      </c>
      <c r="AE335" s="1">
        <v>9</v>
      </c>
      <c r="AF335" s="1">
        <v>0.76</v>
      </c>
      <c r="AG335" s="1">
        <v>0.84</v>
      </c>
      <c r="AH335" s="1">
        <v>0</v>
      </c>
      <c r="AI335" s="1">
        <v>0</v>
      </c>
      <c r="AJ335" s="1">
        <f t="shared" si="29"/>
        <v>0</v>
      </c>
      <c r="AK335" s="1">
        <f>C36</f>
        <v>0</v>
      </c>
      <c r="AL335" s="1">
        <f>C42</f>
        <v>0</v>
      </c>
      <c r="AM335" s="1">
        <f t="shared" si="30"/>
        <v>0</v>
      </c>
      <c r="AN335" s="1">
        <f t="shared" si="31"/>
        <v>0</v>
      </c>
      <c r="AO335" s="1">
        <f t="shared" si="32"/>
        <v>0</v>
      </c>
      <c r="AP335" t="b" cm="1">
        <f t="array" ref="AP335">INDEX($AU$8:$BB$25,6*(R335-1)+MATCH(AB335,$AS$8:$AS$13,0),MATCH(O335,$AU$7:$BB$7,0))</f>
        <v>1</v>
      </c>
    </row>
    <row r="336" spans="15:42" ht="14.25" x14ac:dyDescent="0.45">
      <c r="O336" s="43" t="s">
        <v>31</v>
      </c>
      <c r="P336" s="43">
        <v>2</v>
      </c>
      <c r="Q336" s="43">
        <v>13</v>
      </c>
      <c r="R336" s="43">
        <v>2</v>
      </c>
      <c r="S336" s="45"/>
      <c r="T336" t="b">
        <f>(S335+S336+S337)=P3</f>
        <v>0</v>
      </c>
      <c r="X336" s="1">
        <f t="shared" si="28"/>
        <v>0</v>
      </c>
      <c r="Y336" s="48">
        <v>0</v>
      </c>
      <c r="AA336" s="1">
        <v>8</v>
      </c>
      <c r="AB336" s="1" t="s">
        <v>15</v>
      </c>
      <c r="AC336" s="1" t="s">
        <v>21</v>
      </c>
      <c r="AD336" s="1">
        <v>12</v>
      </c>
      <c r="AE336" s="1">
        <v>9</v>
      </c>
      <c r="AF336" s="1">
        <v>0.76</v>
      </c>
      <c r="AG336" s="1">
        <v>0.84</v>
      </c>
      <c r="AH336" s="1">
        <v>0</v>
      </c>
      <c r="AI336" s="1">
        <v>0</v>
      </c>
      <c r="AJ336" s="1">
        <f t="shared" si="29"/>
        <v>0</v>
      </c>
      <c r="AK336" s="1">
        <f>D36</f>
        <v>0</v>
      </c>
      <c r="AL336" s="1">
        <f>D42</f>
        <v>0</v>
      </c>
      <c r="AM336" s="1">
        <f t="shared" si="30"/>
        <v>0</v>
      </c>
      <c r="AN336" s="1">
        <f t="shared" si="31"/>
        <v>0</v>
      </c>
      <c r="AO336" s="1">
        <f t="shared" si="32"/>
        <v>0</v>
      </c>
      <c r="AP336" t="b" cm="1">
        <f t="array" ref="AP336">INDEX($AU$8:$BB$25,6*(R336-1)+MATCH(AB336,$AS$8:$AS$13,0),MATCH(O336,$AU$7:$BB$7,0))</f>
        <v>1</v>
      </c>
    </row>
    <row r="337" spans="15:42" ht="14.25" x14ac:dyDescent="0.45">
      <c r="O337" s="43" t="s">
        <v>31</v>
      </c>
      <c r="P337" s="43">
        <v>2</v>
      </c>
      <c r="Q337" s="43">
        <v>13</v>
      </c>
      <c r="R337" s="43">
        <v>3</v>
      </c>
      <c r="S337" s="45"/>
      <c r="T337" t="b">
        <f>(S335+S336+S337)=P3</f>
        <v>0</v>
      </c>
      <c r="X337" s="1">
        <f t="shared" si="28"/>
        <v>0</v>
      </c>
      <c r="Y337" s="48">
        <v>0</v>
      </c>
      <c r="AA337" s="1">
        <v>8</v>
      </c>
      <c r="AB337" s="1" t="s">
        <v>15</v>
      </c>
      <c r="AC337" s="1" t="s">
        <v>21</v>
      </c>
      <c r="AD337" s="1">
        <v>12</v>
      </c>
      <c r="AE337" s="1">
        <v>9</v>
      </c>
      <c r="AF337" s="1">
        <v>0.76</v>
      </c>
      <c r="AG337" s="1">
        <v>0.84</v>
      </c>
      <c r="AH337" s="1">
        <v>0</v>
      </c>
      <c r="AI337" s="1">
        <v>0</v>
      </c>
      <c r="AJ337" s="1">
        <f t="shared" si="29"/>
        <v>0</v>
      </c>
      <c r="AK337" s="1">
        <f>E36</f>
        <v>0</v>
      </c>
      <c r="AL337" s="1">
        <f>E42</f>
        <v>0</v>
      </c>
      <c r="AM337" s="1">
        <f t="shared" si="30"/>
        <v>0</v>
      </c>
      <c r="AN337" s="1">
        <f t="shared" si="31"/>
        <v>0</v>
      </c>
      <c r="AO337" s="1">
        <f t="shared" si="32"/>
        <v>0</v>
      </c>
      <c r="AP337" t="b" cm="1">
        <f t="array" ref="AP337">INDEX($AU$8:$BB$25,6*(R337-1)+MATCH(AB337,$AS$8:$AS$13,0),MATCH(O337,$AU$7:$BB$7,0))</f>
        <v>1</v>
      </c>
    </row>
    <row r="338" spans="15:42" ht="14.25" x14ac:dyDescent="0.45">
      <c r="O338" s="43" t="s">
        <v>31</v>
      </c>
      <c r="P338" s="43">
        <v>2</v>
      </c>
      <c r="Q338" s="43">
        <v>14</v>
      </c>
      <c r="R338" s="43">
        <v>1</v>
      </c>
      <c r="S338" s="45"/>
      <c r="T338" t="b">
        <f>(S338+S339+S340)=P3</f>
        <v>0</v>
      </c>
      <c r="X338" s="1">
        <f t="shared" si="28"/>
        <v>0</v>
      </c>
      <c r="Y338" s="48">
        <v>0</v>
      </c>
      <c r="AA338" s="1">
        <v>5</v>
      </c>
      <c r="AB338" s="1" t="s">
        <v>15</v>
      </c>
      <c r="AC338" s="1" t="s">
        <v>21</v>
      </c>
      <c r="AD338" s="1">
        <v>15</v>
      </c>
      <c r="AE338" s="1">
        <v>12</v>
      </c>
      <c r="AF338" s="1">
        <v>0.76</v>
      </c>
      <c r="AG338" s="1">
        <v>0.84</v>
      </c>
      <c r="AH338" s="1">
        <v>0</v>
      </c>
      <c r="AI338" s="1">
        <v>0</v>
      </c>
      <c r="AJ338" s="1">
        <f t="shared" si="29"/>
        <v>0</v>
      </c>
      <c r="AK338" s="1">
        <f>C36</f>
        <v>0</v>
      </c>
      <c r="AL338" s="1">
        <f>C42</f>
        <v>0</v>
      </c>
      <c r="AM338" s="1">
        <f t="shared" si="30"/>
        <v>0</v>
      </c>
      <c r="AN338" s="1">
        <f t="shared" si="31"/>
        <v>0</v>
      </c>
      <c r="AO338" s="1">
        <f t="shared" si="32"/>
        <v>0</v>
      </c>
      <c r="AP338" t="b" cm="1">
        <f t="array" ref="AP338">INDEX($AU$8:$BB$25,6*(R338-1)+MATCH(AB338,$AS$8:$AS$13,0),MATCH(O338,$AU$7:$BB$7,0))</f>
        <v>1</v>
      </c>
    </row>
    <row r="339" spans="15:42" ht="14.25" x14ac:dyDescent="0.45">
      <c r="O339" s="43" t="s">
        <v>31</v>
      </c>
      <c r="P339" s="43">
        <v>2</v>
      </c>
      <c r="Q339" s="43">
        <v>14</v>
      </c>
      <c r="R339" s="43">
        <v>2</v>
      </c>
      <c r="S339" s="45"/>
      <c r="T339" t="b">
        <f>(S338+S339+S340)=P3</f>
        <v>0</v>
      </c>
      <c r="X339" s="1">
        <f t="shared" si="28"/>
        <v>0</v>
      </c>
      <c r="Y339" s="48">
        <v>0</v>
      </c>
      <c r="AA339" s="1">
        <v>5</v>
      </c>
      <c r="AB339" s="1" t="s">
        <v>15</v>
      </c>
      <c r="AC339" s="1" t="s">
        <v>21</v>
      </c>
      <c r="AD339" s="1">
        <v>15</v>
      </c>
      <c r="AE339" s="1">
        <v>12</v>
      </c>
      <c r="AF339" s="1">
        <v>0.76</v>
      </c>
      <c r="AG339" s="1">
        <v>0.84</v>
      </c>
      <c r="AH339" s="1">
        <v>0</v>
      </c>
      <c r="AI339" s="1">
        <v>0</v>
      </c>
      <c r="AJ339" s="1">
        <f t="shared" si="29"/>
        <v>0</v>
      </c>
      <c r="AK339" s="1">
        <f>D36</f>
        <v>0</v>
      </c>
      <c r="AL339" s="1">
        <f>D42</f>
        <v>0</v>
      </c>
      <c r="AM339" s="1">
        <f t="shared" si="30"/>
        <v>0</v>
      </c>
      <c r="AN339" s="1">
        <f t="shared" si="31"/>
        <v>0</v>
      </c>
      <c r="AO339" s="1">
        <f t="shared" si="32"/>
        <v>0</v>
      </c>
      <c r="AP339" t="b" cm="1">
        <f t="array" ref="AP339">INDEX($AU$8:$BB$25,6*(R339-1)+MATCH(AB339,$AS$8:$AS$13,0),MATCH(O339,$AU$7:$BB$7,0))</f>
        <v>1</v>
      </c>
    </row>
    <row r="340" spans="15:42" ht="14.25" x14ac:dyDescent="0.45">
      <c r="O340" s="43" t="s">
        <v>31</v>
      </c>
      <c r="P340" s="43">
        <v>2</v>
      </c>
      <c r="Q340" s="43">
        <v>14</v>
      </c>
      <c r="R340" s="43">
        <v>3</v>
      </c>
      <c r="S340" s="45"/>
      <c r="T340" t="b">
        <f>(S338+S339+S340)=P3</f>
        <v>0</v>
      </c>
      <c r="X340" s="1">
        <f t="shared" si="28"/>
        <v>0</v>
      </c>
      <c r="Y340" s="48">
        <v>0</v>
      </c>
      <c r="AA340" s="1">
        <v>5</v>
      </c>
      <c r="AB340" s="1" t="s">
        <v>15</v>
      </c>
      <c r="AC340" s="1" t="s">
        <v>21</v>
      </c>
      <c r="AD340" s="1">
        <v>15</v>
      </c>
      <c r="AE340" s="1">
        <v>12</v>
      </c>
      <c r="AF340" s="1">
        <v>0.76</v>
      </c>
      <c r="AG340" s="1">
        <v>0.84</v>
      </c>
      <c r="AH340" s="1">
        <v>0</v>
      </c>
      <c r="AI340" s="1">
        <v>0</v>
      </c>
      <c r="AJ340" s="1">
        <f t="shared" si="29"/>
        <v>0</v>
      </c>
      <c r="AK340" s="1">
        <f>E36</f>
        <v>0</v>
      </c>
      <c r="AL340" s="1">
        <f>E42</f>
        <v>0</v>
      </c>
      <c r="AM340" s="1">
        <f t="shared" si="30"/>
        <v>0</v>
      </c>
      <c r="AN340" s="1">
        <f t="shared" si="31"/>
        <v>0</v>
      </c>
      <c r="AO340" s="1">
        <f t="shared" si="32"/>
        <v>0</v>
      </c>
      <c r="AP340" t="b" cm="1">
        <f t="array" ref="AP340">INDEX($AU$8:$BB$25,6*(R340-1)+MATCH(AB340,$AS$8:$AS$13,0),MATCH(O340,$AU$7:$BB$7,0))</f>
        <v>1</v>
      </c>
    </row>
    <row r="341" spans="15:42" ht="14.25" x14ac:dyDescent="0.45">
      <c r="O341" s="43" t="s">
        <v>31</v>
      </c>
      <c r="P341" s="43">
        <v>2</v>
      </c>
      <c r="Q341" s="43">
        <v>15</v>
      </c>
      <c r="R341" s="43">
        <v>1</v>
      </c>
      <c r="S341" s="45"/>
      <c r="T341" t="b">
        <f>(S341+S342+S343)=P3</f>
        <v>0</v>
      </c>
      <c r="X341" s="1">
        <f t="shared" si="28"/>
        <v>0</v>
      </c>
      <c r="Y341" s="48">
        <v>0</v>
      </c>
      <c r="AA341" s="1">
        <v>7</v>
      </c>
      <c r="AB341" s="1" t="s">
        <v>15</v>
      </c>
      <c r="AC341" s="1" t="s">
        <v>21</v>
      </c>
      <c r="AD341" s="1">
        <v>13</v>
      </c>
      <c r="AE341" s="1">
        <v>10</v>
      </c>
      <c r="AF341" s="1">
        <v>0.76</v>
      </c>
      <c r="AG341" s="1">
        <v>0.84</v>
      </c>
      <c r="AH341" s="1">
        <v>0</v>
      </c>
      <c r="AI341" s="1">
        <v>0</v>
      </c>
      <c r="AJ341" s="1">
        <f t="shared" si="29"/>
        <v>0</v>
      </c>
      <c r="AK341" s="1">
        <f>C36</f>
        <v>0</v>
      </c>
      <c r="AL341" s="1">
        <f>C42</f>
        <v>0</v>
      </c>
      <c r="AM341" s="1">
        <f t="shared" si="30"/>
        <v>0</v>
      </c>
      <c r="AN341" s="1">
        <f t="shared" si="31"/>
        <v>0</v>
      </c>
      <c r="AO341" s="1">
        <f t="shared" si="32"/>
        <v>0</v>
      </c>
      <c r="AP341" t="b" cm="1">
        <f t="array" ref="AP341">INDEX($AU$8:$BB$25,6*(R341-1)+MATCH(AB341,$AS$8:$AS$13,0),MATCH(O341,$AU$7:$BB$7,0))</f>
        <v>1</v>
      </c>
    </row>
    <row r="342" spans="15:42" ht="14.25" x14ac:dyDescent="0.45">
      <c r="O342" s="43" t="s">
        <v>31</v>
      </c>
      <c r="P342" s="43">
        <v>2</v>
      </c>
      <c r="Q342" s="43">
        <v>15</v>
      </c>
      <c r="R342" s="43">
        <v>2</v>
      </c>
      <c r="S342" s="45"/>
      <c r="T342" t="b">
        <f>(S341+S342+S343)=P3</f>
        <v>0</v>
      </c>
      <c r="X342" s="1">
        <f t="shared" si="28"/>
        <v>0</v>
      </c>
      <c r="Y342" s="48">
        <v>0</v>
      </c>
      <c r="AA342" s="1">
        <v>7</v>
      </c>
      <c r="AB342" s="1" t="s">
        <v>15</v>
      </c>
      <c r="AC342" s="1" t="s">
        <v>21</v>
      </c>
      <c r="AD342" s="1">
        <v>13</v>
      </c>
      <c r="AE342" s="1">
        <v>10</v>
      </c>
      <c r="AF342" s="1">
        <v>0.76</v>
      </c>
      <c r="AG342" s="1">
        <v>0.84</v>
      </c>
      <c r="AH342" s="1">
        <v>0</v>
      </c>
      <c r="AI342" s="1">
        <v>0</v>
      </c>
      <c r="AJ342" s="1">
        <f t="shared" si="29"/>
        <v>0</v>
      </c>
      <c r="AK342" s="1">
        <f>D36</f>
        <v>0</v>
      </c>
      <c r="AL342" s="1">
        <f>D42</f>
        <v>0</v>
      </c>
      <c r="AM342" s="1">
        <f t="shared" si="30"/>
        <v>0</v>
      </c>
      <c r="AN342" s="1">
        <f t="shared" si="31"/>
        <v>0</v>
      </c>
      <c r="AO342" s="1">
        <f t="shared" si="32"/>
        <v>0</v>
      </c>
      <c r="AP342" t="b" cm="1">
        <f t="array" ref="AP342">INDEX($AU$8:$BB$25,6*(R342-1)+MATCH(AB342,$AS$8:$AS$13,0),MATCH(O342,$AU$7:$BB$7,0))</f>
        <v>1</v>
      </c>
    </row>
    <row r="343" spans="15:42" ht="14.25" x14ac:dyDescent="0.45">
      <c r="O343" s="43" t="s">
        <v>31</v>
      </c>
      <c r="P343" s="43">
        <v>2</v>
      </c>
      <c r="Q343" s="43">
        <v>15</v>
      </c>
      <c r="R343" s="43">
        <v>3</v>
      </c>
      <c r="S343" s="45"/>
      <c r="T343" t="b">
        <f>(S341+S342+S343)=P3</f>
        <v>0</v>
      </c>
      <c r="X343" s="1">
        <f t="shared" si="28"/>
        <v>0</v>
      </c>
      <c r="Y343" s="48">
        <v>0</v>
      </c>
      <c r="AA343" s="1">
        <v>7</v>
      </c>
      <c r="AB343" s="1" t="s">
        <v>15</v>
      </c>
      <c r="AC343" s="1" t="s">
        <v>21</v>
      </c>
      <c r="AD343" s="1">
        <v>13</v>
      </c>
      <c r="AE343" s="1">
        <v>10</v>
      </c>
      <c r="AF343" s="1">
        <v>0.76</v>
      </c>
      <c r="AG343" s="1">
        <v>0.84</v>
      </c>
      <c r="AH343" s="1">
        <v>0</v>
      </c>
      <c r="AI343" s="1">
        <v>0</v>
      </c>
      <c r="AJ343" s="1">
        <f t="shared" si="29"/>
        <v>0</v>
      </c>
      <c r="AK343" s="1">
        <f>E36</f>
        <v>0</v>
      </c>
      <c r="AL343" s="1">
        <f>E42</f>
        <v>0</v>
      </c>
      <c r="AM343" s="1">
        <f t="shared" si="30"/>
        <v>0</v>
      </c>
      <c r="AN343" s="1">
        <f t="shared" si="31"/>
        <v>0</v>
      </c>
      <c r="AO343" s="1">
        <f t="shared" si="32"/>
        <v>0</v>
      </c>
      <c r="AP343" t="b" cm="1">
        <f t="array" ref="AP343">INDEX($AU$8:$BB$25,6*(R343-1)+MATCH(AB343,$AS$8:$AS$13,0),MATCH(O343,$AU$7:$BB$7,0))</f>
        <v>1</v>
      </c>
    </row>
    <row r="344" spans="15:42" ht="14.25" x14ac:dyDescent="0.45">
      <c r="O344" s="43" t="s">
        <v>31</v>
      </c>
      <c r="P344" s="43">
        <v>3</v>
      </c>
      <c r="Q344" s="43">
        <v>1</v>
      </c>
      <c r="R344" s="43">
        <v>1</v>
      </c>
      <c r="S344" s="45"/>
      <c r="T344" t="b">
        <f>(S344+S345+S346)=P4</f>
        <v>0</v>
      </c>
      <c r="X344" s="1">
        <v>0</v>
      </c>
      <c r="Y344" s="48">
        <v>0</v>
      </c>
      <c r="AA344" s="1">
        <v>1</v>
      </c>
      <c r="AB344" s="1" t="s">
        <v>13</v>
      </c>
      <c r="AC344" s="1" t="s">
        <v>19</v>
      </c>
      <c r="AD344" s="1">
        <v>21</v>
      </c>
      <c r="AE344" s="1">
        <v>20</v>
      </c>
      <c r="AF344" s="1">
        <v>0.8</v>
      </c>
      <c r="AG344" s="1">
        <v>0.86</v>
      </c>
      <c r="AH344" s="1">
        <v>0</v>
      </c>
      <c r="AI344" s="1">
        <v>0</v>
      </c>
      <c r="AJ344" s="1">
        <f t="shared" si="29"/>
        <v>0</v>
      </c>
      <c r="AK344" s="1">
        <f>C34</f>
        <v>0</v>
      </c>
      <c r="AL344" s="1">
        <f>C40</f>
        <v>0</v>
      </c>
      <c r="AM344" s="1">
        <f t="shared" si="30"/>
        <v>0</v>
      </c>
      <c r="AN344" s="1">
        <f t="shared" si="31"/>
        <v>0</v>
      </c>
      <c r="AO344" s="1">
        <f t="shared" si="32"/>
        <v>0</v>
      </c>
      <c r="AP344" t="b" cm="1">
        <f t="array" ref="AP344">INDEX($AU$8:$BB$25,6*(R344-1)+MATCH(AB344,$AS$8:$AS$13,0),MATCH(O344,$AU$7:$BB$7,0))</f>
        <v>1</v>
      </c>
    </row>
    <row r="345" spans="15:42" ht="14.25" x14ac:dyDescent="0.45">
      <c r="O345" s="43" t="s">
        <v>31</v>
      </c>
      <c r="P345" s="43">
        <v>3</v>
      </c>
      <c r="Q345" s="43">
        <v>1</v>
      </c>
      <c r="R345" s="43">
        <v>2</v>
      </c>
      <c r="S345" s="45"/>
      <c r="T345" t="b">
        <f>(S344+S345+S346)=P4</f>
        <v>0</v>
      </c>
      <c r="X345" s="1">
        <v>0</v>
      </c>
      <c r="Y345" s="48">
        <v>0</v>
      </c>
      <c r="AA345" s="1">
        <v>1</v>
      </c>
      <c r="AB345" s="1" t="s">
        <v>13</v>
      </c>
      <c r="AC345" s="1" t="s">
        <v>19</v>
      </c>
      <c r="AD345" s="1">
        <v>21</v>
      </c>
      <c r="AE345" s="1">
        <v>20</v>
      </c>
      <c r="AF345" s="1">
        <v>0.8</v>
      </c>
      <c r="AG345" s="1">
        <v>0.86</v>
      </c>
      <c r="AH345" s="1">
        <v>0</v>
      </c>
      <c r="AI345" s="1">
        <v>0</v>
      </c>
      <c r="AJ345" s="1">
        <f t="shared" si="29"/>
        <v>0</v>
      </c>
      <c r="AK345" s="1">
        <f>D34</f>
        <v>0</v>
      </c>
      <c r="AL345" s="1">
        <f>D40</f>
        <v>0</v>
      </c>
      <c r="AM345" s="1">
        <f t="shared" si="30"/>
        <v>0</v>
      </c>
      <c r="AN345" s="1">
        <f t="shared" si="31"/>
        <v>0</v>
      </c>
      <c r="AO345" s="1">
        <f t="shared" si="32"/>
        <v>0</v>
      </c>
      <c r="AP345" t="b" cm="1">
        <f t="array" ref="AP345">INDEX($AU$8:$BB$25,6*(R345-1)+MATCH(AB345,$AS$8:$AS$13,0),MATCH(O345,$AU$7:$BB$7,0))</f>
        <v>1</v>
      </c>
    </row>
    <row r="346" spans="15:42" ht="14.25" x14ac:dyDescent="0.45">
      <c r="O346" s="43" t="s">
        <v>31</v>
      </c>
      <c r="P346" s="43">
        <v>3</v>
      </c>
      <c r="Q346" s="43">
        <v>1</v>
      </c>
      <c r="R346" s="43">
        <v>3</v>
      </c>
      <c r="S346" s="45"/>
      <c r="T346" t="b">
        <f>(S344+S345+S346)=P4</f>
        <v>0</v>
      </c>
      <c r="X346" s="1">
        <v>0</v>
      </c>
      <c r="Y346" s="48">
        <v>0</v>
      </c>
      <c r="AA346" s="1">
        <v>1</v>
      </c>
      <c r="AB346" s="1" t="s">
        <v>13</v>
      </c>
      <c r="AC346" s="1" t="s">
        <v>19</v>
      </c>
      <c r="AD346" s="1">
        <v>21</v>
      </c>
      <c r="AE346" s="1">
        <v>20</v>
      </c>
      <c r="AF346" s="1">
        <v>0.8</v>
      </c>
      <c r="AG346" s="1">
        <v>0.86</v>
      </c>
      <c r="AH346" s="1">
        <v>0</v>
      </c>
      <c r="AI346" s="1">
        <v>0</v>
      </c>
      <c r="AJ346" s="1">
        <f t="shared" si="29"/>
        <v>0</v>
      </c>
      <c r="AK346" s="1">
        <f>E34</f>
        <v>0</v>
      </c>
      <c r="AL346" s="1">
        <f>E40</f>
        <v>0</v>
      </c>
      <c r="AM346" s="1">
        <f t="shared" si="30"/>
        <v>0</v>
      </c>
      <c r="AN346" s="1">
        <f t="shared" si="31"/>
        <v>0</v>
      </c>
      <c r="AO346" s="1">
        <f t="shared" si="32"/>
        <v>0</v>
      </c>
      <c r="AP346" t="b" cm="1">
        <f t="array" ref="AP346">INDEX($AU$8:$BB$25,6*(R346-1)+MATCH(AB346,$AS$8:$AS$13,0),MATCH(O346,$AU$7:$BB$7,0))</f>
        <v>1</v>
      </c>
    </row>
    <row r="347" spans="15:42" ht="14.25" x14ac:dyDescent="0.45">
      <c r="O347" s="43" t="s">
        <v>31</v>
      </c>
      <c r="P347" s="43">
        <v>3</v>
      </c>
      <c r="Q347" s="43">
        <v>2</v>
      </c>
      <c r="R347" s="43">
        <v>1</v>
      </c>
      <c r="S347" s="45"/>
      <c r="T347" t="b">
        <f>(S347+S348+S349)=P4</f>
        <v>0</v>
      </c>
      <c r="X347" s="1">
        <f t="shared" ref="X347:X394" si="33">MAX(S344-S347,0)</f>
        <v>0</v>
      </c>
      <c r="Y347" s="48">
        <v>0</v>
      </c>
      <c r="AA347" s="1">
        <v>8</v>
      </c>
      <c r="AB347" s="1" t="s">
        <v>14</v>
      </c>
      <c r="AC347" s="1" t="s">
        <v>20</v>
      </c>
      <c r="AD347" s="1">
        <v>9</v>
      </c>
      <c r="AE347" s="1">
        <v>7</v>
      </c>
      <c r="AF347" s="1">
        <v>0.8</v>
      </c>
      <c r="AG347" s="1">
        <v>0.88</v>
      </c>
      <c r="AH347" s="1">
        <v>0</v>
      </c>
      <c r="AI347" s="1">
        <v>0</v>
      </c>
      <c r="AJ347" s="1">
        <f t="shared" si="29"/>
        <v>0</v>
      </c>
      <c r="AK347" s="1">
        <f>C35</f>
        <v>0</v>
      </c>
      <c r="AL347" s="1">
        <f>C41</f>
        <v>0</v>
      </c>
      <c r="AM347" s="1">
        <f t="shared" si="30"/>
        <v>0</v>
      </c>
      <c r="AN347" s="1">
        <f t="shared" si="31"/>
        <v>0</v>
      </c>
      <c r="AO347" s="1">
        <f t="shared" si="32"/>
        <v>0</v>
      </c>
      <c r="AP347" t="b" cm="1">
        <f t="array" ref="AP347">INDEX($AU$8:$BB$25,6*(R347-1)+MATCH(AB347,$AS$8:$AS$13,0),MATCH(O347,$AU$7:$BB$7,0))</f>
        <v>1</v>
      </c>
    </row>
    <row r="348" spans="15:42" ht="14.25" x14ac:dyDescent="0.45">
      <c r="O348" s="43" t="s">
        <v>31</v>
      </c>
      <c r="P348" s="43">
        <v>3</v>
      </c>
      <c r="Q348" s="43">
        <v>2</v>
      </c>
      <c r="R348" s="43">
        <v>2</v>
      </c>
      <c r="S348" s="45"/>
      <c r="T348" t="b">
        <f>(S347+S348+S349)=P4</f>
        <v>0</v>
      </c>
      <c r="X348" s="1">
        <f t="shared" si="33"/>
        <v>0</v>
      </c>
      <c r="Y348" s="48">
        <v>0</v>
      </c>
      <c r="AA348" s="1">
        <v>8</v>
      </c>
      <c r="AB348" s="1" t="s">
        <v>14</v>
      </c>
      <c r="AC348" s="1" t="s">
        <v>20</v>
      </c>
      <c r="AD348" s="1">
        <v>9</v>
      </c>
      <c r="AE348" s="1">
        <v>7</v>
      </c>
      <c r="AF348" s="1">
        <v>0.8</v>
      </c>
      <c r="AG348" s="1">
        <v>0.88</v>
      </c>
      <c r="AH348" s="1">
        <v>0</v>
      </c>
      <c r="AI348" s="1">
        <v>0</v>
      </c>
      <c r="AJ348" s="1">
        <f t="shared" si="29"/>
        <v>0</v>
      </c>
      <c r="AK348" s="1">
        <f>D35</f>
        <v>0</v>
      </c>
      <c r="AL348" s="1">
        <f>D41</f>
        <v>0</v>
      </c>
      <c r="AM348" s="1">
        <f t="shared" si="30"/>
        <v>0</v>
      </c>
      <c r="AN348" s="1">
        <f t="shared" si="31"/>
        <v>0</v>
      </c>
      <c r="AO348" s="1">
        <f t="shared" si="32"/>
        <v>0</v>
      </c>
      <c r="AP348" t="b" cm="1">
        <f t="array" ref="AP348">INDEX($AU$8:$BB$25,6*(R348-1)+MATCH(AB348,$AS$8:$AS$13,0),MATCH(O348,$AU$7:$BB$7,0))</f>
        <v>1</v>
      </c>
    </row>
    <row r="349" spans="15:42" ht="14.25" x14ac:dyDescent="0.45">
      <c r="O349" s="43" t="s">
        <v>31</v>
      </c>
      <c r="P349" s="43">
        <v>3</v>
      </c>
      <c r="Q349" s="43">
        <v>2</v>
      </c>
      <c r="R349" s="43">
        <v>3</v>
      </c>
      <c r="S349" s="45"/>
      <c r="T349" t="b">
        <f>(S347+S348+S349)=P4</f>
        <v>0</v>
      </c>
      <c r="X349" s="1">
        <f t="shared" si="33"/>
        <v>0</v>
      </c>
      <c r="Y349" s="48">
        <v>0</v>
      </c>
      <c r="AA349" s="1">
        <v>8</v>
      </c>
      <c r="AB349" s="1" t="s">
        <v>14</v>
      </c>
      <c r="AC349" s="1" t="s">
        <v>20</v>
      </c>
      <c r="AD349" s="1">
        <v>9</v>
      </c>
      <c r="AE349" s="1">
        <v>7</v>
      </c>
      <c r="AF349" s="1">
        <v>0.8</v>
      </c>
      <c r="AG349" s="1">
        <v>0.88</v>
      </c>
      <c r="AH349" s="1">
        <v>0</v>
      </c>
      <c r="AI349" s="1">
        <v>0</v>
      </c>
      <c r="AJ349" s="1">
        <f t="shared" si="29"/>
        <v>0</v>
      </c>
      <c r="AK349" s="1">
        <f>E35</f>
        <v>0</v>
      </c>
      <c r="AL349" s="1">
        <f>E41</f>
        <v>0</v>
      </c>
      <c r="AM349" s="1">
        <f t="shared" si="30"/>
        <v>0</v>
      </c>
      <c r="AN349" s="1">
        <f t="shared" si="31"/>
        <v>0</v>
      </c>
      <c r="AO349" s="1">
        <f t="shared" si="32"/>
        <v>0</v>
      </c>
      <c r="AP349" t="b" cm="1">
        <f t="array" ref="AP349">INDEX($AU$8:$BB$25,6*(R349-1)+MATCH(AB349,$AS$8:$AS$13,0),MATCH(O349,$AU$7:$BB$7,0))</f>
        <v>1</v>
      </c>
    </row>
    <row r="350" spans="15:42" ht="14.25" x14ac:dyDescent="0.45">
      <c r="O350" s="43" t="s">
        <v>31</v>
      </c>
      <c r="P350" s="43">
        <v>3</v>
      </c>
      <c r="Q350" s="43">
        <v>3</v>
      </c>
      <c r="R350" s="43">
        <v>1</v>
      </c>
      <c r="S350" s="45"/>
      <c r="T350" t="b">
        <f>(S350+S351+S352)=P4</f>
        <v>0</v>
      </c>
      <c r="X350" s="1">
        <f t="shared" si="33"/>
        <v>0</v>
      </c>
      <c r="Y350" s="48">
        <v>0</v>
      </c>
      <c r="AA350" s="1">
        <v>1</v>
      </c>
      <c r="AB350" s="1" t="s">
        <v>15</v>
      </c>
      <c r="AC350" s="1" t="s">
        <v>21</v>
      </c>
      <c r="AD350" s="1">
        <v>24</v>
      </c>
      <c r="AE350" s="1">
        <v>23</v>
      </c>
      <c r="AF350" s="1">
        <v>0.76</v>
      </c>
      <c r="AG350" s="1">
        <v>0.84</v>
      </c>
      <c r="AH350" s="1">
        <v>0</v>
      </c>
      <c r="AI350" s="1">
        <v>0</v>
      </c>
      <c r="AJ350" s="1">
        <f t="shared" si="29"/>
        <v>0</v>
      </c>
      <c r="AK350" s="1">
        <f>C36</f>
        <v>0</v>
      </c>
      <c r="AL350" s="1">
        <f>C42</f>
        <v>0</v>
      </c>
      <c r="AM350" s="1">
        <f t="shared" si="30"/>
        <v>0</v>
      </c>
      <c r="AN350" s="1">
        <f t="shared" si="31"/>
        <v>0</v>
      </c>
      <c r="AO350" s="1">
        <f t="shared" si="32"/>
        <v>0</v>
      </c>
      <c r="AP350" t="b" cm="1">
        <f t="array" ref="AP350">INDEX($AU$8:$BB$25,6*(R350-1)+MATCH(AB350,$AS$8:$AS$13,0),MATCH(O350,$AU$7:$BB$7,0))</f>
        <v>1</v>
      </c>
    </row>
    <row r="351" spans="15:42" ht="14.25" x14ac:dyDescent="0.45">
      <c r="O351" s="43" t="s">
        <v>31</v>
      </c>
      <c r="P351" s="43">
        <v>3</v>
      </c>
      <c r="Q351" s="43">
        <v>3</v>
      </c>
      <c r="R351" s="43">
        <v>2</v>
      </c>
      <c r="S351" s="45"/>
      <c r="T351" t="b">
        <f>(S350+S351+S352)=P4</f>
        <v>0</v>
      </c>
      <c r="X351" s="1">
        <f t="shared" si="33"/>
        <v>0</v>
      </c>
      <c r="Y351" s="48">
        <v>0</v>
      </c>
      <c r="AA351" s="1">
        <v>1</v>
      </c>
      <c r="AB351" s="1" t="s">
        <v>15</v>
      </c>
      <c r="AC351" s="1" t="s">
        <v>21</v>
      </c>
      <c r="AD351" s="1">
        <v>24</v>
      </c>
      <c r="AE351" s="1">
        <v>23</v>
      </c>
      <c r="AF351" s="1">
        <v>0.76</v>
      </c>
      <c r="AG351" s="1">
        <v>0.84</v>
      </c>
      <c r="AH351" s="1">
        <v>0</v>
      </c>
      <c r="AI351" s="1">
        <v>0</v>
      </c>
      <c r="AJ351" s="1">
        <f t="shared" si="29"/>
        <v>0</v>
      </c>
      <c r="AK351" s="1">
        <f>D36</f>
        <v>0</v>
      </c>
      <c r="AL351" s="1">
        <f>D42</f>
        <v>0</v>
      </c>
      <c r="AM351" s="1">
        <f t="shared" si="30"/>
        <v>0</v>
      </c>
      <c r="AN351" s="1">
        <f t="shared" si="31"/>
        <v>0</v>
      </c>
      <c r="AO351" s="1">
        <f t="shared" si="32"/>
        <v>0</v>
      </c>
      <c r="AP351" t="b" cm="1">
        <f t="array" ref="AP351">INDEX($AU$8:$BB$25,6*(R351-1)+MATCH(AB351,$AS$8:$AS$13,0),MATCH(O351,$AU$7:$BB$7,0))</f>
        <v>1</v>
      </c>
    </row>
    <row r="352" spans="15:42" ht="14.25" x14ac:dyDescent="0.45">
      <c r="O352" s="43" t="s">
        <v>31</v>
      </c>
      <c r="P352" s="43">
        <v>3</v>
      </c>
      <c r="Q352" s="43">
        <v>3</v>
      </c>
      <c r="R352" s="43">
        <v>3</v>
      </c>
      <c r="S352" s="45"/>
      <c r="T352" t="b">
        <f>(S350+S351+S352)=P4</f>
        <v>0</v>
      </c>
      <c r="X352" s="1">
        <f t="shared" si="33"/>
        <v>0</v>
      </c>
      <c r="Y352" s="48">
        <v>0</v>
      </c>
      <c r="AA352" s="1">
        <v>1</v>
      </c>
      <c r="AB352" s="1" t="s">
        <v>15</v>
      </c>
      <c r="AC352" s="1" t="s">
        <v>21</v>
      </c>
      <c r="AD352" s="1">
        <v>24</v>
      </c>
      <c r="AE352" s="1">
        <v>23</v>
      </c>
      <c r="AF352" s="1">
        <v>0.76</v>
      </c>
      <c r="AG352" s="1">
        <v>0.84</v>
      </c>
      <c r="AH352" s="1">
        <v>0</v>
      </c>
      <c r="AI352" s="1">
        <v>0</v>
      </c>
      <c r="AJ352" s="1">
        <f t="shared" si="29"/>
        <v>0</v>
      </c>
      <c r="AK352" s="1">
        <f>E36</f>
        <v>0</v>
      </c>
      <c r="AL352" s="1">
        <f>E42</f>
        <v>0</v>
      </c>
      <c r="AM352" s="1">
        <f t="shared" si="30"/>
        <v>0</v>
      </c>
      <c r="AN352" s="1">
        <f t="shared" si="31"/>
        <v>0</v>
      </c>
      <c r="AO352" s="1">
        <f t="shared" si="32"/>
        <v>0</v>
      </c>
      <c r="AP352" t="b" cm="1">
        <f t="array" ref="AP352">INDEX($AU$8:$BB$25,6*(R352-1)+MATCH(AB352,$AS$8:$AS$13,0),MATCH(O352,$AU$7:$BB$7,0))</f>
        <v>1</v>
      </c>
    </row>
    <row r="353" spans="15:42" ht="14.25" x14ac:dyDescent="0.45">
      <c r="O353" s="43" t="s">
        <v>31</v>
      </c>
      <c r="P353" s="43">
        <v>3</v>
      </c>
      <c r="Q353" s="43">
        <v>4</v>
      </c>
      <c r="R353" s="43">
        <v>1</v>
      </c>
      <c r="S353" s="45"/>
      <c r="T353" t="b">
        <f>(S353+S354+S355)=P4</f>
        <v>0</v>
      </c>
      <c r="X353" s="1">
        <f t="shared" si="33"/>
        <v>0</v>
      </c>
      <c r="Y353" s="48">
        <v>0</v>
      </c>
      <c r="AA353" s="1">
        <v>9</v>
      </c>
      <c r="AB353" s="1" t="s">
        <v>15</v>
      </c>
      <c r="AC353" s="1" t="s">
        <v>21</v>
      </c>
      <c r="AD353" s="1">
        <v>15</v>
      </c>
      <c r="AE353" s="1">
        <v>11</v>
      </c>
      <c r="AF353" s="1">
        <v>0.76</v>
      </c>
      <c r="AG353" s="1">
        <v>0.84</v>
      </c>
      <c r="AH353" s="1">
        <v>0</v>
      </c>
      <c r="AI353" s="1">
        <v>0</v>
      </c>
      <c r="AJ353" s="1">
        <f t="shared" si="29"/>
        <v>0</v>
      </c>
      <c r="AK353" s="1">
        <f>C36</f>
        <v>0</v>
      </c>
      <c r="AL353" s="1">
        <f>C42</f>
        <v>0</v>
      </c>
      <c r="AM353" s="1">
        <f t="shared" si="30"/>
        <v>0</v>
      </c>
      <c r="AN353" s="1">
        <f t="shared" si="31"/>
        <v>0</v>
      </c>
      <c r="AO353" s="1">
        <f t="shared" si="32"/>
        <v>0</v>
      </c>
      <c r="AP353" t="b" cm="1">
        <f t="array" ref="AP353">INDEX($AU$8:$BB$25,6*(R353-1)+MATCH(AB353,$AS$8:$AS$13,0),MATCH(O353,$AU$7:$BB$7,0))</f>
        <v>1</v>
      </c>
    </row>
    <row r="354" spans="15:42" ht="14.25" x14ac:dyDescent="0.45">
      <c r="O354" s="43" t="s">
        <v>31</v>
      </c>
      <c r="P354" s="43">
        <v>3</v>
      </c>
      <c r="Q354" s="43">
        <v>4</v>
      </c>
      <c r="R354" s="43">
        <v>2</v>
      </c>
      <c r="S354" s="45"/>
      <c r="T354" t="b">
        <f>(S353+S354+S355)=P4</f>
        <v>0</v>
      </c>
      <c r="X354" s="1">
        <f t="shared" si="33"/>
        <v>0</v>
      </c>
      <c r="Y354" s="48">
        <v>0</v>
      </c>
      <c r="AA354" s="1">
        <v>9</v>
      </c>
      <c r="AB354" s="1" t="s">
        <v>15</v>
      </c>
      <c r="AC354" s="1" t="s">
        <v>21</v>
      </c>
      <c r="AD354" s="1">
        <v>15</v>
      </c>
      <c r="AE354" s="1">
        <v>11</v>
      </c>
      <c r="AF354" s="1">
        <v>0.76</v>
      </c>
      <c r="AG354" s="1">
        <v>0.84</v>
      </c>
      <c r="AH354" s="1">
        <v>0</v>
      </c>
      <c r="AI354" s="1">
        <v>0</v>
      </c>
      <c r="AJ354" s="1">
        <f t="shared" si="29"/>
        <v>0</v>
      </c>
      <c r="AK354" s="1">
        <f>D36</f>
        <v>0</v>
      </c>
      <c r="AL354" s="1">
        <f>D42</f>
        <v>0</v>
      </c>
      <c r="AM354" s="1">
        <f t="shared" si="30"/>
        <v>0</v>
      </c>
      <c r="AN354" s="1">
        <f t="shared" si="31"/>
        <v>0</v>
      </c>
      <c r="AO354" s="1">
        <f t="shared" si="32"/>
        <v>0</v>
      </c>
      <c r="AP354" t="b" cm="1">
        <f t="array" ref="AP354">INDEX($AU$8:$BB$25,6*(R354-1)+MATCH(AB354,$AS$8:$AS$13,0),MATCH(O354,$AU$7:$BB$7,0))</f>
        <v>1</v>
      </c>
    </row>
    <row r="355" spans="15:42" ht="14.25" x14ac:dyDescent="0.45">
      <c r="O355" s="43" t="s">
        <v>31</v>
      </c>
      <c r="P355" s="43">
        <v>3</v>
      </c>
      <c r="Q355" s="43">
        <v>4</v>
      </c>
      <c r="R355" s="43">
        <v>3</v>
      </c>
      <c r="S355" s="45"/>
      <c r="T355" t="b">
        <f>(S353+S354+S355)=P4</f>
        <v>0</v>
      </c>
      <c r="X355" s="1">
        <f t="shared" si="33"/>
        <v>0</v>
      </c>
      <c r="Y355" s="48">
        <v>0</v>
      </c>
      <c r="AA355" s="1">
        <v>9</v>
      </c>
      <c r="AB355" s="1" t="s">
        <v>15</v>
      </c>
      <c r="AC355" s="1" t="s">
        <v>21</v>
      </c>
      <c r="AD355" s="1">
        <v>15</v>
      </c>
      <c r="AE355" s="1">
        <v>11</v>
      </c>
      <c r="AF355" s="1">
        <v>0.76</v>
      </c>
      <c r="AG355" s="1">
        <v>0.84</v>
      </c>
      <c r="AH355" s="1">
        <v>0</v>
      </c>
      <c r="AI355" s="1">
        <v>0</v>
      </c>
      <c r="AJ355" s="1">
        <f t="shared" si="29"/>
        <v>0</v>
      </c>
      <c r="AK355" s="1">
        <f>E36</f>
        <v>0</v>
      </c>
      <c r="AL355" s="1">
        <f>E42</f>
        <v>0</v>
      </c>
      <c r="AM355" s="1">
        <f t="shared" si="30"/>
        <v>0</v>
      </c>
      <c r="AN355" s="1">
        <f t="shared" si="31"/>
        <v>0</v>
      </c>
      <c r="AO355" s="1">
        <f t="shared" si="32"/>
        <v>0</v>
      </c>
      <c r="AP355" t="b" cm="1">
        <f t="array" ref="AP355">INDEX($AU$8:$BB$25,6*(R355-1)+MATCH(AB355,$AS$8:$AS$13,0),MATCH(O355,$AU$7:$BB$7,0))</f>
        <v>1</v>
      </c>
    </row>
    <row r="356" spans="15:42" ht="14.25" x14ac:dyDescent="0.45">
      <c r="O356" s="43" t="s">
        <v>31</v>
      </c>
      <c r="P356" s="43">
        <v>3</v>
      </c>
      <c r="Q356" s="43">
        <v>5</v>
      </c>
      <c r="R356" s="43">
        <v>1</v>
      </c>
      <c r="S356" s="45"/>
      <c r="T356" t="b">
        <f>(S356+S357+S358)=P4</f>
        <v>0</v>
      </c>
      <c r="X356" s="1">
        <f t="shared" si="33"/>
        <v>0</v>
      </c>
      <c r="Y356" s="48">
        <v>0</v>
      </c>
      <c r="AA356" s="1">
        <v>6</v>
      </c>
      <c r="AB356" s="1" t="s">
        <v>16</v>
      </c>
      <c r="AC356" s="1" t="s">
        <v>22</v>
      </c>
      <c r="AD356" s="1">
        <v>16</v>
      </c>
      <c r="AE356" s="1">
        <v>14</v>
      </c>
      <c r="AF356" s="1">
        <v>0.8</v>
      </c>
      <c r="AG356" s="1">
        <v>0.9</v>
      </c>
      <c r="AH356" s="1">
        <v>0</v>
      </c>
      <c r="AI356" s="1">
        <v>0</v>
      </c>
      <c r="AJ356" s="1">
        <f t="shared" si="29"/>
        <v>0</v>
      </c>
      <c r="AK356" s="1">
        <f>C37</f>
        <v>0</v>
      </c>
      <c r="AL356" s="1">
        <f>C43</f>
        <v>0</v>
      </c>
      <c r="AM356" s="1">
        <f t="shared" si="30"/>
        <v>0</v>
      </c>
      <c r="AN356" s="1">
        <f t="shared" si="31"/>
        <v>0</v>
      </c>
      <c r="AO356" s="1">
        <f t="shared" si="32"/>
        <v>0</v>
      </c>
      <c r="AP356" t="b" cm="1">
        <f t="array" ref="AP356">INDEX($AU$8:$BB$25,6*(R356-1)+MATCH(AB356,$AS$8:$AS$13,0),MATCH(O356,$AU$7:$BB$7,0))</f>
        <v>1</v>
      </c>
    </row>
    <row r="357" spans="15:42" ht="14.25" x14ac:dyDescent="0.45">
      <c r="O357" s="43" t="s">
        <v>31</v>
      </c>
      <c r="P357" s="43">
        <v>3</v>
      </c>
      <c r="Q357" s="43">
        <v>5</v>
      </c>
      <c r="R357" s="43">
        <v>2</v>
      </c>
      <c r="S357" s="45"/>
      <c r="T357" t="b">
        <f>(S356+S357+S358)=P4</f>
        <v>0</v>
      </c>
      <c r="X357" s="1">
        <f t="shared" si="33"/>
        <v>0</v>
      </c>
      <c r="Y357" s="48">
        <v>0</v>
      </c>
      <c r="AA357" s="1">
        <v>6</v>
      </c>
      <c r="AB357" s="1" t="s">
        <v>16</v>
      </c>
      <c r="AC357" s="1" t="s">
        <v>22</v>
      </c>
      <c r="AD357" s="1">
        <v>16</v>
      </c>
      <c r="AE357" s="1">
        <v>14</v>
      </c>
      <c r="AF357" s="1">
        <v>0.8</v>
      </c>
      <c r="AG357" s="1">
        <v>0.9</v>
      </c>
      <c r="AH357" s="1">
        <v>0</v>
      </c>
      <c r="AI357" s="1">
        <v>0</v>
      </c>
      <c r="AJ357" s="1">
        <f t="shared" si="29"/>
        <v>0</v>
      </c>
      <c r="AK357" s="1">
        <f>D37</f>
        <v>0</v>
      </c>
      <c r="AL357" s="1">
        <f>D43</f>
        <v>0</v>
      </c>
      <c r="AM357" s="1">
        <f t="shared" si="30"/>
        <v>0</v>
      </c>
      <c r="AN357" s="1">
        <f t="shared" si="31"/>
        <v>0</v>
      </c>
      <c r="AO357" s="1">
        <f t="shared" si="32"/>
        <v>0</v>
      </c>
      <c r="AP357" t="b" cm="1">
        <f t="array" ref="AP357">INDEX($AU$8:$BB$25,6*(R357-1)+MATCH(AB357,$AS$8:$AS$13,0),MATCH(O357,$AU$7:$BB$7,0))</f>
        <v>1</v>
      </c>
    </row>
    <row r="358" spans="15:42" ht="14.25" x14ac:dyDescent="0.45">
      <c r="O358" s="43" t="s">
        <v>31</v>
      </c>
      <c r="P358" s="43">
        <v>3</v>
      </c>
      <c r="Q358" s="43">
        <v>5</v>
      </c>
      <c r="R358" s="43">
        <v>3</v>
      </c>
      <c r="S358" s="45"/>
      <c r="T358" t="b">
        <f>(S356+S357+S358)=P4</f>
        <v>0</v>
      </c>
      <c r="X358" s="1">
        <f t="shared" si="33"/>
        <v>0</v>
      </c>
      <c r="Y358" s="48">
        <v>0</v>
      </c>
      <c r="AA358" s="1">
        <v>6</v>
      </c>
      <c r="AB358" s="1" t="s">
        <v>16</v>
      </c>
      <c r="AC358" s="1" t="s">
        <v>22</v>
      </c>
      <c r="AD358" s="1">
        <v>16</v>
      </c>
      <c r="AE358" s="1">
        <v>14</v>
      </c>
      <c r="AF358" s="1">
        <v>0.8</v>
      </c>
      <c r="AG358" s="1">
        <v>0.9</v>
      </c>
      <c r="AH358" s="1">
        <v>0</v>
      </c>
      <c r="AI358" s="1">
        <v>0</v>
      </c>
      <c r="AJ358" s="1">
        <f t="shared" si="29"/>
        <v>0</v>
      </c>
      <c r="AK358" s="1">
        <f>E37</f>
        <v>0</v>
      </c>
      <c r="AL358" s="1">
        <f>E43</f>
        <v>0</v>
      </c>
      <c r="AM358" s="1">
        <f t="shared" si="30"/>
        <v>0</v>
      </c>
      <c r="AN358" s="1">
        <f t="shared" si="31"/>
        <v>0</v>
      </c>
      <c r="AO358" s="1">
        <f t="shared" si="32"/>
        <v>0</v>
      </c>
      <c r="AP358" t="b" cm="1">
        <f t="array" ref="AP358">INDEX($AU$8:$BB$25,6*(R358-1)+MATCH(AB358,$AS$8:$AS$13,0),MATCH(O358,$AU$7:$BB$7,0))</f>
        <v>1</v>
      </c>
    </row>
    <row r="359" spans="15:42" ht="14.25" x14ac:dyDescent="0.45">
      <c r="O359" s="43" t="s">
        <v>31</v>
      </c>
      <c r="P359" s="43">
        <v>3</v>
      </c>
      <c r="Q359" s="43">
        <v>6</v>
      </c>
      <c r="R359" s="43">
        <v>1</v>
      </c>
      <c r="S359" s="45"/>
      <c r="T359" t="b">
        <f>(S359+S360+S361)=P4</f>
        <v>0</v>
      </c>
      <c r="X359" s="1">
        <f t="shared" si="33"/>
        <v>0</v>
      </c>
      <c r="Y359" s="48">
        <v>0</v>
      </c>
      <c r="AA359" s="1">
        <v>1</v>
      </c>
      <c r="AB359" s="1" t="s">
        <v>14</v>
      </c>
      <c r="AC359" s="1" t="s">
        <v>20</v>
      </c>
      <c r="AD359" s="1">
        <v>12</v>
      </c>
      <c r="AE359" s="1">
        <v>11</v>
      </c>
      <c r="AF359" s="1">
        <v>0.8</v>
      </c>
      <c r="AG359" s="1">
        <v>0.88</v>
      </c>
      <c r="AH359" s="1">
        <v>0</v>
      </c>
      <c r="AI359" s="1">
        <v>0</v>
      </c>
      <c r="AJ359" s="1">
        <f t="shared" si="29"/>
        <v>0</v>
      </c>
      <c r="AK359" s="1">
        <f>C35</f>
        <v>0</v>
      </c>
      <c r="AL359" s="1">
        <f>C41</f>
        <v>0</v>
      </c>
      <c r="AM359" s="1">
        <f t="shared" si="30"/>
        <v>0</v>
      </c>
      <c r="AN359" s="1">
        <f t="shared" si="31"/>
        <v>0</v>
      </c>
      <c r="AO359" s="1">
        <f t="shared" si="32"/>
        <v>0</v>
      </c>
      <c r="AP359" t="b" cm="1">
        <f t="array" ref="AP359">INDEX($AU$8:$BB$25,6*(R359-1)+MATCH(AB359,$AS$8:$AS$13,0),MATCH(O359,$AU$7:$BB$7,0))</f>
        <v>1</v>
      </c>
    </row>
    <row r="360" spans="15:42" ht="14.25" x14ac:dyDescent="0.45">
      <c r="O360" s="43" t="s">
        <v>31</v>
      </c>
      <c r="P360" s="43">
        <v>3</v>
      </c>
      <c r="Q360" s="43">
        <v>6</v>
      </c>
      <c r="R360" s="43">
        <v>2</v>
      </c>
      <c r="S360" s="45"/>
      <c r="T360" t="b">
        <f>(S359+S360+S361)=P4</f>
        <v>0</v>
      </c>
      <c r="X360" s="1">
        <f t="shared" si="33"/>
        <v>0</v>
      </c>
      <c r="Y360" s="48">
        <v>0</v>
      </c>
      <c r="AA360" s="1">
        <v>1</v>
      </c>
      <c r="AB360" s="1" t="s">
        <v>14</v>
      </c>
      <c r="AC360" s="1" t="s">
        <v>20</v>
      </c>
      <c r="AD360" s="1">
        <v>12</v>
      </c>
      <c r="AE360" s="1">
        <v>11</v>
      </c>
      <c r="AF360" s="1">
        <v>0.8</v>
      </c>
      <c r="AG360" s="1">
        <v>0.88</v>
      </c>
      <c r="AH360" s="1">
        <v>0</v>
      </c>
      <c r="AI360" s="1">
        <v>0</v>
      </c>
      <c r="AJ360" s="1">
        <f t="shared" si="29"/>
        <v>0</v>
      </c>
      <c r="AK360" s="1">
        <f>D35</f>
        <v>0</v>
      </c>
      <c r="AL360" s="1">
        <f>D41</f>
        <v>0</v>
      </c>
      <c r="AM360" s="1">
        <f t="shared" si="30"/>
        <v>0</v>
      </c>
      <c r="AN360" s="1">
        <f t="shared" si="31"/>
        <v>0</v>
      </c>
      <c r="AO360" s="1">
        <f t="shared" si="32"/>
        <v>0</v>
      </c>
      <c r="AP360" t="b" cm="1">
        <f t="array" ref="AP360">INDEX($AU$8:$BB$25,6*(R360-1)+MATCH(AB360,$AS$8:$AS$13,0),MATCH(O360,$AU$7:$BB$7,0))</f>
        <v>1</v>
      </c>
    </row>
    <row r="361" spans="15:42" ht="14.25" x14ac:dyDescent="0.45">
      <c r="O361" s="43" t="s">
        <v>31</v>
      </c>
      <c r="P361" s="43">
        <v>3</v>
      </c>
      <c r="Q361" s="43">
        <v>6</v>
      </c>
      <c r="R361" s="43">
        <v>3</v>
      </c>
      <c r="S361" s="45"/>
      <c r="T361" t="b">
        <f>(S359+S360+S361)=P4</f>
        <v>0</v>
      </c>
      <c r="X361" s="1">
        <f t="shared" si="33"/>
        <v>0</v>
      </c>
      <c r="Y361" s="48">
        <v>0</v>
      </c>
      <c r="AA361" s="1">
        <v>1</v>
      </c>
      <c r="AB361" s="1" t="s">
        <v>14</v>
      </c>
      <c r="AC361" s="1" t="s">
        <v>20</v>
      </c>
      <c r="AD361" s="1">
        <v>12</v>
      </c>
      <c r="AE361" s="1">
        <v>11</v>
      </c>
      <c r="AF361" s="1">
        <v>0.8</v>
      </c>
      <c r="AG361" s="1">
        <v>0.88</v>
      </c>
      <c r="AH361" s="1">
        <v>0</v>
      </c>
      <c r="AI361" s="1">
        <v>0</v>
      </c>
      <c r="AJ361" s="1">
        <f t="shared" si="29"/>
        <v>0</v>
      </c>
      <c r="AK361" s="1">
        <f>E35</f>
        <v>0</v>
      </c>
      <c r="AL361" s="1">
        <f>E41</f>
        <v>0</v>
      </c>
      <c r="AM361" s="1">
        <f t="shared" si="30"/>
        <v>0</v>
      </c>
      <c r="AN361" s="1">
        <f t="shared" si="31"/>
        <v>0</v>
      </c>
      <c r="AO361" s="1">
        <f t="shared" si="32"/>
        <v>0</v>
      </c>
      <c r="AP361" t="b" cm="1">
        <f t="array" ref="AP361">INDEX($AU$8:$BB$25,6*(R361-1)+MATCH(AB361,$AS$8:$AS$13,0),MATCH(O361,$AU$7:$BB$7,0))</f>
        <v>1</v>
      </c>
    </row>
    <row r="362" spans="15:42" ht="14.25" x14ac:dyDescent="0.45">
      <c r="O362" s="43" t="s">
        <v>31</v>
      </c>
      <c r="P362" s="43">
        <v>3</v>
      </c>
      <c r="Q362" s="43">
        <v>7</v>
      </c>
      <c r="R362" s="43">
        <v>1</v>
      </c>
      <c r="S362" s="45"/>
      <c r="T362" t="b">
        <f>(S362+S363+S364)=P4</f>
        <v>0</v>
      </c>
      <c r="X362" s="1">
        <f t="shared" si="33"/>
        <v>0</v>
      </c>
      <c r="Y362" s="48">
        <v>0</v>
      </c>
      <c r="AA362" s="1">
        <v>3</v>
      </c>
      <c r="AB362" s="1" t="s">
        <v>13</v>
      </c>
      <c r="AC362" s="1" t="s">
        <v>19</v>
      </c>
      <c r="AD362" s="1">
        <v>24</v>
      </c>
      <c r="AE362" s="1">
        <v>21</v>
      </c>
      <c r="AF362" s="1">
        <v>0.8</v>
      </c>
      <c r="AG362" s="1">
        <v>0.86</v>
      </c>
      <c r="AH362" s="1">
        <v>0</v>
      </c>
      <c r="AI362" s="1">
        <v>0</v>
      </c>
      <c r="AJ362" s="1">
        <f t="shared" si="29"/>
        <v>0</v>
      </c>
      <c r="AK362" s="1">
        <f>C34</f>
        <v>0</v>
      </c>
      <c r="AL362" s="1">
        <f>C40</f>
        <v>0</v>
      </c>
      <c r="AM362" s="1">
        <f t="shared" si="30"/>
        <v>0</v>
      </c>
      <c r="AN362" s="1">
        <f t="shared" si="31"/>
        <v>0</v>
      </c>
      <c r="AO362" s="1">
        <f t="shared" si="32"/>
        <v>0</v>
      </c>
      <c r="AP362" t="b" cm="1">
        <f t="array" ref="AP362">INDEX($AU$8:$BB$25,6*(R362-1)+MATCH(AB362,$AS$8:$AS$13,0),MATCH(O362,$AU$7:$BB$7,0))</f>
        <v>1</v>
      </c>
    </row>
    <row r="363" spans="15:42" ht="14.25" x14ac:dyDescent="0.45">
      <c r="O363" s="43" t="s">
        <v>31</v>
      </c>
      <c r="P363" s="43">
        <v>3</v>
      </c>
      <c r="Q363" s="43">
        <v>7</v>
      </c>
      <c r="R363" s="43">
        <v>2</v>
      </c>
      <c r="S363" s="45"/>
      <c r="T363" t="b">
        <f>(S362+S363+S364)=P4</f>
        <v>0</v>
      </c>
      <c r="X363" s="1">
        <f t="shared" si="33"/>
        <v>0</v>
      </c>
      <c r="Y363" s="48">
        <v>0</v>
      </c>
      <c r="AA363" s="1">
        <v>3</v>
      </c>
      <c r="AB363" s="1" t="s">
        <v>13</v>
      </c>
      <c r="AC363" s="1" t="s">
        <v>19</v>
      </c>
      <c r="AD363" s="1">
        <v>24</v>
      </c>
      <c r="AE363" s="1">
        <v>21</v>
      </c>
      <c r="AF363" s="1">
        <v>0.8</v>
      </c>
      <c r="AG363" s="1">
        <v>0.86</v>
      </c>
      <c r="AH363" s="1">
        <v>0</v>
      </c>
      <c r="AI363" s="1">
        <v>0</v>
      </c>
      <c r="AJ363" s="1">
        <f t="shared" si="29"/>
        <v>0</v>
      </c>
      <c r="AK363" s="1">
        <f>D34</f>
        <v>0</v>
      </c>
      <c r="AL363" s="1">
        <f>D40</f>
        <v>0</v>
      </c>
      <c r="AM363" s="1">
        <f t="shared" si="30"/>
        <v>0</v>
      </c>
      <c r="AN363" s="1">
        <f t="shared" si="31"/>
        <v>0</v>
      </c>
      <c r="AO363" s="1">
        <f t="shared" si="32"/>
        <v>0</v>
      </c>
      <c r="AP363" t="b" cm="1">
        <f t="array" ref="AP363">INDEX($AU$8:$BB$25,6*(R363-1)+MATCH(AB363,$AS$8:$AS$13,0),MATCH(O363,$AU$7:$BB$7,0))</f>
        <v>1</v>
      </c>
    </row>
    <row r="364" spans="15:42" ht="14.25" x14ac:dyDescent="0.45">
      <c r="O364" s="43" t="s">
        <v>31</v>
      </c>
      <c r="P364" s="43">
        <v>3</v>
      </c>
      <c r="Q364" s="43">
        <v>7</v>
      </c>
      <c r="R364" s="43">
        <v>3</v>
      </c>
      <c r="S364" s="45"/>
      <c r="T364" t="b">
        <f>(S362+S363+S364)=P4</f>
        <v>0</v>
      </c>
      <c r="X364" s="1">
        <f t="shared" si="33"/>
        <v>0</v>
      </c>
      <c r="Y364" s="48">
        <v>0</v>
      </c>
      <c r="AA364" s="1">
        <v>3</v>
      </c>
      <c r="AB364" s="1" t="s">
        <v>13</v>
      </c>
      <c r="AC364" s="1" t="s">
        <v>19</v>
      </c>
      <c r="AD364" s="1">
        <v>24</v>
      </c>
      <c r="AE364" s="1">
        <v>21</v>
      </c>
      <c r="AF364" s="1">
        <v>0.8</v>
      </c>
      <c r="AG364" s="1">
        <v>0.86</v>
      </c>
      <c r="AH364" s="1">
        <v>0</v>
      </c>
      <c r="AI364" s="1">
        <v>0</v>
      </c>
      <c r="AJ364" s="1">
        <f t="shared" si="29"/>
        <v>0</v>
      </c>
      <c r="AK364" s="1">
        <f>E34</f>
        <v>0</v>
      </c>
      <c r="AL364" s="1">
        <f>E40</f>
        <v>0</v>
      </c>
      <c r="AM364" s="1">
        <f t="shared" si="30"/>
        <v>0</v>
      </c>
      <c r="AN364" s="1">
        <f t="shared" si="31"/>
        <v>0</v>
      </c>
      <c r="AO364" s="1">
        <f t="shared" si="32"/>
        <v>0</v>
      </c>
      <c r="AP364" t="b" cm="1">
        <f t="array" ref="AP364">INDEX($AU$8:$BB$25,6*(R364-1)+MATCH(AB364,$AS$8:$AS$13,0),MATCH(O364,$AU$7:$BB$7,0))</f>
        <v>1</v>
      </c>
    </row>
    <row r="365" spans="15:42" ht="14.25" x14ac:dyDescent="0.45">
      <c r="O365" s="43" t="s">
        <v>31</v>
      </c>
      <c r="P365" s="43">
        <v>3</v>
      </c>
      <c r="Q365" s="43">
        <v>8</v>
      </c>
      <c r="R365" s="43">
        <v>1</v>
      </c>
      <c r="S365" s="45"/>
      <c r="T365" t="b">
        <f>(S365+S366+S367)=P4</f>
        <v>0</v>
      </c>
      <c r="X365" s="1">
        <f t="shared" si="33"/>
        <v>0</v>
      </c>
      <c r="Y365" s="48">
        <v>0</v>
      </c>
      <c r="AA365" s="1">
        <v>5</v>
      </c>
      <c r="AB365" s="1" t="s">
        <v>13</v>
      </c>
      <c r="AC365" s="1" t="s">
        <v>19</v>
      </c>
      <c r="AD365" s="1">
        <v>19</v>
      </c>
      <c r="AE365" s="1">
        <v>13</v>
      </c>
      <c r="AF365" s="1">
        <v>0.8</v>
      </c>
      <c r="AG365" s="1">
        <v>0.86</v>
      </c>
      <c r="AH365" s="1">
        <v>0</v>
      </c>
      <c r="AI365" s="1">
        <v>0</v>
      </c>
      <c r="AJ365" s="1">
        <f t="shared" si="29"/>
        <v>0</v>
      </c>
      <c r="AK365" s="1">
        <f>C34</f>
        <v>0</v>
      </c>
      <c r="AL365" s="1">
        <f>C40</f>
        <v>0</v>
      </c>
      <c r="AM365" s="1">
        <f t="shared" si="30"/>
        <v>0</v>
      </c>
      <c r="AN365" s="1">
        <f t="shared" si="31"/>
        <v>0</v>
      </c>
      <c r="AO365" s="1">
        <f t="shared" si="32"/>
        <v>0</v>
      </c>
      <c r="AP365" t="b" cm="1">
        <f t="array" ref="AP365">INDEX($AU$8:$BB$25,6*(R365-1)+MATCH(AB365,$AS$8:$AS$13,0),MATCH(O365,$AU$7:$BB$7,0))</f>
        <v>1</v>
      </c>
    </row>
    <row r="366" spans="15:42" ht="14.25" x14ac:dyDescent="0.45">
      <c r="O366" s="43" t="s">
        <v>31</v>
      </c>
      <c r="P366" s="43">
        <v>3</v>
      </c>
      <c r="Q366" s="43">
        <v>8</v>
      </c>
      <c r="R366" s="43">
        <v>2</v>
      </c>
      <c r="S366" s="45"/>
      <c r="T366" t="b">
        <f>(S365+S366+S367)=P4</f>
        <v>0</v>
      </c>
      <c r="X366" s="1">
        <f t="shared" si="33"/>
        <v>0</v>
      </c>
      <c r="Y366" s="48">
        <v>0</v>
      </c>
      <c r="AA366" s="1">
        <v>5</v>
      </c>
      <c r="AB366" s="1" t="s">
        <v>13</v>
      </c>
      <c r="AC366" s="1" t="s">
        <v>19</v>
      </c>
      <c r="AD366" s="1">
        <v>19</v>
      </c>
      <c r="AE366" s="1">
        <v>13</v>
      </c>
      <c r="AF366" s="1">
        <v>0.8</v>
      </c>
      <c r="AG366" s="1">
        <v>0.86</v>
      </c>
      <c r="AH366" s="1">
        <v>0</v>
      </c>
      <c r="AI366" s="1">
        <v>0</v>
      </c>
      <c r="AJ366" s="1">
        <f t="shared" si="29"/>
        <v>0</v>
      </c>
      <c r="AK366" s="1">
        <f>D34</f>
        <v>0</v>
      </c>
      <c r="AL366" s="1">
        <f>D40</f>
        <v>0</v>
      </c>
      <c r="AM366" s="1">
        <f t="shared" si="30"/>
        <v>0</v>
      </c>
      <c r="AN366" s="1">
        <f t="shared" si="31"/>
        <v>0</v>
      </c>
      <c r="AO366" s="1">
        <f t="shared" si="32"/>
        <v>0</v>
      </c>
      <c r="AP366" t="b" cm="1">
        <f t="array" ref="AP366">INDEX($AU$8:$BB$25,6*(R366-1)+MATCH(AB366,$AS$8:$AS$13,0),MATCH(O366,$AU$7:$BB$7,0))</f>
        <v>1</v>
      </c>
    </row>
    <row r="367" spans="15:42" ht="14.25" x14ac:dyDescent="0.45">
      <c r="O367" s="43" t="s">
        <v>31</v>
      </c>
      <c r="P367" s="43">
        <v>3</v>
      </c>
      <c r="Q367" s="43">
        <v>8</v>
      </c>
      <c r="R367" s="43">
        <v>3</v>
      </c>
      <c r="S367" s="45"/>
      <c r="T367" t="b">
        <f>(S365+S366+S367)=P4</f>
        <v>0</v>
      </c>
      <c r="X367" s="1">
        <f t="shared" si="33"/>
        <v>0</v>
      </c>
      <c r="Y367" s="48">
        <v>0</v>
      </c>
      <c r="AA367" s="1">
        <v>5</v>
      </c>
      <c r="AB367" s="1" t="s">
        <v>13</v>
      </c>
      <c r="AC367" s="1" t="s">
        <v>19</v>
      </c>
      <c r="AD367" s="1">
        <v>19</v>
      </c>
      <c r="AE367" s="1">
        <v>13</v>
      </c>
      <c r="AF367" s="1">
        <v>0.8</v>
      </c>
      <c r="AG367" s="1">
        <v>0.86</v>
      </c>
      <c r="AH367" s="1">
        <v>0</v>
      </c>
      <c r="AI367" s="1">
        <v>0</v>
      </c>
      <c r="AJ367" s="1">
        <f t="shared" si="29"/>
        <v>0</v>
      </c>
      <c r="AK367" s="1">
        <f>E34</f>
        <v>0</v>
      </c>
      <c r="AL367" s="1">
        <f>E40</f>
        <v>0</v>
      </c>
      <c r="AM367" s="1">
        <f t="shared" si="30"/>
        <v>0</v>
      </c>
      <c r="AN367" s="1">
        <f t="shared" si="31"/>
        <v>0</v>
      </c>
      <c r="AO367" s="1">
        <f t="shared" si="32"/>
        <v>0</v>
      </c>
      <c r="AP367" t="b" cm="1">
        <f t="array" ref="AP367">INDEX($AU$8:$BB$25,6*(R367-1)+MATCH(AB367,$AS$8:$AS$13,0),MATCH(O367,$AU$7:$BB$7,0))</f>
        <v>1</v>
      </c>
    </row>
    <row r="368" spans="15:42" ht="14.25" x14ac:dyDescent="0.45">
      <c r="O368" s="43" t="s">
        <v>31</v>
      </c>
      <c r="P368" s="43">
        <v>3</v>
      </c>
      <c r="Q368" s="43">
        <v>9</v>
      </c>
      <c r="R368" s="43">
        <v>1</v>
      </c>
      <c r="S368" s="45"/>
      <c r="T368" t="b">
        <f>(S368+S369+S370)=P4</f>
        <v>0</v>
      </c>
      <c r="X368" s="1">
        <f t="shared" si="33"/>
        <v>0</v>
      </c>
      <c r="Y368" s="48">
        <v>0</v>
      </c>
      <c r="AA368" s="1">
        <v>3</v>
      </c>
      <c r="AB368" s="1" t="s">
        <v>14</v>
      </c>
      <c r="AC368" s="1" t="s">
        <v>20</v>
      </c>
      <c r="AD368" s="1">
        <v>15</v>
      </c>
      <c r="AE368" s="1">
        <v>13</v>
      </c>
      <c r="AF368" s="1">
        <v>0.8</v>
      </c>
      <c r="AG368" s="1">
        <v>0.88</v>
      </c>
      <c r="AH368" s="1">
        <v>0</v>
      </c>
      <c r="AI368" s="1">
        <v>0</v>
      </c>
      <c r="AJ368" s="1">
        <f t="shared" si="29"/>
        <v>0</v>
      </c>
      <c r="AK368" s="1">
        <f>C35</f>
        <v>0</v>
      </c>
      <c r="AL368" s="1">
        <f>C41</f>
        <v>0</v>
      </c>
      <c r="AM368" s="1">
        <f t="shared" si="30"/>
        <v>0</v>
      </c>
      <c r="AN368" s="1">
        <f t="shared" si="31"/>
        <v>0</v>
      </c>
      <c r="AO368" s="1">
        <f t="shared" si="32"/>
        <v>0</v>
      </c>
      <c r="AP368" t="b" cm="1">
        <f t="array" ref="AP368">INDEX($AU$8:$BB$25,6*(R368-1)+MATCH(AB368,$AS$8:$AS$13,0),MATCH(O368,$AU$7:$BB$7,0))</f>
        <v>1</v>
      </c>
    </row>
    <row r="369" spans="15:42" ht="14.25" x14ac:dyDescent="0.45">
      <c r="O369" s="43" t="s">
        <v>31</v>
      </c>
      <c r="P369" s="43">
        <v>3</v>
      </c>
      <c r="Q369" s="43">
        <v>9</v>
      </c>
      <c r="R369" s="43">
        <v>2</v>
      </c>
      <c r="S369" s="45"/>
      <c r="T369" t="b">
        <f>(S368+S369+S370)=P4</f>
        <v>0</v>
      </c>
      <c r="X369" s="1">
        <f t="shared" si="33"/>
        <v>0</v>
      </c>
      <c r="Y369" s="48">
        <v>0</v>
      </c>
      <c r="AA369" s="1">
        <v>3</v>
      </c>
      <c r="AB369" s="1" t="s">
        <v>14</v>
      </c>
      <c r="AC369" s="1" t="s">
        <v>20</v>
      </c>
      <c r="AD369" s="1">
        <v>15</v>
      </c>
      <c r="AE369" s="1">
        <v>13</v>
      </c>
      <c r="AF369" s="1">
        <v>0.8</v>
      </c>
      <c r="AG369" s="1">
        <v>0.88</v>
      </c>
      <c r="AH369" s="1">
        <v>0</v>
      </c>
      <c r="AI369" s="1">
        <v>0</v>
      </c>
      <c r="AJ369" s="1">
        <f t="shared" si="29"/>
        <v>0</v>
      </c>
      <c r="AK369" s="1">
        <f>D35</f>
        <v>0</v>
      </c>
      <c r="AL369" s="1">
        <f>D41</f>
        <v>0</v>
      </c>
      <c r="AM369" s="1">
        <f t="shared" si="30"/>
        <v>0</v>
      </c>
      <c r="AN369" s="1">
        <f t="shared" si="31"/>
        <v>0</v>
      </c>
      <c r="AO369" s="1">
        <f t="shared" si="32"/>
        <v>0</v>
      </c>
      <c r="AP369" t="b" cm="1">
        <f t="array" ref="AP369">INDEX($AU$8:$BB$25,6*(R369-1)+MATCH(AB369,$AS$8:$AS$13,0),MATCH(O369,$AU$7:$BB$7,0))</f>
        <v>1</v>
      </c>
    </row>
    <row r="370" spans="15:42" ht="14.25" x14ac:dyDescent="0.45">
      <c r="O370" s="43" t="s">
        <v>31</v>
      </c>
      <c r="P370" s="43">
        <v>3</v>
      </c>
      <c r="Q370" s="43">
        <v>9</v>
      </c>
      <c r="R370" s="43">
        <v>3</v>
      </c>
      <c r="S370" s="45"/>
      <c r="T370" t="b">
        <f>(S368+S369+S370)=P4</f>
        <v>0</v>
      </c>
      <c r="X370" s="1">
        <f t="shared" si="33"/>
        <v>0</v>
      </c>
      <c r="Y370" s="48">
        <v>0</v>
      </c>
      <c r="AA370" s="1">
        <v>3</v>
      </c>
      <c r="AB370" s="1" t="s">
        <v>14</v>
      </c>
      <c r="AC370" s="1" t="s">
        <v>20</v>
      </c>
      <c r="AD370" s="1">
        <v>15</v>
      </c>
      <c r="AE370" s="1">
        <v>13</v>
      </c>
      <c r="AF370" s="1">
        <v>0.8</v>
      </c>
      <c r="AG370" s="1">
        <v>0.88</v>
      </c>
      <c r="AH370" s="1">
        <v>0</v>
      </c>
      <c r="AI370" s="1">
        <v>0</v>
      </c>
      <c r="AJ370" s="1">
        <f t="shared" si="29"/>
        <v>0</v>
      </c>
      <c r="AK370" s="1">
        <f>E35</f>
        <v>0</v>
      </c>
      <c r="AL370" s="1">
        <f>E41</f>
        <v>0</v>
      </c>
      <c r="AM370" s="1">
        <f t="shared" si="30"/>
        <v>0</v>
      </c>
      <c r="AN370" s="1">
        <f t="shared" si="31"/>
        <v>0</v>
      </c>
      <c r="AO370" s="1">
        <f t="shared" si="32"/>
        <v>0</v>
      </c>
      <c r="AP370" t="b" cm="1">
        <f t="array" ref="AP370">INDEX($AU$8:$BB$25,6*(R370-1)+MATCH(AB370,$AS$8:$AS$13,0),MATCH(O370,$AU$7:$BB$7,0))</f>
        <v>1</v>
      </c>
    </row>
    <row r="371" spans="15:42" ht="14.25" x14ac:dyDescent="0.45">
      <c r="O371" s="43" t="s">
        <v>31</v>
      </c>
      <c r="P371" s="43">
        <v>3</v>
      </c>
      <c r="Q371" s="43">
        <v>10</v>
      </c>
      <c r="R371" s="43">
        <v>1</v>
      </c>
      <c r="S371" s="45"/>
      <c r="T371" t="b">
        <f>(S371+S372+S373)=P4</f>
        <v>0</v>
      </c>
      <c r="X371" s="1">
        <f t="shared" si="33"/>
        <v>0</v>
      </c>
      <c r="Y371" s="48">
        <v>0</v>
      </c>
      <c r="AA371" s="1">
        <v>5</v>
      </c>
      <c r="AB371" s="1" t="s">
        <v>14</v>
      </c>
      <c r="AC371" s="1" t="s">
        <v>20</v>
      </c>
      <c r="AD371" s="1">
        <v>24</v>
      </c>
      <c r="AE371" s="1">
        <v>20</v>
      </c>
      <c r="AF371" s="1">
        <v>0.8</v>
      </c>
      <c r="AG371" s="1">
        <v>0.88</v>
      </c>
      <c r="AH371" s="1">
        <v>0</v>
      </c>
      <c r="AI371" s="1">
        <v>0</v>
      </c>
      <c r="AJ371" s="1">
        <f t="shared" si="29"/>
        <v>0</v>
      </c>
      <c r="AK371" s="1">
        <f>C35</f>
        <v>0</v>
      </c>
      <c r="AL371" s="1">
        <f>C41</f>
        <v>0</v>
      </c>
      <c r="AM371" s="1">
        <f t="shared" si="30"/>
        <v>0</v>
      </c>
      <c r="AN371" s="1">
        <f t="shared" si="31"/>
        <v>0</v>
      </c>
      <c r="AO371" s="1">
        <f t="shared" si="32"/>
        <v>0</v>
      </c>
      <c r="AP371" t="b" cm="1">
        <f t="array" ref="AP371">INDEX($AU$8:$BB$25,6*(R371-1)+MATCH(AB371,$AS$8:$AS$13,0),MATCH(O371,$AU$7:$BB$7,0))</f>
        <v>1</v>
      </c>
    </row>
    <row r="372" spans="15:42" ht="14.25" x14ac:dyDescent="0.45">
      <c r="O372" s="43" t="s">
        <v>31</v>
      </c>
      <c r="P372" s="43">
        <v>3</v>
      </c>
      <c r="Q372" s="43">
        <v>10</v>
      </c>
      <c r="R372" s="43">
        <v>2</v>
      </c>
      <c r="S372" s="45"/>
      <c r="T372" t="b">
        <f>(S371+S372+S373)=P4</f>
        <v>0</v>
      </c>
      <c r="X372" s="1">
        <f t="shared" si="33"/>
        <v>0</v>
      </c>
      <c r="Y372" s="48">
        <v>0</v>
      </c>
      <c r="AA372" s="1">
        <v>5</v>
      </c>
      <c r="AB372" s="1" t="s">
        <v>14</v>
      </c>
      <c r="AC372" s="1" t="s">
        <v>20</v>
      </c>
      <c r="AD372" s="1">
        <v>24</v>
      </c>
      <c r="AE372" s="1">
        <v>20</v>
      </c>
      <c r="AF372" s="1">
        <v>0.8</v>
      </c>
      <c r="AG372" s="1">
        <v>0.88</v>
      </c>
      <c r="AH372" s="1">
        <v>0</v>
      </c>
      <c r="AI372" s="1">
        <v>0</v>
      </c>
      <c r="AJ372" s="1">
        <f t="shared" si="29"/>
        <v>0</v>
      </c>
      <c r="AK372" s="1">
        <f>D35</f>
        <v>0</v>
      </c>
      <c r="AL372" s="1">
        <f>D41</f>
        <v>0</v>
      </c>
      <c r="AM372" s="1">
        <f t="shared" si="30"/>
        <v>0</v>
      </c>
      <c r="AN372" s="1">
        <f t="shared" si="31"/>
        <v>0</v>
      </c>
      <c r="AO372" s="1">
        <f t="shared" si="32"/>
        <v>0</v>
      </c>
      <c r="AP372" t="b" cm="1">
        <f t="array" ref="AP372">INDEX($AU$8:$BB$25,6*(R372-1)+MATCH(AB372,$AS$8:$AS$13,0),MATCH(O372,$AU$7:$BB$7,0))</f>
        <v>1</v>
      </c>
    </row>
    <row r="373" spans="15:42" ht="14.25" x14ac:dyDescent="0.45">
      <c r="O373" s="43" t="s">
        <v>31</v>
      </c>
      <c r="P373" s="43">
        <v>3</v>
      </c>
      <c r="Q373" s="43">
        <v>10</v>
      </c>
      <c r="R373" s="43">
        <v>3</v>
      </c>
      <c r="S373" s="45"/>
      <c r="T373" t="b">
        <f>(S371+S372+S373)=P4</f>
        <v>0</v>
      </c>
      <c r="X373" s="1">
        <f t="shared" si="33"/>
        <v>0</v>
      </c>
      <c r="Y373" s="48">
        <v>0</v>
      </c>
      <c r="AA373" s="1">
        <v>5</v>
      </c>
      <c r="AB373" s="1" t="s">
        <v>14</v>
      </c>
      <c r="AC373" s="1" t="s">
        <v>20</v>
      </c>
      <c r="AD373" s="1">
        <v>24</v>
      </c>
      <c r="AE373" s="1">
        <v>20</v>
      </c>
      <c r="AF373" s="1">
        <v>0.8</v>
      </c>
      <c r="AG373" s="1">
        <v>0.88</v>
      </c>
      <c r="AH373" s="1">
        <v>0</v>
      </c>
      <c r="AI373" s="1">
        <v>0</v>
      </c>
      <c r="AJ373" s="1">
        <f t="shared" si="29"/>
        <v>0</v>
      </c>
      <c r="AK373" s="1">
        <f>E35</f>
        <v>0</v>
      </c>
      <c r="AL373" s="1">
        <f>E41</f>
        <v>0</v>
      </c>
      <c r="AM373" s="1">
        <f t="shared" si="30"/>
        <v>0</v>
      </c>
      <c r="AN373" s="1">
        <f t="shared" si="31"/>
        <v>0</v>
      </c>
      <c r="AO373" s="1">
        <f t="shared" si="32"/>
        <v>0</v>
      </c>
      <c r="AP373" t="b" cm="1">
        <f t="array" ref="AP373">INDEX($AU$8:$BB$25,6*(R373-1)+MATCH(AB373,$AS$8:$AS$13,0),MATCH(O373,$AU$7:$BB$7,0))</f>
        <v>1</v>
      </c>
    </row>
    <row r="374" spans="15:42" ht="14.25" x14ac:dyDescent="0.45">
      <c r="O374" s="43" t="s">
        <v>31</v>
      </c>
      <c r="P374" s="43">
        <v>3</v>
      </c>
      <c r="Q374" s="43">
        <v>11</v>
      </c>
      <c r="R374" s="43">
        <v>1</v>
      </c>
      <c r="S374" s="45"/>
      <c r="T374" t="b">
        <f>(S374+S375+S376)=P4</f>
        <v>0</v>
      </c>
      <c r="X374" s="1">
        <f t="shared" si="33"/>
        <v>0</v>
      </c>
      <c r="Y374" s="48">
        <v>0</v>
      </c>
      <c r="AA374" s="1">
        <v>3</v>
      </c>
      <c r="AB374" s="1" t="s">
        <v>15</v>
      </c>
      <c r="AC374" s="1" t="s">
        <v>21</v>
      </c>
      <c r="AD374" s="1">
        <v>17</v>
      </c>
      <c r="AE374" s="1">
        <v>15</v>
      </c>
      <c r="AF374" s="1">
        <v>0.76</v>
      </c>
      <c r="AG374" s="1">
        <v>0.84</v>
      </c>
      <c r="AH374" s="1">
        <v>0</v>
      </c>
      <c r="AI374" s="1">
        <v>0</v>
      </c>
      <c r="AJ374" s="1">
        <f t="shared" si="29"/>
        <v>0</v>
      </c>
      <c r="AK374" s="1">
        <f>C36</f>
        <v>0</v>
      </c>
      <c r="AL374" s="1">
        <f>C42</f>
        <v>0</v>
      </c>
      <c r="AM374" s="1">
        <f t="shared" si="30"/>
        <v>0</v>
      </c>
      <c r="AN374" s="1">
        <f t="shared" si="31"/>
        <v>0</v>
      </c>
      <c r="AO374" s="1">
        <f t="shared" si="32"/>
        <v>0</v>
      </c>
      <c r="AP374" t="b" cm="1">
        <f t="array" ref="AP374">INDEX($AU$8:$BB$25,6*(R374-1)+MATCH(AB374,$AS$8:$AS$13,0),MATCH(O374,$AU$7:$BB$7,0))</f>
        <v>1</v>
      </c>
    </row>
    <row r="375" spans="15:42" ht="14.25" x14ac:dyDescent="0.45">
      <c r="O375" s="43" t="s">
        <v>31</v>
      </c>
      <c r="P375" s="43">
        <v>3</v>
      </c>
      <c r="Q375" s="43">
        <v>11</v>
      </c>
      <c r="R375" s="43">
        <v>2</v>
      </c>
      <c r="S375" s="45"/>
      <c r="T375" t="b">
        <f>(S374+S375+S376)=P4</f>
        <v>0</v>
      </c>
      <c r="X375" s="1">
        <f t="shared" si="33"/>
        <v>0</v>
      </c>
      <c r="Y375" s="48">
        <v>0</v>
      </c>
      <c r="AA375" s="1">
        <v>3</v>
      </c>
      <c r="AB375" s="1" t="s">
        <v>15</v>
      </c>
      <c r="AC375" s="1" t="s">
        <v>21</v>
      </c>
      <c r="AD375" s="1">
        <v>17</v>
      </c>
      <c r="AE375" s="1">
        <v>15</v>
      </c>
      <c r="AF375" s="1">
        <v>0.76</v>
      </c>
      <c r="AG375" s="1">
        <v>0.84</v>
      </c>
      <c r="AH375" s="1">
        <v>0</v>
      </c>
      <c r="AI375" s="1">
        <v>0</v>
      </c>
      <c r="AJ375" s="1">
        <f t="shared" si="29"/>
        <v>0</v>
      </c>
      <c r="AK375" s="1">
        <f>D36</f>
        <v>0</v>
      </c>
      <c r="AL375" s="1">
        <f>D42</f>
        <v>0</v>
      </c>
      <c r="AM375" s="1">
        <f t="shared" si="30"/>
        <v>0</v>
      </c>
      <c r="AN375" s="1">
        <f t="shared" si="31"/>
        <v>0</v>
      </c>
      <c r="AO375" s="1">
        <f t="shared" si="32"/>
        <v>0</v>
      </c>
      <c r="AP375" t="b" cm="1">
        <f t="array" ref="AP375">INDEX($AU$8:$BB$25,6*(R375-1)+MATCH(AB375,$AS$8:$AS$13,0),MATCH(O375,$AU$7:$BB$7,0))</f>
        <v>1</v>
      </c>
    </row>
    <row r="376" spans="15:42" ht="14.25" x14ac:dyDescent="0.45">
      <c r="O376" s="43" t="s">
        <v>31</v>
      </c>
      <c r="P376" s="43">
        <v>3</v>
      </c>
      <c r="Q376" s="43">
        <v>11</v>
      </c>
      <c r="R376" s="43">
        <v>3</v>
      </c>
      <c r="S376" s="45"/>
      <c r="T376" t="b">
        <f>(S374+S375+S376)=P4</f>
        <v>0</v>
      </c>
      <c r="X376" s="1">
        <f t="shared" si="33"/>
        <v>0</v>
      </c>
      <c r="Y376" s="48">
        <v>0</v>
      </c>
      <c r="AA376" s="1">
        <v>3</v>
      </c>
      <c r="AB376" s="1" t="s">
        <v>15</v>
      </c>
      <c r="AC376" s="1" t="s">
        <v>21</v>
      </c>
      <c r="AD376" s="1">
        <v>17</v>
      </c>
      <c r="AE376" s="1">
        <v>15</v>
      </c>
      <c r="AF376" s="1">
        <v>0.76</v>
      </c>
      <c r="AG376" s="1">
        <v>0.84</v>
      </c>
      <c r="AH376" s="1">
        <v>0</v>
      </c>
      <c r="AI376" s="1">
        <v>0</v>
      </c>
      <c r="AJ376" s="1">
        <f t="shared" si="29"/>
        <v>0</v>
      </c>
      <c r="AK376" s="1">
        <f>E36</f>
        <v>0</v>
      </c>
      <c r="AL376" s="1">
        <f>E42</f>
        <v>0</v>
      </c>
      <c r="AM376" s="1">
        <f t="shared" si="30"/>
        <v>0</v>
      </c>
      <c r="AN376" s="1">
        <f t="shared" si="31"/>
        <v>0</v>
      </c>
      <c r="AO376" s="1">
        <f t="shared" si="32"/>
        <v>0</v>
      </c>
      <c r="AP376" t="b" cm="1">
        <f t="array" ref="AP376">INDEX($AU$8:$BB$25,6*(R376-1)+MATCH(AB376,$AS$8:$AS$13,0),MATCH(O376,$AU$7:$BB$7,0))</f>
        <v>1</v>
      </c>
    </row>
    <row r="377" spans="15:42" ht="14.25" x14ac:dyDescent="0.45">
      <c r="O377" s="43" t="s">
        <v>31</v>
      </c>
      <c r="P377" s="43">
        <v>3</v>
      </c>
      <c r="Q377" s="43">
        <v>12</v>
      </c>
      <c r="R377" s="43">
        <v>1</v>
      </c>
      <c r="S377" s="45"/>
      <c r="T377" t="b">
        <f>(S377+S378+S379)=P4</f>
        <v>0</v>
      </c>
      <c r="X377" s="1">
        <f t="shared" si="33"/>
        <v>0</v>
      </c>
      <c r="Y377" s="48">
        <v>0</v>
      </c>
      <c r="AA377" s="1">
        <v>10</v>
      </c>
      <c r="AB377" s="1" t="s">
        <v>15</v>
      </c>
      <c r="AC377" s="1" t="s">
        <v>21</v>
      </c>
      <c r="AD377" s="1">
        <v>18</v>
      </c>
      <c r="AE377" s="1">
        <v>13</v>
      </c>
      <c r="AF377" s="1">
        <v>0.76</v>
      </c>
      <c r="AG377" s="1">
        <v>0.84</v>
      </c>
      <c r="AH377" s="1">
        <v>0</v>
      </c>
      <c r="AI377" s="1">
        <v>0</v>
      </c>
      <c r="AJ377" s="1">
        <f t="shared" si="29"/>
        <v>0</v>
      </c>
      <c r="AK377" s="1">
        <f>C36</f>
        <v>0</v>
      </c>
      <c r="AL377" s="1">
        <f>C42</f>
        <v>0</v>
      </c>
      <c r="AM377" s="1">
        <f t="shared" si="30"/>
        <v>0</v>
      </c>
      <c r="AN377" s="1">
        <f t="shared" si="31"/>
        <v>0</v>
      </c>
      <c r="AO377" s="1">
        <f t="shared" si="32"/>
        <v>0</v>
      </c>
      <c r="AP377" t="b" cm="1">
        <f t="array" ref="AP377">INDEX($AU$8:$BB$25,6*(R377-1)+MATCH(AB377,$AS$8:$AS$13,0),MATCH(O377,$AU$7:$BB$7,0))</f>
        <v>1</v>
      </c>
    </row>
    <row r="378" spans="15:42" ht="14.25" x14ac:dyDescent="0.45">
      <c r="O378" s="43" t="s">
        <v>31</v>
      </c>
      <c r="P378" s="43">
        <v>3</v>
      </c>
      <c r="Q378" s="43">
        <v>12</v>
      </c>
      <c r="R378" s="43">
        <v>2</v>
      </c>
      <c r="S378" s="45"/>
      <c r="T378" t="b">
        <f>(S377+S378+S379)=P4</f>
        <v>0</v>
      </c>
      <c r="X378" s="1">
        <f t="shared" si="33"/>
        <v>0</v>
      </c>
      <c r="Y378" s="48">
        <v>0</v>
      </c>
      <c r="AA378" s="1">
        <v>10</v>
      </c>
      <c r="AB378" s="1" t="s">
        <v>15</v>
      </c>
      <c r="AC378" s="1" t="s">
        <v>21</v>
      </c>
      <c r="AD378" s="1">
        <v>18</v>
      </c>
      <c r="AE378" s="1">
        <v>13</v>
      </c>
      <c r="AF378" s="1">
        <v>0.76</v>
      </c>
      <c r="AG378" s="1">
        <v>0.84</v>
      </c>
      <c r="AH378" s="1">
        <v>0</v>
      </c>
      <c r="AI378" s="1">
        <v>0</v>
      </c>
      <c r="AJ378" s="1">
        <f t="shared" si="29"/>
        <v>0</v>
      </c>
      <c r="AK378" s="1">
        <f>D36</f>
        <v>0</v>
      </c>
      <c r="AL378" s="1">
        <f>D42</f>
        <v>0</v>
      </c>
      <c r="AM378" s="1">
        <f t="shared" si="30"/>
        <v>0</v>
      </c>
      <c r="AN378" s="1">
        <f t="shared" si="31"/>
        <v>0</v>
      </c>
      <c r="AO378" s="1">
        <f t="shared" si="32"/>
        <v>0</v>
      </c>
      <c r="AP378" t="b" cm="1">
        <f t="array" ref="AP378">INDEX($AU$8:$BB$25,6*(R378-1)+MATCH(AB378,$AS$8:$AS$13,0),MATCH(O378,$AU$7:$BB$7,0))</f>
        <v>1</v>
      </c>
    </row>
    <row r="379" spans="15:42" ht="14.25" x14ac:dyDescent="0.45">
      <c r="O379" s="43" t="s">
        <v>31</v>
      </c>
      <c r="P379" s="43">
        <v>3</v>
      </c>
      <c r="Q379" s="43">
        <v>12</v>
      </c>
      <c r="R379" s="43">
        <v>3</v>
      </c>
      <c r="S379" s="45"/>
      <c r="T379" t="b">
        <f>(S377+S378+S379)=P4</f>
        <v>0</v>
      </c>
      <c r="X379" s="1">
        <f t="shared" si="33"/>
        <v>0</v>
      </c>
      <c r="Y379" s="48">
        <v>0</v>
      </c>
      <c r="AA379" s="1">
        <v>10</v>
      </c>
      <c r="AB379" s="1" t="s">
        <v>15</v>
      </c>
      <c r="AC379" s="1" t="s">
        <v>21</v>
      </c>
      <c r="AD379" s="1">
        <v>18</v>
      </c>
      <c r="AE379" s="1">
        <v>13</v>
      </c>
      <c r="AF379" s="1">
        <v>0.76</v>
      </c>
      <c r="AG379" s="1">
        <v>0.84</v>
      </c>
      <c r="AH379" s="1">
        <v>0</v>
      </c>
      <c r="AI379" s="1">
        <v>0</v>
      </c>
      <c r="AJ379" s="1">
        <f t="shared" si="29"/>
        <v>0</v>
      </c>
      <c r="AK379" s="1">
        <f>E36</f>
        <v>0</v>
      </c>
      <c r="AL379" s="1">
        <f>E42</f>
        <v>0</v>
      </c>
      <c r="AM379" s="1">
        <f t="shared" si="30"/>
        <v>0</v>
      </c>
      <c r="AN379" s="1">
        <f t="shared" si="31"/>
        <v>0</v>
      </c>
      <c r="AO379" s="1">
        <f t="shared" si="32"/>
        <v>0</v>
      </c>
      <c r="AP379" t="b" cm="1">
        <f t="array" ref="AP379">INDEX($AU$8:$BB$25,6*(R379-1)+MATCH(AB379,$AS$8:$AS$13,0),MATCH(O379,$AU$7:$BB$7,0))</f>
        <v>1</v>
      </c>
    </row>
    <row r="380" spans="15:42" ht="14.25" x14ac:dyDescent="0.45">
      <c r="O380" s="43" t="s">
        <v>31</v>
      </c>
      <c r="P380" s="43">
        <v>3</v>
      </c>
      <c r="Q380" s="43">
        <v>13</v>
      </c>
      <c r="R380" s="43">
        <v>1</v>
      </c>
      <c r="S380" s="45"/>
      <c r="T380" t="b">
        <f>(S380+S381+S382)=P4</f>
        <v>0</v>
      </c>
      <c r="X380" s="1">
        <f t="shared" si="33"/>
        <v>0</v>
      </c>
      <c r="Y380" s="48">
        <v>0</v>
      </c>
      <c r="AA380" s="1">
        <v>2</v>
      </c>
      <c r="AB380" s="1" t="s">
        <v>16</v>
      </c>
      <c r="AC380" s="1" t="s">
        <v>22</v>
      </c>
      <c r="AD380" s="1">
        <v>20</v>
      </c>
      <c r="AE380" s="1">
        <v>18</v>
      </c>
      <c r="AF380" s="1">
        <v>0.8</v>
      </c>
      <c r="AG380" s="1">
        <v>0.9</v>
      </c>
      <c r="AH380" s="1">
        <v>0</v>
      </c>
      <c r="AI380" s="1">
        <v>0</v>
      </c>
      <c r="AJ380" s="1">
        <f t="shared" si="29"/>
        <v>0</v>
      </c>
      <c r="AK380" s="1">
        <f>C37</f>
        <v>0</v>
      </c>
      <c r="AL380" s="1">
        <f>C43</f>
        <v>0</v>
      </c>
      <c r="AM380" s="1">
        <f t="shared" si="30"/>
        <v>0</v>
      </c>
      <c r="AN380" s="1">
        <f t="shared" si="31"/>
        <v>0</v>
      </c>
      <c r="AO380" s="1">
        <f t="shared" si="32"/>
        <v>0</v>
      </c>
      <c r="AP380" t="b" cm="1">
        <f t="array" ref="AP380">INDEX($AU$8:$BB$25,6*(R380-1)+MATCH(AB380,$AS$8:$AS$13,0),MATCH(O380,$AU$7:$BB$7,0))</f>
        <v>1</v>
      </c>
    </row>
    <row r="381" spans="15:42" ht="14.25" x14ac:dyDescent="0.45">
      <c r="O381" s="43" t="s">
        <v>31</v>
      </c>
      <c r="P381" s="43">
        <v>3</v>
      </c>
      <c r="Q381" s="43">
        <v>13</v>
      </c>
      <c r="R381" s="43">
        <v>2</v>
      </c>
      <c r="S381" s="45"/>
      <c r="T381" t="b">
        <f>(S380+S381+S382)=P4</f>
        <v>0</v>
      </c>
      <c r="X381" s="1">
        <f t="shared" si="33"/>
        <v>0</v>
      </c>
      <c r="Y381" s="48">
        <v>0</v>
      </c>
      <c r="AA381" s="1">
        <v>2</v>
      </c>
      <c r="AB381" s="1" t="s">
        <v>16</v>
      </c>
      <c r="AC381" s="1" t="s">
        <v>22</v>
      </c>
      <c r="AD381" s="1">
        <v>20</v>
      </c>
      <c r="AE381" s="1">
        <v>18</v>
      </c>
      <c r="AF381" s="1">
        <v>0.8</v>
      </c>
      <c r="AG381" s="1">
        <v>0.9</v>
      </c>
      <c r="AH381" s="1">
        <v>0</v>
      </c>
      <c r="AI381" s="1">
        <v>0</v>
      </c>
      <c r="AJ381" s="1">
        <f t="shared" si="29"/>
        <v>0</v>
      </c>
      <c r="AK381" s="1">
        <f>D37</f>
        <v>0</v>
      </c>
      <c r="AL381" s="1">
        <f>D43</f>
        <v>0</v>
      </c>
      <c r="AM381" s="1">
        <f t="shared" si="30"/>
        <v>0</v>
      </c>
      <c r="AN381" s="1">
        <f t="shared" si="31"/>
        <v>0</v>
      </c>
      <c r="AO381" s="1">
        <f t="shared" si="32"/>
        <v>0</v>
      </c>
      <c r="AP381" t="b" cm="1">
        <f t="array" ref="AP381">INDEX($AU$8:$BB$25,6*(R381-1)+MATCH(AB381,$AS$8:$AS$13,0),MATCH(O381,$AU$7:$BB$7,0))</f>
        <v>1</v>
      </c>
    </row>
    <row r="382" spans="15:42" ht="14.25" x14ac:dyDescent="0.45">
      <c r="O382" s="43" t="s">
        <v>31</v>
      </c>
      <c r="P382" s="43">
        <v>3</v>
      </c>
      <c r="Q382" s="43">
        <v>13</v>
      </c>
      <c r="R382" s="43">
        <v>3</v>
      </c>
      <c r="S382" s="45"/>
      <c r="T382" t="b">
        <f>(S380+S381+S382)=P4</f>
        <v>0</v>
      </c>
      <c r="X382" s="1">
        <f t="shared" si="33"/>
        <v>0</v>
      </c>
      <c r="Y382" s="48">
        <v>0</v>
      </c>
      <c r="AA382" s="1">
        <v>2</v>
      </c>
      <c r="AB382" s="1" t="s">
        <v>16</v>
      </c>
      <c r="AC382" s="1" t="s">
        <v>22</v>
      </c>
      <c r="AD382" s="1">
        <v>20</v>
      </c>
      <c r="AE382" s="1">
        <v>18</v>
      </c>
      <c r="AF382" s="1">
        <v>0.8</v>
      </c>
      <c r="AG382" s="1">
        <v>0.9</v>
      </c>
      <c r="AH382" s="1">
        <v>0</v>
      </c>
      <c r="AI382" s="1">
        <v>0</v>
      </c>
      <c r="AJ382" s="1">
        <f t="shared" si="29"/>
        <v>0</v>
      </c>
      <c r="AK382" s="1">
        <f>E37</f>
        <v>0</v>
      </c>
      <c r="AL382" s="1">
        <f>E43</f>
        <v>0</v>
      </c>
      <c r="AM382" s="1">
        <f t="shared" si="30"/>
        <v>0</v>
      </c>
      <c r="AN382" s="1">
        <f t="shared" si="31"/>
        <v>0</v>
      </c>
      <c r="AO382" s="1">
        <f t="shared" si="32"/>
        <v>0</v>
      </c>
      <c r="AP382" t="b" cm="1">
        <f t="array" ref="AP382">INDEX($AU$8:$BB$25,6*(R382-1)+MATCH(AB382,$AS$8:$AS$13,0),MATCH(O382,$AU$7:$BB$7,0))</f>
        <v>1</v>
      </c>
    </row>
    <row r="383" spans="15:42" ht="14.25" x14ac:dyDescent="0.45">
      <c r="O383" s="43" t="s">
        <v>31</v>
      </c>
      <c r="P383" s="43">
        <v>3</v>
      </c>
      <c r="Q383" s="43">
        <v>14</v>
      </c>
      <c r="R383" s="43">
        <v>1</v>
      </c>
      <c r="S383" s="45"/>
      <c r="T383" t="b">
        <f>(S383+S384+S385)=P4</f>
        <v>0</v>
      </c>
      <c r="X383" s="1">
        <f t="shared" si="33"/>
        <v>0</v>
      </c>
      <c r="Y383" s="48">
        <v>0</v>
      </c>
      <c r="AA383" s="1">
        <v>2</v>
      </c>
      <c r="AB383" s="1" t="s">
        <v>13</v>
      </c>
      <c r="AC383" s="1" t="s">
        <v>19</v>
      </c>
      <c r="AD383" s="1">
        <v>12</v>
      </c>
      <c r="AE383" s="1">
        <v>11</v>
      </c>
      <c r="AF383" s="1">
        <v>0.8</v>
      </c>
      <c r="AG383" s="1">
        <v>0.86</v>
      </c>
      <c r="AH383" s="1">
        <v>0</v>
      </c>
      <c r="AI383" s="1">
        <v>0</v>
      </c>
      <c r="AJ383" s="1">
        <f t="shared" si="29"/>
        <v>0</v>
      </c>
      <c r="AK383" s="1">
        <f>C34</f>
        <v>0</v>
      </c>
      <c r="AL383" s="1">
        <f>C40</f>
        <v>0</v>
      </c>
      <c r="AM383" s="1">
        <f t="shared" si="30"/>
        <v>0</v>
      </c>
      <c r="AN383" s="1">
        <f t="shared" si="31"/>
        <v>0</v>
      </c>
      <c r="AO383" s="1">
        <f t="shared" si="32"/>
        <v>0</v>
      </c>
      <c r="AP383" t="b" cm="1">
        <f t="array" ref="AP383">INDEX($AU$8:$BB$25,6*(R383-1)+MATCH(AB383,$AS$8:$AS$13,0),MATCH(O383,$AU$7:$BB$7,0))</f>
        <v>1</v>
      </c>
    </row>
    <row r="384" spans="15:42" ht="14.25" x14ac:dyDescent="0.45">
      <c r="O384" s="43" t="s">
        <v>31</v>
      </c>
      <c r="P384" s="43">
        <v>3</v>
      </c>
      <c r="Q384" s="43">
        <v>14</v>
      </c>
      <c r="R384" s="43">
        <v>2</v>
      </c>
      <c r="S384" s="45"/>
      <c r="T384" t="b">
        <f>(S383+S384+S385)=P4</f>
        <v>0</v>
      </c>
      <c r="X384" s="1">
        <f t="shared" si="33"/>
        <v>0</v>
      </c>
      <c r="Y384" s="48">
        <v>0</v>
      </c>
      <c r="AA384" s="1">
        <v>2</v>
      </c>
      <c r="AB384" s="1" t="s">
        <v>13</v>
      </c>
      <c r="AC384" s="1" t="s">
        <v>19</v>
      </c>
      <c r="AD384" s="1">
        <v>12</v>
      </c>
      <c r="AE384" s="1">
        <v>11</v>
      </c>
      <c r="AF384" s="1">
        <v>0.8</v>
      </c>
      <c r="AG384" s="1">
        <v>0.86</v>
      </c>
      <c r="AH384" s="1">
        <v>0</v>
      </c>
      <c r="AI384" s="1">
        <v>0</v>
      </c>
      <c r="AJ384" s="1">
        <f t="shared" si="29"/>
        <v>0</v>
      </c>
      <c r="AK384" s="1">
        <f>D34</f>
        <v>0</v>
      </c>
      <c r="AL384" s="1">
        <f>D40</f>
        <v>0</v>
      </c>
      <c r="AM384" s="1">
        <f t="shared" si="30"/>
        <v>0</v>
      </c>
      <c r="AN384" s="1">
        <f t="shared" si="31"/>
        <v>0</v>
      </c>
      <c r="AO384" s="1">
        <f t="shared" si="32"/>
        <v>0</v>
      </c>
      <c r="AP384" t="b" cm="1">
        <f t="array" ref="AP384">INDEX($AU$8:$BB$25,6*(R384-1)+MATCH(AB384,$AS$8:$AS$13,0),MATCH(O384,$AU$7:$BB$7,0))</f>
        <v>1</v>
      </c>
    </row>
    <row r="385" spans="15:42" ht="14.25" x14ac:dyDescent="0.45">
      <c r="O385" s="43" t="s">
        <v>31</v>
      </c>
      <c r="P385" s="43">
        <v>3</v>
      </c>
      <c r="Q385" s="43">
        <v>14</v>
      </c>
      <c r="R385" s="43">
        <v>3</v>
      </c>
      <c r="S385" s="45"/>
      <c r="T385" t="b">
        <f>(S383+S384+S385)=P4</f>
        <v>0</v>
      </c>
      <c r="X385" s="1">
        <f t="shared" si="33"/>
        <v>0</v>
      </c>
      <c r="Y385" s="48">
        <v>0</v>
      </c>
      <c r="AA385" s="1">
        <v>2</v>
      </c>
      <c r="AB385" s="1" t="s">
        <v>13</v>
      </c>
      <c r="AC385" s="1" t="s">
        <v>19</v>
      </c>
      <c r="AD385" s="1">
        <v>12</v>
      </c>
      <c r="AE385" s="1">
        <v>11</v>
      </c>
      <c r="AF385" s="1">
        <v>0.8</v>
      </c>
      <c r="AG385" s="1">
        <v>0.86</v>
      </c>
      <c r="AH385" s="1">
        <v>0</v>
      </c>
      <c r="AI385" s="1">
        <v>0</v>
      </c>
      <c r="AJ385" s="1">
        <f t="shared" si="29"/>
        <v>0</v>
      </c>
      <c r="AK385" s="1">
        <f>E34</f>
        <v>0</v>
      </c>
      <c r="AL385" s="1">
        <f>E40</f>
        <v>0</v>
      </c>
      <c r="AM385" s="1">
        <f t="shared" si="30"/>
        <v>0</v>
      </c>
      <c r="AN385" s="1">
        <f t="shared" si="31"/>
        <v>0</v>
      </c>
      <c r="AO385" s="1">
        <f t="shared" si="32"/>
        <v>0</v>
      </c>
      <c r="AP385" t="b" cm="1">
        <f t="array" ref="AP385">INDEX($AU$8:$BB$25,6*(R385-1)+MATCH(AB385,$AS$8:$AS$13,0),MATCH(O385,$AU$7:$BB$7,0))</f>
        <v>1</v>
      </c>
    </row>
    <row r="386" spans="15:42" ht="14.25" x14ac:dyDescent="0.45">
      <c r="O386" s="43" t="s">
        <v>31</v>
      </c>
      <c r="P386" s="43">
        <v>3</v>
      </c>
      <c r="Q386" s="43">
        <v>15</v>
      </c>
      <c r="R386" s="43">
        <v>1</v>
      </c>
      <c r="S386" s="45"/>
      <c r="T386" t="b">
        <f>(S386+S387+S388)=P4</f>
        <v>0</v>
      </c>
      <c r="X386" s="1">
        <f t="shared" si="33"/>
        <v>0</v>
      </c>
      <c r="Y386" s="48">
        <v>0</v>
      </c>
      <c r="AA386" s="1">
        <v>2</v>
      </c>
      <c r="AB386" s="1" t="s">
        <v>14</v>
      </c>
      <c r="AC386" s="1" t="s">
        <v>20</v>
      </c>
      <c r="AD386" s="1">
        <v>11</v>
      </c>
      <c r="AE386" s="1">
        <v>10</v>
      </c>
      <c r="AF386" s="1">
        <v>0.8</v>
      </c>
      <c r="AG386" s="1">
        <v>0.88</v>
      </c>
      <c r="AH386" s="1">
        <v>0</v>
      </c>
      <c r="AI386" s="1">
        <v>0</v>
      </c>
      <c r="AJ386" s="1">
        <f t="shared" si="29"/>
        <v>0</v>
      </c>
      <c r="AK386" s="1">
        <f>C35</f>
        <v>0</v>
      </c>
      <c r="AL386" s="1">
        <f>C41</f>
        <v>0</v>
      </c>
      <c r="AM386" s="1">
        <f t="shared" si="30"/>
        <v>0</v>
      </c>
      <c r="AN386" s="1">
        <f t="shared" si="31"/>
        <v>0</v>
      </c>
      <c r="AO386" s="1">
        <f t="shared" si="32"/>
        <v>0</v>
      </c>
      <c r="AP386" t="b" cm="1">
        <f t="array" ref="AP386">INDEX($AU$8:$BB$25,6*(R386-1)+MATCH(AB386,$AS$8:$AS$13,0),MATCH(O386,$AU$7:$BB$7,0))</f>
        <v>1</v>
      </c>
    </row>
    <row r="387" spans="15:42" ht="14.25" x14ac:dyDescent="0.45">
      <c r="O387" s="43" t="s">
        <v>31</v>
      </c>
      <c r="P387" s="43">
        <v>3</v>
      </c>
      <c r="Q387" s="43">
        <v>15</v>
      </c>
      <c r="R387" s="43">
        <v>2</v>
      </c>
      <c r="S387" s="45"/>
      <c r="T387" t="b">
        <f>(S386+S387+S388)=P4</f>
        <v>0</v>
      </c>
      <c r="X387" s="1">
        <f t="shared" si="33"/>
        <v>0</v>
      </c>
      <c r="Y387" s="48">
        <v>0</v>
      </c>
      <c r="AA387" s="1">
        <v>2</v>
      </c>
      <c r="AB387" s="1" t="s">
        <v>14</v>
      </c>
      <c r="AC387" s="1" t="s">
        <v>20</v>
      </c>
      <c r="AD387" s="1">
        <v>11</v>
      </c>
      <c r="AE387" s="1">
        <v>10</v>
      </c>
      <c r="AF387" s="1">
        <v>0.8</v>
      </c>
      <c r="AG387" s="1">
        <v>0.88</v>
      </c>
      <c r="AH387" s="1">
        <v>0</v>
      </c>
      <c r="AI387" s="1">
        <v>0</v>
      </c>
      <c r="AJ387" s="1">
        <f t="shared" si="29"/>
        <v>0</v>
      </c>
      <c r="AK387" s="1">
        <f>D35</f>
        <v>0</v>
      </c>
      <c r="AL387" s="1">
        <f>D41</f>
        <v>0</v>
      </c>
      <c r="AM387" s="1">
        <f t="shared" si="30"/>
        <v>0</v>
      </c>
      <c r="AN387" s="1">
        <f t="shared" si="31"/>
        <v>0</v>
      </c>
      <c r="AO387" s="1">
        <f t="shared" si="32"/>
        <v>0</v>
      </c>
      <c r="AP387" t="b" cm="1">
        <f t="array" ref="AP387">INDEX($AU$8:$BB$25,6*(R387-1)+MATCH(AB387,$AS$8:$AS$13,0),MATCH(O387,$AU$7:$BB$7,0))</f>
        <v>1</v>
      </c>
    </row>
    <row r="388" spans="15:42" ht="14.25" x14ac:dyDescent="0.45">
      <c r="O388" s="43" t="s">
        <v>31</v>
      </c>
      <c r="P388" s="43">
        <v>3</v>
      </c>
      <c r="Q388" s="43">
        <v>15</v>
      </c>
      <c r="R388" s="43">
        <v>3</v>
      </c>
      <c r="S388" s="45"/>
      <c r="T388" t="b">
        <f>(S386+S387+S388)=P4</f>
        <v>0</v>
      </c>
      <c r="X388" s="1">
        <f t="shared" si="33"/>
        <v>0</v>
      </c>
      <c r="Y388" s="48">
        <v>0</v>
      </c>
      <c r="AA388" s="1">
        <v>2</v>
      </c>
      <c r="AB388" s="1" t="s">
        <v>14</v>
      </c>
      <c r="AC388" s="1" t="s">
        <v>20</v>
      </c>
      <c r="AD388" s="1">
        <v>11</v>
      </c>
      <c r="AE388" s="1">
        <v>10</v>
      </c>
      <c r="AF388" s="1">
        <v>0.8</v>
      </c>
      <c r="AG388" s="1">
        <v>0.88</v>
      </c>
      <c r="AH388" s="1">
        <v>0</v>
      </c>
      <c r="AI388" s="1">
        <v>0</v>
      </c>
      <c r="AJ388" s="1">
        <f t="shared" si="29"/>
        <v>0</v>
      </c>
      <c r="AK388" s="1">
        <f>E35</f>
        <v>0</v>
      </c>
      <c r="AL388" s="1">
        <f>E41</f>
        <v>0</v>
      </c>
      <c r="AM388" s="1">
        <f t="shared" si="30"/>
        <v>0</v>
      </c>
      <c r="AN388" s="1">
        <f t="shared" si="31"/>
        <v>0</v>
      </c>
      <c r="AO388" s="1">
        <f t="shared" si="32"/>
        <v>0</v>
      </c>
      <c r="AP388" t="b" cm="1">
        <f t="array" ref="AP388">INDEX($AU$8:$BB$25,6*(R388-1)+MATCH(AB388,$AS$8:$AS$13,0),MATCH(O388,$AU$7:$BB$7,0))</f>
        <v>1</v>
      </c>
    </row>
    <row r="389" spans="15:42" ht="14.25" x14ac:dyDescent="0.45">
      <c r="O389" s="43" t="s">
        <v>31</v>
      </c>
      <c r="P389" s="43">
        <v>3</v>
      </c>
      <c r="Q389" s="43">
        <v>16</v>
      </c>
      <c r="R389" s="43">
        <v>1</v>
      </c>
      <c r="S389" s="45"/>
      <c r="T389" t="b">
        <f>(S389+S390+S391)=P4</f>
        <v>0</v>
      </c>
      <c r="X389" s="1">
        <f t="shared" si="33"/>
        <v>0</v>
      </c>
      <c r="Y389" s="48">
        <v>0</v>
      </c>
      <c r="AA389" s="1">
        <v>4</v>
      </c>
      <c r="AB389" s="1" t="s">
        <v>13</v>
      </c>
      <c r="AC389" s="1" t="s">
        <v>19</v>
      </c>
      <c r="AD389" s="1">
        <v>25</v>
      </c>
      <c r="AE389" s="1">
        <v>20</v>
      </c>
      <c r="AF389" s="1">
        <v>0.8</v>
      </c>
      <c r="AG389" s="1">
        <v>0.86</v>
      </c>
      <c r="AH389" s="1">
        <v>0</v>
      </c>
      <c r="AI389" s="1">
        <v>0</v>
      </c>
      <c r="AJ389" s="1">
        <f t="shared" si="29"/>
        <v>0</v>
      </c>
      <c r="AK389" s="1">
        <f>C34</f>
        <v>0</v>
      </c>
      <c r="AL389" s="1">
        <f>C40</f>
        <v>0</v>
      </c>
      <c r="AM389" s="1">
        <f t="shared" si="30"/>
        <v>0</v>
      </c>
      <c r="AN389" s="1">
        <f t="shared" si="31"/>
        <v>0</v>
      </c>
      <c r="AO389" s="1">
        <f t="shared" si="32"/>
        <v>0</v>
      </c>
      <c r="AP389" t="b" cm="1">
        <f t="array" ref="AP389">INDEX($AU$8:$BB$25,6*(R389-1)+MATCH(AB389,$AS$8:$AS$13,0),MATCH(O389,$AU$7:$BB$7,0))</f>
        <v>1</v>
      </c>
    </row>
    <row r="390" spans="15:42" ht="14.25" x14ac:dyDescent="0.45">
      <c r="O390" s="43" t="s">
        <v>31</v>
      </c>
      <c r="P390" s="43">
        <v>3</v>
      </c>
      <c r="Q390" s="43">
        <v>16</v>
      </c>
      <c r="R390" s="43">
        <v>2</v>
      </c>
      <c r="S390" s="45"/>
      <c r="T390" t="b">
        <f>(S389+S390+S391)=P4</f>
        <v>0</v>
      </c>
      <c r="X390" s="1">
        <f t="shared" si="33"/>
        <v>0</v>
      </c>
      <c r="Y390" s="48">
        <v>0</v>
      </c>
      <c r="AA390" s="1">
        <v>4</v>
      </c>
      <c r="AB390" s="1" t="s">
        <v>13</v>
      </c>
      <c r="AC390" s="1" t="s">
        <v>19</v>
      </c>
      <c r="AD390" s="1">
        <v>25</v>
      </c>
      <c r="AE390" s="1">
        <v>20</v>
      </c>
      <c r="AF390" s="1">
        <v>0.8</v>
      </c>
      <c r="AG390" s="1">
        <v>0.86</v>
      </c>
      <c r="AH390" s="1">
        <v>0</v>
      </c>
      <c r="AI390" s="1">
        <v>0</v>
      </c>
      <c r="AJ390" s="1">
        <f t="shared" si="29"/>
        <v>0</v>
      </c>
      <c r="AK390" s="1">
        <f>D34</f>
        <v>0</v>
      </c>
      <c r="AL390" s="1">
        <f>D40</f>
        <v>0</v>
      </c>
      <c r="AM390" s="1">
        <f t="shared" si="30"/>
        <v>0</v>
      </c>
      <c r="AN390" s="1">
        <f t="shared" si="31"/>
        <v>0</v>
      </c>
      <c r="AO390" s="1">
        <f t="shared" si="32"/>
        <v>0</v>
      </c>
      <c r="AP390" t="b" cm="1">
        <f t="array" ref="AP390">INDEX($AU$8:$BB$25,6*(R390-1)+MATCH(AB390,$AS$8:$AS$13,0),MATCH(O390,$AU$7:$BB$7,0))</f>
        <v>1</v>
      </c>
    </row>
    <row r="391" spans="15:42" ht="14.25" x14ac:dyDescent="0.45">
      <c r="O391" s="43" t="s">
        <v>31</v>
      </c>
      <c r="P391" s="43">
        <v>3</v>
      </c>
      <c r="Q391" s="43">
        <v>16</v>
      </c>
      <c r="R391" s="43">
        <v>3</v>
      </c>
      <c r="S391" s="45"/>
      <c r="T391" t="b">
        <f>(S389+S390+S391)=P4</f>
        <v>0</v>
      </c>
      <c r="X391" s="1">
        <f t="shared" si="33"/>
        <v>0</v>
      </c>
      <c r="Y391" s="48">
        <v>0</v>
      </c>
      <c r="AA391" s="1">
        <v>4</v>
      </c>
      <c r="AB391" s="1" t="s">
        <v>13</v>
      </c>
      <c r="AC391" s="1" t="s">
        <v>19</v>
      </c>
      <c r="AD391" s="1">
        <v>25</v>
      </c>
      <c r="AE391" s="1">
        <v>20</v>
      </c>
      <c r="AF391" s="1">
        <v>0.8</v>
      </c>
      <c r="AG391" s="1">
        <v>0.86</v>
      </c>
      <c r="AH391" s="1">
        <v>0</v>
      </c>
      <c r="AI391" s="1">
        <v>0</v>
      </c>
      <c r="AJ391" s="1">
        <f t="shared" si="29"/>
        <v>0</v>
      </c>
      <c r="AK391" s="1">
        <f>E34</f>
        <v>0</v>
      </c>
      <c r="AL391" s="1">
        <f>E40</f>
        <v>0</v>
      </c>
      <c r="AM391" s="1">
        <f t="shared" si="30"/>
        <v>0</v>
      </c>
      <c r="AN391" s="1">
        <f t="shared" si="31"/>
        <v>0</v>
      </c>
      <c r="AO391" s="1">
        <f t="shared" si="32"/>
        <v>0</v>
      </c>
      <c r="AP391" t="b" cm="1">
        <f t="array" ref="AP391">INDEX($AU$8:$BB$25,6*(R391-1)+MATCH(AB391,$AS$8:$AS$13,0),MATCH(O391,$AU$7:$BB$7,0))</f>
        <v>1</v>
      </c>
    </row>
    <row r="392" spans="15:42" ht="14.25" x14ac:dyDescent="0.45">
      <c r="O392" s="43" t="s">
        <v>31</v>
      </c>
      <c r="P392" s="43">
        <v>3</v>
      </c>
      <c r="Q392" s="43">
        <v>17</v>
      </c>
      <c r="R392" s="43">
        <v>1</v>
      </c>
      <c r="S392" s="45"/>
      <c r="T392" t="b">
        <f>(S392+S393+S394)=P4</f>
        <v>0</v>
      </c>
      <c r="X392" s="1">
        <f t="shared" si="33"/>
        <v>0</v>
      </c>
      <c r="Y392" s="48">
        <v>0</v>
      </c>
      <c r="AA392" s="1">
        <v>1</v>
      </c>
      <c r="AB392" s="1" t="s">
        <v>16</v>
      </c>
      <c r="AC392" s="1" t="s">
        <v>22</v>
      </c>
      <c r="AD392" s="1">
        <v>14</v>
      </c>
      <c r="AE392" s="1">
        <v>13</v>
      </c>
      <c r="AF392" s="1">
        <v>0.8</v>
      </c>
      <c r="AG392" s="1">
        <v>0.9</v>
      </c>
      <c r="AH392" s="1">
        <v>0</v>
      </c>
      <c r="AI392" s="1">
        <v>0</v>
      </c>
      <c r="AJ392" s="1">
        <f t="shared" si="29"/>
        <v>0</v>
      </c>
      <c r="AK392" s="1">
        <f>C37</f>
        <v>0</v>
      </c>
      <c r="AL392" s="1">
        <f>C43</f>
        <v>0</v>
      </c>
      <c r="AM392" s="1">
        <f t="shared" si="30"/>
        <v>0</v>
      </c>
      <c r="AN392" s="1">
        <f t="shared" si="31"/>
        <v>0</v>
      </c>
      <c r="AO392" s="1">
        <f t="shared" si="32"/>
        <v>0</v>
      </c>
      <c r="AP392" t="b" cm="1">
        <f t="array" ref="AP392">INDEX($AU$8:$BB$25,6*(R392-1)+MATCH(AB392,$AS$8:$AS$13,0),MATCH(O392,$AU$7:$BB$7,0))</f>
        <v>1</v>
      </c>
    </row>
    <row r="393" spans="15:42" ht="14.25" x14ac:dyDescent="0.45">
      <c r="O393" s="43" t="s">
        <v>31</v>
      </c>
      <c r="P393" s="43">
        <v>3</v>
      </c>
      <c r="Q393" s="43">
        <v>17</v>
      </c>
      <c r="R393" s="43">
        <v>2</v>
      </c>
      <c r="S393" s="45"/>
      <c r="T393" t="b">
        <f>(S392+S393+S394)=P4</f>
        <v>0</v>
      </c>
      <c r="X393" s="1">
        <f t="shared" si="33"/>
        <v>0</v>
      </c>
      <c r="Y393" s="48">
        <v>0</v>
      </c>
      <c r="AA393" s="1">
        <v>1</v>
      </c>
      <c r="AB393" s="1" t="s">
        <v>16</v>
      </c>
      <c r="AC393" s="1" t="s">
        <v>22</v>
      </c>
      <c r="AD393" s="1">
        <v>14</v>
      </c>
      <c r="AE393" s="1">
        <v>13</v>
      </c>
      <c r="AF393" s="1">
        <v>0.8</v>
      </c>
      <c r="AG393" s="1">
        <v>0.9</v>
      </c>
      <c r="AH393" s="1">
        <v>0</v>
      </c>
      <c r="AI393" s="1">
        <v>0</v>
      </c>
      <c r="AJ393" s="1">
        <f t="shared" ref="AJ393:AJ456" si="34">SUMIFS(AH$8:AH$1039,$O$8:$O$1039,O393,$AB$8:$AB$1039,AB393,$R$8:$R$1039,R393,$AA$8:$AA$1039,"&lt;="&amp;AA393)</f>
        <v>0</v>
      </c>
      <c r="AK393" s="1">
        <f>D37</f>
        <v>0</v>
      </c>
      <c r="AL393" s="1">
        <f>D43</f>
        <v>0</v>
      </c>
      <c r="AM393" s="1">
        <f t="shared" ref="AM393:AM456" si="35">MAX(0,AJ393-AK393)</f>
        <v>0</v>
      </c>
      <c r="AN393" s="1">
        <f t="shared" ref="AN393:AN456" si="36">IF(AM393=0,AH393,IF(AM393&gt;=AH393,0,AH393-AM393))</f>
        <v>0</v>
      </c>
      <c r="AO393" s="1">
        <f t="shared" ref="AO393:AO456" si="37">IF(AM393&gt;=AH393,AI393,AI393*AM393/AH393)</f>
        <v>0</v>
      </c>
      <c r="AP393" t="b" cm="1">
        <f t="array" ref="AP393">INDEX($AU$8:$BB$25,6*(R393-1)+MATCH(AB393,$AS$8:$AS$13,0),MATCH(O393,$AU$7:$BB$7,0))</f>
        <v>1</v>
      </c>
    </row>
    <row r="394" spans="15:42" ht="14.25" x14ac:dyDescent="0.45">
      <c r="O394" s="43" t="s">
        <v>31</v>
      </c>
      <c r="P394" s="43">
        <v>3</v>
      </c>
      <c r="Q394" s="43">
        <v>17</v>
      </c>
      <c r="R394" s="43">
        <v>3</v>
      </c>
      <c r="S394" s="45"/>
      <c r="T394" t="b">
        <f>(S392+S393+S394)=P4</f>
        <v>0</v>
      </c>
      <c r="X394" s="1">
        <f t="shared" si="33"/>
        <v>0</v>
      </c>
      <c r="Y394" s="48">
        <v>0</v>
      </c>
      <c r="AA394" s="1">
        <v>1</v>
      </c>
      <c r="AB394" s="1" t="s">
        <v>16</v>
      </c>
      <c r="AC394" s="1" t="s">
        <v>22</v>
      </c>
      <c r="AD394" s="1">
        <v>14</v>
      </c>
      <c r="AE394" s="1">
        <v>13</v>
      </c>
      <c r="AF394" s="1">
        <v>0.8</v>
      </c>
      <c r="AG394" s="1">
        <v>0.9</v>
      </c>
      <c r="AH394" s="1">
        <v>0</v>
      </c>
      <c r="AI394" s="1">
        <v>0</v>
      </c>
      <c r="AJ394" s="1">
        <f t="shared" si="34"/>
        <v>0</v>
      </c>
      <c r="AK394" s="1">
        <f>E37</f>
        <v>0</v>
      </c>
      <c r="AL394" s="1">
        <f>E43</f>
        <v>0</v>
      </c>
      <c r="AM394" s="1">
        <f t="shared" si="35"/>
        <v>0</v>
      </c>
      <c r="AN394" s="1">
        <f t="shared" si="36"/>
        <v>0</v>
      </c>
      <c r="AO394" s="1">
        <f t="shared" si="37"/>
        <v>0</v>
      </c>
      <c r="AP394" t="b" cm="1">
        <f t="array" ref="AP394">INDEX($AU$8:$BB$25,6*(R394-1)+MATCH(AB394,$AS$8:$AS$13,0),MATCH(O394,$AU$7:$BB$7,0))</f>
        <v>1</v>
      </c>
    </row>
    <row r="395" spans="15:42" ht="14.25" x14ac:dyDescent="0.45">
      <c r="O395" s="43" t="s">
        <v>32</v>
      </c>
      <c r="P395" s="43">
        <v>1</v>
      </c>
      <c r="Q395" s="43">
        <v>1</v>
      </c>
      <c r="R395" s="43">
        <v>1</v>
      </c>
      <c r="S395" s="45"/>
      <c r="T395" t="b">
        <f>(S395+S396+S397)=Q2</f>
        <v>0</v>
      </c>
      <c r="X395" s="1">
        <v>0</v>
      </c>
      <c r="Y395" s="48">
        <v>0</v>
      </c>
      <c r="AA395" s="1">
        <v>4</v>
      </c>
      <c r="AB395" s="1" t="s">
        <v>14</v>
      </c>
      <c r="AC395" s="1" t="s">
        <v>20</v>
      </c>
      <c r="AD395" s="1">
        <v>14</v>
      </c>
      <c r="AE395" s="1">
        <v>12</v>
      </c>
      <c r="AF395" s="1">
        <v>0.8</v>
      </c>
      <c r="AG395" s="1">
        <v>0.88</v>
      </c>
      <c r="AH395" s="1">
        <v>0</v>
      </c>
      <c r="AI395" s="1">
        <v>0</v>
      </c>
      <c r="AJ395" s="1">
        <f t="shared" si="34"/>
        <v>0</v>
      </c>
      <c r="AK395" s="1">
        <f>C47</f>
        <v>0</v>
      </c>
      <c r="AL395" s="1">
        <f>C53</f>
        <v>0</v>
      </c>
      <c r="AM395" s="1">
        <f t="shared" si="35"/>
        <v>0</v>
      </c>
      <c r="AN395" s="1">
        <f t="shared" si="36"/>
        <v>0</v>
      </c>
      <c r="AO395" s="1">
        <f t="shared" si="37"/>
        <v>0</v>
      </c>
      <c r="AP395" t="b" cm="1">
        <f t="array" ref="AP395">INDEX($AU$8:$BB$25,6*(R395-1)+MATCH(AB395,$AS$8:$AS$13,0),MATCH(O395,$AU$7:$BB$7,0))</f>
        <v>1</v>
      </c>
    </row>
    <row r="396" spans="15:42" ht="14.25" x14ac:dyDescent="0.45">
      <c r="O396" s="43" t="s">
        <v>32</v>
      </c>
      <c r="P396" s="43">
        <v>1</v>
      </c>
      <c r="Q396" s="43">
        <v>1</v>
      </c>
      <c r="R396" s="43">
        <v>2</v>
      </c>
      <c r="S396" s="45"/>
      <c r="T396" t="b">
        <f>(S395+S396+S397)=Q2</f>
        <v>0</v>
      </c>
      <c r="X396" s="1">
        <v>0</v>
      </c>
      <c r="Y396" s="48">
        <v>0</v>
      </c>
      <c r="AA396" s="1">
        <v>4</v>
      </c>
      <c r="AB396" s="1" t="s">
        <v>14</v>
      </c>
      <c r="AC396" s="1" t="s">
        <v>20</v>
      </c>
      <c r="AD396" s="1">
        <v>14</v>
      </c>
      <c r="AE396" s="1">
        <v>12</v>
      </c>
      <c r="AF396" s="1">
        <v>0.8</v>
      </c>
      <c r="AG396" s="1">
        <v>0.88</v>
      </c>
      <c r="AH396" s="1">
        <v>0</v>
      </c>
      <c r="AI396" s="1">
        <v>0</v>
      </c>
      <c r="AJ396" s="1">
        <f t="shared" si="34"/>
        <v>0</v>
      </c>
      <c r="AK396" s="1">
        <f>D47</f>
        <v>0</v>
      </c>
      <c r="AL396" s="1">
        <f>D53</f>
        <v>0</v>
      </c>
      <c r="AM396" s="1">
        <f t="shared" si="35"/>
        <v>0</v>
      </c>
      <c r="AN396" s="1">
        <f t="shared" si="36"/>
        <v>0</v>
      </c>
      <c r="AO396" s="1">
        <f t="shared" si="37"/>
        <v>0</v>
      </c>
      <c r="AP396" t="b" cm="1">
        <f t="array" ref="AP396">INDEX($AU$8:$BB$25,6*(R396-1)+MATCH(AB396,$AS$8:$AS$13,0),MATCH(O396,$AU$7:$BB$7,0))</f>
        <v>1</v>
      </c>
    </row>
    <row r="397" spans="15:42" ht="14.25" x14ac:dyDescent="0.45">
      <c r="O397" s="43" t="s">
        <v>32</v>
      </c>
      <c r="P397" s="43">
        <v>1</v>
      </c>
      <c r="Q397" s="43">
        <v>1</v>
      </c>
      <c r="R397" s="43">
        <v>3</v>
      </c>
      <c r="S397" s="45"/>
      <c r="T397" t="b">
        <f>(S395+S396+S397)=Q2</f>
        <v>0</v>
      </c>
      <c r="X397" s="1">
        <v>0</v>
      </c>
      <c r="Y397" s="48">
        <v>0</v>
      </c>
      <c r="AA397" s="1">
        <v>4</v>
      </c>
      <c r="AB397" s="1" t="s">
        <v>14</v>
      </c>
      <c r="AC397" s="1" t="s">
        <v>20</v>
      </c>
      <c r="AD397" s="1">
        <v>14</v>
      </c>
      <c r="AE397" s="1">
        <v>12</v>
      </c>
      <c r="AF397" s="1">
        <v>0.8</v>
      </c>
      <c r="AG397" s="1">
        <v>0.88</v>
      </c>
      <c r="AH397" s="1">
        <v>0</v>
      </c>
      <c r="AI397" s="1">
        <v>0</v>
      </c>
      <c r="AJ397" s="1">
        <f t="shared" si="34"/>
        <v>0</v>
      </c>
      <c r="AK397" s="1">
        <f>E47</f>
        <v>0</v>
      </c>
      <c r="AL397" s="1">
        <f>E53</f>
        <v>0</v>
      </c>
      <c r="AM397" s="1">
        <f t="shared" si="35"/>
        <v>0</v>
      </c>
      <c r="AN397" s="1">
        <f t="shared" si="36"/>
        <v>0</v>
      </c>
      <c r="AO397" s="1">
        <f t="shared" si="37"/>
        <v>0</v>
      </c>
      <c r="AP397" t="b" cm="1">
        <f t="array" ref="AP397">INDEX($AU$8:$BB$25,6*(R397-1)+MATCH(AB397,$AS$8:$AS$13,0),MATCH(O397,$AU$7:$BB$7,0))</f>
        <v>1</v>
      </c>
    </row>
    <row r="398" spans="15:42" ht="14.25" x14ac:dyDescent="0.45">
      <c r="O398" s="43" t="s">
        <v>32</v>
      </c>
      <c r="P398" s="43">
        <v>1</v>
      </c>
      <c r="Q398" s="43">
        <v>2</v>
      </c>
      <c r="R398" s="43">
        <v>1</v>
      </c>
      <c r="S398" s="45"/>
      <c r="T398" t="b">
        <f>(S398+S399+S400)=Q2</f>
        <v>0</v>
      </c>
      <c r="X398" s="1">
        <f>MAX(S395-S398,0)</f>
        <v>0</v>
      </c>
      <c r="Y398" s="48">
        <v>0</v>
      </c>
      <c r="AA398" s="1">
        <v>10</v>
      </c>
      <c r="AB398" s="1" t="s">
        <v>16</v>
      </c>
      <c r="AC398" s="1" t="s">
        <v>22</v>
      </c>
      <c r="AD398" s="1">
        <v>25</v>
      </c>
      <c r="AE398" s="1">
        <v>21</v>
      </c>
      <c r="AF398" s="1">
        <v>0.8</v>
      </c>
      <c r="AG398" s="1">
        <v>0.9</v>
      </c>
      <c r="AH398" s="1">
        <v>0</v>
      </c>
      <c r="AI398" s="1">
        <v>0</v>
      </c>
      <c r="AJ398" s="1">
        <f t="shared" si="34"/>
        <v>0</v>
      </c>
      <c r="AK398" s="1">
        <f>C49</f>
        <v>0</v>
      </c>
      <c r="AL398" s="1">
        <f>C55</f>
        <v>0</v>
      </c>
      <c r="AM398" s="1">
        <f t="shared" si="35"/>
        <v>0</v>
      </c>
      <c r="AN398" s="1">
        <f t="shared" si="36"/>
        <v>0</v>
      </c>
      <c r="AO398" s="1">
        <f t="shared" si="37"/>
        <v>0</v>
      </c>
      <c r="AP398" t="b" cm="1">
        <f t="array" ref="AP398">INDEX($AU$8:$BB$25,6*(R398-1)+MATCH(AB398,$AS$8:$AS$13,0),MATCH(O398,$AU$7:$BB$7,0))</f>
        <v>1</v>
      </c>
    </row>
    <row r="399" spans="15:42" ht="14.25" x14ac:dyDescent="0.45">
      <c r="O399" s="43" t="s">
        <v>32</v>
      </c>
      <c r="P399" s="43">
        <v>1</v>
      </c>
      <c r="Q399" s="43">
        <v>2</v>
      </c>
      <c r="R399" s="43">
        <v>2</v>
      </c>
      <c r="S399" s="45"/>
      <c r="T399" t="b">
        <f>(S398+S399+S400)=Q2</f>
        <v>0</v>
      </c>
      <c r="X399" s="1">
        <f t="shared" ref="X399:X427" si="38">MAX(S396-S399,0)</f>
        <v>0</v>
      </c>
      <c r="Y399" s="48">
        <v>0</v>
      </c>
      <c r="AA399" s="1">
        <v>10</v>
      </c>
      <c r="AB399" s="1" t="s">
        <v>16</v>
      </c>
      <c r="AC399" s="1" t="s">
        <v>22</v>
      </c>
      <c r="AD399" s="1">
        <v>25</v>
      </c>
      <c r="AE399" s="1">
        <v>21</v>
      </c>
      <c r="AF399" s="1">
        <v>0.8</v>
      </c>
      <c r="AG399" s="1">
        <v>0.9</v>
      </c>
      <c r="AH399" s="1">
        <v>0</v>
      </c>
      <c r="AI399" s="1">
        <v>0</v>
      </c>
      <c r="AJ399" s="1">
        <f t="shared" si="34"/>
        <v>0</v>
      </c>
      <c r="AK399" s="1">
        <f>D49</f>
        <v>0</v>
      </c>
      <c r="AL399" s="1">
        <f>D55</f>
        <v>0</v>
      </c>
      <c r="AM399" s="1">
        <f t="shared" si="35"/>
        <v>0</v>
      </c>
      <c r="AN399" s="1">
        <f t="shared" si="36"/>
        <v>0</v>
      </c>
      <c r="AO399" s="1">
        <f t="shared" si="37"/>
        <v>0</v>
      </c>
      <c r="AP399" t="b" cm="1">
        <f t="array" ref="AP399">INDEX($AU$8:$BB$25,6*(R399-1)+MATCH(AB399,$AS$8:$AS$13,0),MATCH(O399,$AU$7:$BB$7,0))</f>
        <v>1</v>
      </c>
    </row>
    <row r="400" spans="15:42" ht="14.25" x14ac:dyDescent="0.45">
      <c r="O400" s="43" t="s">
        <v>32</v>
      </c>
      <c r="P400" s="43">
        <v>1</v>
      </c>
      <c r="Q400" s="43">
        <v>2</v>
      </c>
      <c r="R400" s="43">
        <v>3</v>
      </c>
      <c r="S400" s="45"/>
      <c r="T400" t="b">
        <f>(S398+S399+S400)=Q2</f>
        <v>0</v>
      </c>
      <c r="X400" s="1">
        <f t="shared" si="38"/>
        <v>0</v>
      </c>
      <c r="Y400" s="48">
        <v>0</v>
      </c>
      <c r="AA400" s="1">
        <v>10</v>
      </c>
      <c r="AB400" s="1" t="s">
        <v>16</v>
      </c>
      <c r="AC400" s="1" t="s">
        <v>22</v>
      </c>
      <c r="AD400" s="1">
        <v>25</v>
      </c>
      <c r="AE400" s="1">
        <v>21</v>
      </c>
      <c r="AF400" s="1">
        <v>0.8</v>
      </c>
      <c r="AG400" s="1">
        <v>0.9</v>
      </c>
      <c r="AH400" s="1">
        <v>0</v>
      </c>
      <c r="AI400" s="1">
        <v>0</v>
      </c>
      <c r="AJ400" s="1">
        <f t="shared" si="34"/>
        <v>0</v>
      </c>
      <c r="AK400" s="1">
        <f>E49</f>
        <v>0</v>
      </c>
      <c r="AL400" s="1">
        <f>E55</f>
        <v>0</v>
      </c>
      <c r="AM400" s="1">
        <f t="shared" si="35"/>
        <v>0</v>
      </c>
      <c r="AN400" s="1">
        <f t="shared" si="36"/>
        <v>0</v>
      </c>
      <c r="AO400" s="1">
        <f t="shared" si="37"/>
        <v>0</v>
      </c>
      <c r="AP400" t="b" cm="1">
        <f t="array" ref="AP400">INDEX($AU$8:$BB$25,6*(R400-1)+MATCH(AB400,$AS$8:$AS$13,0),MATCH(O400,$AU$7:$BB$7,0))</f>
        <v>1</v>
      </c>
    </row>
    <row r="401" spans="15:42" ht="14.25" x14ac:dyDescent="0.45">
      <c r="O401" s="43" t="s">
        <v>32</v>
      </c>
      <c r="P401" s="43">
        <v>1</v>
      </c>
      <c r="Q401" s="43">
        <v>3</v>
      </c>
      <c r="R401" s="43">
        <v>1</v>
      </c>
      <c r="S401" s="45"/>
      <c r="T401" t="b">
        <f>(S401+S402+S403)=Q2</f>
        <v>0</v>
      </c>
      <c r="X401" s="1">
        <f t="shared" si="38"/>
        <v>0</v>
      </c>
      <c r="Y401" s="48">
        <v>0</v>
      </c>
      <c r="AA401" s="1">
        <v>8</v>
      </c>
      <c r="AB401" s="1" t="s">
        <v>16</v>
      </c>
      <c r="AC401" s="1" t="s">
        <v>22</v>
      </c>
      <c r="AD401" s="1">
        <v>27</v>
      </c>
      <c r="AE401" s="1">
        <v>23</v>
      </c>
      <c r="AF401" s="1">
        <v>0.8</v>
      </c>
      <c r="AG401" s="1">
        <v>0.9</v>
      </c>
      <c r="AH401" s="1">
        <v>0</v>
      </c>
      <c r="AI401" s="1">
        <v>0</v>
      </c>
      <c r="AJ401" s="1">
        <f t="shared" si="34"/>
        <v>0</v>
      </c>
      <c r="AK401" s="1">
        <f>C49</f>
        <v>0</v>
      </c>
      <c r="AL401" s="1">
        <f>C55</f>
        <v>0</v>
      </c>
      <c r="AM401" s="1">
        <f t="shared" si="35"/>
        <v>0</v>
      </c>
      <c r="AN401" s="1">
        <f t="shared" si="36"/>
        <v>0</v>
      </c>
      <c r="AO401" s="1">
        <f t="shared" si="37"/>
        <v>0</v>
      </c>
      <c r="AP401" t="b" cm="1">
        <f t="array" ref="AP401">INDEX($AU$8:$BB$25,6*(R401-1)+MATCH(AB401,$AS$8:$AS$13,0),MATCH(O401,$AU$7:$BB$7,0))</f>
        <v>1</v>
      </c>
    </row>
    <row r="402" spans="15:42" ht="14.25" x14ac:dyDescent="0.45">
      <c r="O402" s="43" t="s">
        <v>32</v>
      </c>
      <c r="P402" s="43">
        <v>1</v>
      </c>
      <c r="Q402" s="43">
        <v>3</v>
      </c>
      <c r="R402" s="43">
        <v>2</v>
      </c>
      <c r="S402" s="45"/>
      <c r="T402" t="b">
        <f>(S401+S402+S403)=Q2</f>
        <v>0</v>
      </c>
      <c r="X402" s="1">
        <f t="shared" si="38"/>
        <v>0</v>
      </c>
      <c r="Y402" s="48">
        <v>0</v>
      </c>
      <c r="AA402" s="1">
        <v>8</v>
      </c>
      <c r="AB402" s="1" t="s">
        <v>16</v>
      </c>
      <c r="AC402" s="1" t="s">
        <v>22</v>
      </c>
      <c r="AD402" s="1">
        <v>27</v>
      </c>
      <c r="AE402" s="1">
        <v>23</v>
      </c>
      <c r="AF402" s="1">
        <v>0.8</v>
      </c>
      <c r="AG402" s="1">
        <v>0.9</v>
      </c>
      <c r="AH402" s="1">
        <v>0</v>
      </c>
      <c r="AI402" s="1">
        <v>0</v>
      </c>
      <c r="AJ402" s="1">
        <f t="shared" si="34"/>
        <v>0</v>
      </c>
      <c r="AK402" s="1">
        <f>D49</f>
        <v>0</v>
      </c>
      <c r="AL402" s="1">
        <f>D55</f>
        <v>0</v>
      </c>
      <c r="AM402" s="1">
        <f t="shared" si="35"/>
        <v>0</v>
      </c>
      <c r="AN402" s="1">
        <f t="shared" si="36"/>
        <v>0</v>
      </c>
      <c r="AO402" s="1">
        <f t="shared" si="37"/>
        <v>0</v>
      </c>
      <c r="AP402" t="b" cm="1">
        <f t="array" ref="AP402">INDEX($AU$8:$BB$25,6*(R402-1)+MATCH(AB402,$AS$8:$AS$13,0),MATCH(O402,$AU$7:$BB$7,0))</f>
        <v>1</v>
      </c>
    </row>
    <row r="403" spans="15:42" ht="14.25" x14ac:dyDescent="0.45">
      <c r="O403" s="43" t="s">
        <v>32</v>
      </c>
      <c r="P403" s="43">
        <v>1</v>
      </c>
      <c r="Q403" s="43">
        <v>3</v>
      </c>
      <c r="R403" s="43">
        <v>3</v>
      </c>
      <c r="S403" s="45"/>
      <c r="T403" t="b">
        <f>(S401+S402+S403)=Q2</f>
        <v>0</v>
      </c>
      <c r="X403" s="1">
        <f t="shared" si="38"/>
        <v>0</v>
      </c>
      <c r="Y403" s="48">
        <v>0</v>
      </c>
      <c r="AA403" s="1">
        <v>8</v>
      </c>
      <c r="AB403" s="1" t="s">
        <v>16</v>
      </c>
      <c r="AC403" s="1" t="s">
        <v>22</v>
      </c>
      <c r="AD403" s="1">
        <v>27</v>
      </c>
      <c r="AE403" s="1">
        <v>23</v>
      </c>
      <c r="AF403" s="1">
        <v>0.8</v>
      </c>
      <c r="AG403" s="1">
        <v>0.9</v>
      </c>
      <c r="AH403" s="1">
        <v>0</v>
      </c>
      <c r="AI403" s="1">
        <v>0</v>
      </c>
      <c r="AJ403" s="1">
        <f t="shared" si="34"/>
        <v>0</v>
      </c>
      <c r="AK403" s="1">
        <f>E49</f>
        <v>0</v>
      </c>
      <c r="AL403" s="1">
        <f>E55</f>
        <v>0</v>
      </c>
      <c r="AM403" s="1">
        <f t="shared" si="35"/>
        <v>0</v>
      </c>
      <c r="AN403" s="1">
        <f t="shared" si="36"/>
        <v>0</v>
      </c>
      <c r="AO403" s="1">
        <f t="shared" si="37"/>
        <v>0</v>
      </c>
      <c r="AP403" t="b" cm="1">
        <f t="array" ref="AP403">INDEX($AU$8:$BB$25,6*(R403-1)+MATCH(AB403,$AS$8:$AS$13,0),MATCH(O403,$AU$7:$BB$7,0))</f>
        <v>1</v>
      </c>
    </row>
    <row r="404" spans="15:42" ht="14.25" x14ac:dyDescent="0.45">
      <c r="O404" s="43" t="s">
        <v>32</v>
      </c>
      <c r="P404" s="43">
        <v>1</v>
      </c>
      <c r="Q404" s="43">
        <v>4</v>
      </c>
      <c r="R404" s="43">
        <v>1</v>
      </c>
      <c r="S404" s="45"/>
      <c r="T404" t="b">
        <f>(S404+S405+S406)=Q2</f>
        <v>0</v>
      </c>
      <c r="X404" s="1">
        <f t="shared" si="38"/>
        <v>0</v>
      </c>
      <c r="Y404" s="48">
        <v>0</v>
      </c>
      <c r="AA404" s="1">
        <v>3</v>
      </c>
      <c r="AB404" s="1" t="s">
        <v>10</v>
      </c>
      <c r="AC404" s="1" t="s">
        <v>17</v>
      </c>
      <c r="AD404" s="1">
        <v>20</v>
      </c>
      <c r="AE404" s="1">
        <v>16</v>
      </c>
      <c r="AF404" s="1">
        <v>0.78</v>
      </c>
      <c r="AG404" s="1">
        <v>0.84</v>
      </c>
      <c r="AH404" s="1">
        <v>0</v>
      </c>
      <c r="AI404" s="1">
        <v>0</v>
      </c>
      <c r="AJ404" s="1">
        <f t="shared" si="34"/>
        <v>0</v>
      </c>
      <c r="AK404" s="1">
        <f>C44</f>
        <v>0</v>
      </c>
      <c r="AL404" s="1">
        <f>C50</f>
        <v>0</v>
      </c>
      <c r="AM404" s="1">
        <f t="shared" si="35"/>
        <v>0</v>
      </c>
      <c r="AN404" s="1">
        <f t="shared" si="36"/>
        <v>0</v>
      </c>
      <c r="AO404" s="1">
        <f t="shared" si="37"/>
        <v>0</v>
      </c>
      <c r="AP404" t="b" cm="1">
        <f t="array" ref="AP404">INDEX($AU$8:$BB$25,6*(R404-1)+MATCH(AB404,$AS$8:$AS$13,0),MATCH(O404,$AU$7:$BB$7,0))</f>
        <v>1</v>
      </c>
    </row>
    <row r="405" spans="15:42" ht="14.25" x14ac:dyDescent="0.45">
      <c r="O405" s="43" t="s">
        <v>32</v>
      </c>
      <c r="P405" s="43">
        <v>1</v>
      </c>
      <c r="Q405" s="43">
        <v>4</v>
      </c>
      <c r="R405" s="43">
        <v>2</v>
      </c>
      <c r="S405" s="45"/>
      <c r="T405" t="b">
        <f>(S404+S405+S406)=Q2</f>
        <v>0</v>
      </c>
      <c r="X405" s="1">
        <f t="shared" si="38"/>
        <v>0</v>
      </c>
      <c r="Y405" s="48">
        <v>0</v>
      </c>
      <c r="AA405" s="1">
        <v>3</v>
      </c>
      <c r="AB405" s="1" t="s">
        <v>10</v>
      </c>
      <c r="AC405" s="1" t="s">
        <v>17</v>
      </c>
      <c r="AD405" s="1">
        <v>20</v>
      </c>
      <c r="AE405" s="1">
        <v>16</v>
      </c>
      <c r="AF405" s="1">
        <v>0.78</v>
      </c>
      <c r="AG405" s="1">
        <v>0.84</v>
      </c>
      <c r="AH405" s="1">
        <v>0</v>
      </c>
      <c r="AI405" s="1">
        <v>0</v>
      </c>
      <c r="AJ405" s="1">
        <f t="shared" si="34"/>
        <v>0</v>
      </c>
      <c r="AK405" s="1">
        <f>D44</f>
        <v>0</v>
      </c>
      <c r="AL405" s="1">
        <f>D50</f>
        <v>0</v>
      </c>
      <c r="AM405" s="1">
        <f t="shared" si="35"/>
        <v>0</v>
      </c>
      <c r="AN405" s="1">
        <f t="shared" si="36"/>
        <v>0</v>
      </c>
      <c r="AO405" s="1">
        <f t="shared" si="37"/>
        <v>0</v>
      </c>
      <c r="AP405" t="b" cm="1">
        <f t="array" ref="AP405">INDEX($AU$8:$BB$25,6*(R405-1)+MATCH(AB405,$AS$8:$AS$13,0),MATCH(O405,$AU$7:$BB$7,0))</f>
        <v>1</v>
      </c>
    </row>
    <row r="406" spans="15:42" ht="14.25" x14ac:dyDescent="0.45">
      <c r="O406" s="43" t="s">
        <v>32</v>
      </c>
      <c r="P406" s="43">
        <v>1</v>
      </c>
      <c r="Q406" s="43">
        <v>4</v>
      </c>
      <c r="R406" s="43">
        <v>3</v>
      </c>
      <c r="S406" s="45"/>
      <c r="T406" t="b">
        <f>(S404+S405+S406)=Q2</f>
        <v>0</v>
      </c>
      <c r="X406" s="1">
        <f t="shared" si="38"/>
        <v>0</v>
      </c>
      <c r="Y406" s="48">
        <v>0</v>
      </c>
      <c r="AA406" s="1">
        <v>3</v>
      </c>
      <c r="AB406" s="1" t="s">
        <v>10</v>
      </c>
      <c r="AC406" s="1" t="s">
        <v>17</v>
      </c>
      <c r="AD406" s="1">
        <v>20</v>
      </c>
      <c r="AE406" s="1">
        <v>16</v>
      </c>
      <c r="AF406" s="1">
        <v>0.78</v>
      </c>
      <c r="AG406" s="1">
        <v>0.84</v>
      </c>
      <c r="AH406" s="1">
        <v>0</v>
      </c>
      <c r="AI406" s="1">
        <v>0</v>
      </c>
      <c r="AJ406" s="1">
        <f t="shared" si="34"/>
        <v>0</v>
      </c>
      <c r="AK406" s="1">
        <f>E44</f>
        <v>0</v>
      </c>
      <c r="AL406" s="1">
        <f>E50</f>
        <v>0</v>
      </c>
      <c r="AM406" s="1">
        <f t="shared" si="35"/>
        <v>0</v>
      </c>
      <c r="AN406" s="1">
        <f t="shared" si="36"/>
        <v>0</v>
      </c>
      <c r="AO406" s="1">
        <f t="shared" si="37"/>
        <v>0</v>
      </c>
      <c r="AP406" t="b" cm="1">
        <f t="array" ref="AP406">INDEX($AU$8:$BB$25,6*(R406-1)+MATCH(AB406,$AS$8:$AS$13,0),MATCH(O406,$AU$7:$BB$7,0))</f>
        <v>1</v>
      </c>
    </row>
    <row r="407" spans="15:42" ht="14.25" x14ac:dyDescent="0.45">
      <c r="O407" s="43" t="s">
        <v>32</v>
      </c>
      <c r="P407" s="43">
        <v>1</v>
      </c>
      <c r="Q407" s="43">
        <v>5</v>
      </c>
      <c r="R407" s="43">
        <v>1</v>
      </c>
      <c r="S407" s="45"/>
      <c r="T407" t="b">
        <f>(S407+S408+S409)=Q2</f>
        <v>0</v>
      </c>
      <c r="X407" s="1">
        <f t="shared" si="38"/>
        <v>0</v>
      </c>
      <c r="Y407" s="48">
        <v>0</v>
      </c>
      <c r="AA407" s="1">
        <v>11</v>
      </c>
      <c r="AB407" s="1" t="s">
        <v>16</v>
      </c>
      <c r="AC407" s="1" t="s">
        <v>22</v>
      </c>
      <c r="AD407" s="1">
        <v>12</v>
      </c>
      <c r="AE407" s="1">
        <v>9</v>
      </c>
      <c r="AF407" s="1">
        <v>0.8</v>
      </c>
      <c r="AG407" s="1">
        <v>0.9</v>
      </c>
      <c r="AH407" s="1">
        <v>0</v>
      </c>
      <c r="AI407" s="1">
        <v>0</v>
      </c>
      <c r="AJ407" s="1">
        <f t="shared" si="34"/>
        <v>0</v>
      </c>
      <c r="AK407" s="1">
        <f>C49</f>
        <v>0</v>
      </c>
      <c r="AL407" s="1">
        <f>C55</f>
        <v>0</v>
      </c>
      <c r="AM407" s="1">
        <f t="shared" si="35"/>
        <v>0</v>
      </c>
      <c r="AN407" s="1">
        <f t="shared" si="36"/>
        <v>0</v>
      </c>
      <c r="AO407" s="1">
        <f t="shared" si="37"/>
        <v>0</v>
      </c>
      <c r="AP407" t="b" cm="1">
        <f t="array" ref="AP407">INDEX($AU$8:$BB$25,6*(R407-1)+MATCH(AB407,$AS$8:$AS$13,0),MATCH(O407,$AU$7:$BB$7,0))</f>
        <v>1</v>
      </c>
    </row>
    <row r="408" spans="15:42" ht="14.25" x14ac:dyDescent="0.45">
      <c r="O408" s="43" t="s">
        <v>32</v>
      </c>
      <c r="P408" s="43">
        <v>1</v>
      </c>
      <c r="Q408" s="43">
        <v>5</v>
      </c>
      <c r="R408" s="43">
        <v>2</v>
      </c>
      <c r="S408" s="45"/>
      <c r="T408" t="b">
        <f>(S407+S408+S409)=Q2</f>
        <v>0</v>
      </c>
      <c r="X408" s="1">
        <f t="shared" si="38"/>
        <v>0</v>
      </c>
      <c r="Y408" s="48">
        <v>0</v>
      </c>
      <c r="AA408" s="1">
        <v>11</v>
      </c>
      <c r="AB408" s="1" t="s">
        <v>16</v>
      </c>
      <c r="AC408" s="1" t="s">
        <v>22</v>
      </c>
      <c r="AD408" s="1">
        <v>12</v>
      </c>
      <c r="AE408" s="1">
        <v>9</v>
      </c>
      <c r="AF408" s="1">
        <v>0.8</v>
      </c>
      <c r="AG408" s="1">
        <v>0.9</v>
      </c>
      <c r="AH408" s="1">
        <v>0</v>
      </c>
      <c r="AI408" s="1">
        <v>0</v>
      </c>
      <c r="AJ408" s="1">
        <f t="shared" si="34"/>
        <v>0</v>
      </c>
      <c r="AK408" s="1">
        <f>D49</f>
        <v>0</v>
      </c>
      <c r="AL408" s="1">
        <f>D55</f>
        <v>0</v>
      </c>
      <c r="AM408" s="1">
        <f t="shared" si="35"/>
        <v>0</v>
      </c>
      <c r="AN408" s="1">
        <f t="shared" si="36"/>
        <v>0</v>
      </c>
      <c r="AO408" s="1">
        <f t="shared" si="37"/>
        <v>0</v>
      </c>
      <c r="AP408" t="b" cm="1">
        <f t="array" ref="AP408">INDEX($AU$8:$BB$25,6*(R408-1)+MATCH(AB408,$AS$8:$AS$13,0),MATCH(O408,$AU$7:$BB$7,0))</f>
        <v>1</v>
      </c>
    </row>
    <row r="409" spans="15:42" ht="14.25" x14ac:dyDescent="0.45">
      <c r="O409" s="43" t="s">
        <v>32</v>
      </c>
      <c r="P409" s="43">
        <v>1</v>
      </c>
      <c r="Q409" s="43">
        <v>5</v>
      </c>
      <c r="R409" s="43">
        <v>3</v>
      </c>
      <c r="S409" s="45"/>
      <c r="T409" t="b">
        <f>(S407+S408+S409)=Q2</f>
        <v>0</v>
      </c>
      <c r="X409" s="1">
        <f t="shared" si="38"/>
        <v>0</v>
      </c>
      <c r="Y409" s="48">
        <v>0</v>
      </c>
      <c r="AA409" s="1">
        <v>11</v>
      </c>
      <c r="AB409" s="1" t="s">
        <v>16</v>
      </c>
      <c r="AC409" s="1" t="s">
        <v>22</v>
      </c>
      <c r="AD409" s="1">
        <v>12</v>
      </c>
      <c r="AE409" s="1">
        <v>9</v>
      </c>
      <c r="AF409" s="1">
        <v>0.8</v>
      </c>
      <c r="AG409" s="1">
        <v>0.9</v>
      </c>
      <c r="AH409" s="1">
        <v>0</v>
      </c>
      <c r="AI409" s="1">
        <v>0</v>
      </c>
      <c r="AJ409" s="1">
        <f t="shared" si="34"/>
        <v>0</v>
      </c>
      <c r="AK409" s="1">
        <f>E49</f>
        <v>0</v>
      </c>
      <c r="AL409" s="1">
        <f>E55</f>
        <v>0</v>
      </c>
      <c r="AM409" s="1">
        <f t="shared" si="35"/>
        <v>0</v>
      </c>
      <c r="AN409" s="1">
        <f t="shared" si="36"/>
        <v>0</v>
      </c>
      <c r="AO409" s="1">
        <f t="shared" si="37"/>
        <v>0</v>
      </c>
      <c r="AP409" t="b" cm="1">
        <f t="array" ref="AP409">INDEX($AU$8:$BB$25,6*(R409-1)+MATCH(AB409,$AS$8:$AS$13,0),MATCH(O409,$AU$7:$BB$7,0))</f>
        <v>1</v>
      </c>
    </row>
    <row r="410" spans="15:42" ht="14.25" x14ac:dyDescent="0.45">
      <c r="O410" s="43" t="s">
        <v>32</v>
      </c>
      <c r="P410" s="43">
        <v>1</v>
      </c>
      <c r="Q410" s="43">
        <v>6</v>
      </c>
      <c r="R410" s="43">
        <v>1</v>
      </c>
      <c r="S410" s="45"/>
      <c r="T410" t="b">
        <f>(S410+S411+S412)=Q2</f>
        <v>0</v>
      </c>
      <c r="X410" s="1">
        <f t="shared" si="38"/>
        <v>0</v>
      </c>
      <c r="Y410" s="48">
        <v>0</v>
      </c>
      <c r="AA410" s="1">
        <v>7</v>
      </c>
      <c r="AB410" s="1" t="s">
        <v>14</v>
      </c>
      <c r="AC410" s="1" t="s">
        <v>20</v>
      </c>
      <c r="AD410" s="1">
        <v>27</v>
      </c>
      <c r="AE410" s="1">
        <v>21</v>
      </c>
      <c r="AF410" s="1">
        <v>0.8</v>
      </c>
      <c r="AG410" s="1">
        <v>0.88</v>
      </c>
      <c r="AH410" s="1">
        <v>0</v>
      </c>
      <c r="AI410" s="1">
        <v>0</v>
      </c>
      <c r="AJ410" s="1">
        <f t="shared" si="34"/>
        <v>0</v>
      </c>
      <c r="AK410" s="1">
        <f>C47</f>
        <v>0</v>
      </c>
      <c r="AL410" s="1">
        <f>C53</f>
        <v>0</v>
      </c>
      <c r="AM410" s="1">
        <f t="shared" si="35"/>
        <v>0</v>
      </c>
      <c r="AN410" s="1">
        <f t="shared" si="36"/>
        <v>0</v>
      </c>
      <c r="AO410" s="1">
        <f t="shared" si="37"/>
        <v>0</v>
      </c>
      <c r="AP410" t="b" cm="1">
        <f t="array" ref="AP410">INDEX($AU$8:$BB$25,6*(R410-1)+MATCH(AB410,$AS$8:$AS$13,0),MATCH(O410,$AU$7:$BB$7,0))</f>
        <v>1</v>
      </c>
    </row>
    <row r="411" spans="15:42" ht="14.25" x14ac:dyDescent="0.45">
      <c r="O411" s="43" t="s">
        <v>32</v>
      </c>
      <c r="P411" s="43">
        <v>1</v>
      </c>
      <c r="Q411" s="43">
        <v>6</v>
      </c>
      <c r="R411" s="43">
        <v>2</v>
      </c>
      <c r="S411" s="45"/>
      <c r="T411" t="b">
        <f>(S410+S411+S412)=Q2</f>
        <v>0</v>
      </c>
      <c r="X411" s="1">
        <f t="shared" si="38"/>
        <v>0</v>
      </c>
      <c r="Y411" s="48">
        <v>0</v>
      </c>
      <c r="AA411" s="1">
        <v>7</v>
      </c>
      <c r="AB411" s="1" t="s">
        <v>14</v>
      </c>
      <c r="AC411" s="1" t="s">
        <v>20</v>
      </c>
      <c r="AD411" s="1">
        <v>27</v>
      </c>
      <c r="AE411" s="1">
        <v>21</v>
      </c>
      <c r="AF411" s="1">
        <v>0.8</v>
      </c>
      <c r="AG411" s="1">
        <v>0.88</v>
      </c>
      <c r="AH411" s="1">
        <v>0</v>
      </c>
      <c r="AI411" s="1">
        <v>0</v>
      </c>
      <c r="AJ411" s="1">
        <f t="shared" si="34"/>
        <v>0</v>
      </c>
      <c r="AK411" s="1">
        <f>D47</f>
        <v>0</v>
      </c>
      <c r="AL411" s="1">
        <f>D53</f>
        <v>0</v>
      </c>
      <c r="AM411" s="1">
        <f t="shared" si="35"/>
        <v>0</v>
      </c>
      <c r="AN411" s="1">
        <f t="shared" si="36"/>
        <v>0</v>
      </c>
      <c r="AO411" s="1">
        <f t="shared" si="37"/>
        <v>0</v>
      </c>
      <c r="AP411" t="b" cm="1">
        <f t="array" ref="AP411">INDEX($AU$8:$BB$25,6*(R411-1)+MATCH(AB411,$AS$8:$AS$13,0),MATCH(O411,$AU$7:$BB$7,0))</f>
        <v>1</v>
      </c>
    </row>
    <row r="412" spans="15:42" ht="14.25" x14ac:dyDescent="0.45">
      <c r="O412" s="43" t="s">
        <v>32</v>
      </c>
      <c r="P412" s="43">
        <v>1</v>
      </c>
      <c r="Q412" s="43">
        <v>6</v>
      </c>
      <c r="R412" s="43">
        <v>3</v>
      </c>
      <c r="S412" s="45"/>
      <c r="T412" t="b">
        <f>(S410+S411+S412)=Q2</f>
        <v>0</v>
      </c>
      <c r="X412" s="1">
        <f t="shared" si="38"/>
        <v>0</v>
      </c>
      <c r="Y412" s="48">
        <v>0</v>
      </c>
      <c r="AA412" s="1">
        <v>7</v>
      </c>
      <c r="AB412" s="1" t="s">
        <v>14</v>
      </c>
      <c r="AC412" s="1" t="s">
        <v>20</v>
      </c>
      <c r="AD412" s="1">
        <v>27</v>
      </c>
      <c r="AE412" s="1">
        <v>21</v>
      </c>
      <c r="AF412" s="1">
        <v>0.8</v>
      </c>
      <c r="AG412" s="1">
        <v>0.88</v>
      </c>
      <c r="AH412" s="1">
        <v>0</v>
      </c>
      <c r="AI412" s="1">
        <v>0</v>
      </c>
      <c r="AJ412" s="1">
        <f t="shared" si="34"/>
        <v>0</v>
      </c>
      <c r="AK412" s="1">
        <f>E47</f>
        <v>0</v>
      </c>
      <c r="AL412" s="1">
        <f>E53</f>
        <v>0</v>
      </c>
      <c r="AM412" s="1">
        <f t="shared" si="35"/>
        <v>0</v>
      </c>
      <c r="AN412" s="1">
        <f t="shared" si="36"/>
        <v>0</v>
      </c>
      <c r="AO412" s="1">
        <f t="shared" si="37"/>
        <v>0</v>
      </c>
      <c r="AP412" t="b" cm="1">
        <f t="array" ref="AP412">INDEX($AU$8:$BB$25,6*(R412-1)+MATCH(AB412,$AS$8:$AS$13,0),MATCH(O412,$AU$7:$BB$7,0))</f>
        <v>1</v>
      </c>
    </row>
    <row r="413" spans="15:42" ht="14.25" x14ac:dyDescent="0.45">
      <c r="O413" s="43" t="s">
        <v>32</v>
      </c>
      <c r="P413" s="43">
        <v>1</v>
      </c>
      <c r="Q413" s="43">
        <v>7</v>
      </c>
      <c r="R413" s="43">
        <v>1</v>
      </c>
      <c r="S413" s="45"/>
      <c r="T413" t="b">
        <f>(S413+S414+S415)=Q2</f>
        <v>0</v>
      </c>
      <c r="X413" s="1">
        <f t="shared" si="38"/>
        <v>0</v>
      </c>
      <c r="Y413" s="48">
        <v>0</v>
      </c>
      <c r="AA413" s="1">
        <v>9</v>
      </c>
      <c r="AB413" s="1" t="s">
        <v>14</v>
      </c>
      <c r="AC413" s="1" t="s">
        <v>20</v>
      </c>
      <c r="AD413" s="1">
        <v>17</v>
      </c>
      <c r="AE413" s="1">
        <v>13</v>
      </c>
      <c r="AF413" s="1">
        <v>0.8</v>
      </c>
      <c r="AG413" s="1">
        <v>0.88</v>
      </c>
      <c r="AH413" s="1">
        <v>0</v>
      </c>
      <c r="AI413" s="1">
        <v>0</v>
      </c>
      <c r="AJ413" s="1">
        <f t="shared" si="34"/>
        <v>0</v>
      </c>
      <c r="AK413" s="1">
        <f>C47</f>
        <v>0</v>
      </c>
      <c r="AL413" s="1">
        <f>C53</f>
        <v>0</v>
      </c>
      <c r="AM413" s="1">
        <f t="shared" si="35"/>
        <v>0</v>
      </c>
      <c r="AN413" s="1">
        <f t="shared" si="36"/>
        <v>0</v>
      </c>
      <c r="AO413" s="1">
        <f t="shared" si="37"/>
        <v>0</v>
      </c>
      <c r="AP413" t="b" cm="1">
        <f t="array" ref="AP413">INDEX($AU$8:$BB$25,6*(R413-1)+MATCH(AB413,$AS$8:$AS$13,0),MATCH(O413,$AU$7:$BB$7,0))</f>
        <v>1</v>
      </c>
    </row>
    <row r="414" spans="15:42" ht="14.25" x14ac:dyDescent="0.45">
      <c r="O414" s="43" t="s">
        <v>32</v>
      </c>
      <c r="P414" s="43">
        <v>1</v>
      </c>
      <c r="Q414" s="43">
        <v>7</v>
      </c>
      <c r="R414" s="43">
        <v>2</v>
      </c>
      <c r="S414" s="45"/>
      <c r="T414" t="b">
        <f>(S413+S414+S415)=Q2</f>
        <v>0</v>
      </c>
      <c r="X414" s="1">
        <f t="shared" si="38"/>
        <v>0</v>
      </c>
      <c r="Y414" s="48">
        <v>0</v>
      </c>
      <c r="AA414" s="1">
        <v>9</v>
      </c>
      <c r="AB414" s="1" t="s">
        <v>14</v>
      </c>
      <c r="AC414" s="1" t="s">
        <v>20</v>
      </c>
      <c r="AD414" s="1">
        <v>17</v>
      </c>
      <c r="AE414" s="1">
        <v>13</v>
      </c>
      <c r="AF414" s="1">
        <v>0.8</v>
      </c>
      <c r="AG414" s="1">
        <v>0.88</v>
      </c>
      <c r="AH414" s="1">
        <v>0</v>
      </c>
      <c r="AI414" s="1">
        <v>0</v>
      </c>
      <c r="AJ414" s="1">
        <f t="shared" si="34"/>
        <v>0</v>
      </c>
      <c r="AK414" s="1">
        <f>D47</f>
        <v>0</v>
      </c>
      <c r="AL414" s="1">
        <f>D53</f>
        <v>0</v>
      </c>
      <c r="AM414" s="1">
        <f t="shared" si="35"/>
        <v>0</v>
      </c>
      <c r="AN414" s="1">
        <f t="shared" si="36"/>
        <v>0</v>
      </c>
      <c r="AO414" s="1">
        <f t="shared" si="37"/>
        <v>0</v>
      </c>
      <c r="AP414" t="b" cm="1">
        <f t="array" ref="AP414">INDEX($AU$8:$BB$25,6*(R414-1)+MATCH(AB414,$AS$8:$AS$13,0),MATCH(O414,$AU$7:$BB$7,0))</f>
        <v>1</v>
      </c>
    </row>
    <row r="415" spans="15:42" ht="14.25" x14ac:dyDescent="0.45">
      <c r="O415" s="43" t="s">
        <v>32</v>
      </c>
      <c r="P415" s="43">
        <v>1</v>
      </c>
      <c r="Q415" s="43">
        <v>7</v>
      </c>
      <c r="R415" s="43">
        <v>3</v>
      </c>
      <c r="S415" s="45"/>
      <c r="T415" t="b">
        <f>(S413+S414+S415)=Q2</f>
        <v>0</v>
      </c>
      <c r="X415" s="1">
        <f t="shared" si="38"/>
        <v>0</v>
      </c>
      <c r="Y415" s="48">
        <v>0</v>
      </c>
      <c r="AA415" s="1">
        <v>9</v>
      </c>
      <c r="AB415" s="1" t="s">
        <v>14</v>
      </c>
      <c r="AC415" s="1" t="s">
        <v>20</v>
      </c>
      <c r="AD415" s="1">
        <v>17</v>
      </c>
      <c r="AE415" s="1">
        <v>13</v>
      </c>
      <c r="AF415" s="1">
        <v>0.8</v>
      </c>
      <c r="AG415" s="1">
        <v>0.88</v>
      </c>
      <c r="AH415" s="1">
        <v>0</v>
      </c>
      <c r="AI415" s="1">
        <v>0</v>
      </c>
      <c r="AJ415" s="1">
        <f t="shared" si="34"/>
        <v>0</v>
      </c>
      <c r="AK415" s="1">
        <f>E47</f>
        <v>0</v>
      </c>
      <c r="AL415" s="1">
        <f>E53</f>
        <v>0</v>
      </c>
      <c r="AM415" s="1">
        <f t="shared" si="35"/>
        <v>0</v>
      </c>
      <c r="AN415" s="1">
        <f t="shared" si="36"/>
        <v>0</v>
      </c>
      <c r="AO415" s="1">
        <f t="shared" si="37"/>
        <v>0</v>
      </c>
      <c r="AP415" t="b" cm="1">
        <f t="array" ref="AP415">INDEX($AU$8:$BB$25,6*(R415-1)+MATCH(AB415,$AS$8:$AS$13,0),MATCH(O415,$AU$7:$BB$7,0))</f>
        <v>1</v>
      </c>
    </row>
    <row r="416" spans="15:42" ht="14.25" x14ac:dyDescent="0.45">
      <c r="O416" s="43" t="s">
        <v>32</v>
      </c>
      <c r="P416" s="43">
        <v>1</v>
      </c>
      <c r="Q416" s="43">
        <v>8</v>
      </c>
      <c r="R416" s="43">
        <v>1</v>
      </c>
      <c r="S416" s="45"/>
      <c r="T416" t="b">
        <f>(S416+S417+S418)=Q2</f>
        <v>0</v>
      </c>
      <c r="X416" s="1">
        <f t="shared" si="38"/>
        <v>0</v>
      </c>
      <c r="Y416" s="48">
        <v>0</v>
      </c>
      <c r="AA416" s="1">
        <v>1</v>
      </c>
      <c r="AB416" s="1" t="s">
        <v>10</v>
      </c>
      <c r="AC416" s="1" t="s">
        <v>17</v>
      </c>
      <c r="AD416" s="1">
        <v>18</v>
      </c>
      <c r="AE416" s="1">
        <v>16</v>
      </c>
      <c r="AF416" s="1">
        <v>0.78</v>
      </c>
      <c r="AG416" s="1">
        <v>0.84</v>
      </c>
      <c r="AH416" s="1">
        <v>0</v>
      </c>
      <c r="AI416" s="1">
        <v>0</v>
      </c>
      <c r="AJ416" s="1">
        <f t="shared" si="34"/>
        <v>0</v>
      </c>
      <c r="AK416" s="1">
        <f>C44</f>
        <v>0</v>
      </c>
      <c r="AL416" s="1">
        <f>C50</f>
        <v>0</v>
      </c>
      <c r="AM416" s="1">
        <f t="shared" si="35"/>
        <v>0</v>
      </c>
      <c r="AN416" s="1">
        <f t="shared" si="36"/>
        <v>0</v>
      </c>
      <c r="AO416" s="1">
        <f t="shared" si="37"/>
        <v>0</v>
      </c>
      <c r="AP416" t="b" cm="1">
        <f t="array" ref="AP416">INDEX($AU$8:$BB$25,6*(R416-1)+MATCH(AB416,$AS$8:$AS$13,0),MATCH(O416,$AU$7:$BB$7,0))</f>
        <v>1</v>
      </c>
    </row>
    <row r="417" spans="15:42" ht="14.25" x14ac:dyDescent="0.45">
      <c r="O417" s="43" t="s">
        <v>32</v>
      </c>
      <c r="P417" s="43">
        <v>1</v>
      </c>
      <c r="Q417" s="43">
        <v>8</v>
      </c>
      <c r="R417" s="43">
        <v>2</v>
      </c>
      <c r="S417" s="45"/>
      <c r="T417" t="b">
        <f>(S416+S417+S418)=Q2</f>
        <v>0</v>
      </c>
      <c r="X417" s="1">
        <f t="shared" si="38"/>
        <v>0</v>
      </c>
      <c r="Y417" s="48">
        <v>0</v>
      </c>
      <c r="AA417" s="1">
        <v>1</v>
      </c>
      <c r="AB417" s="1" t="s">
        <v>10</v>
      </c>
      <c r="AC417" s="1" t="s">
        <v>17</v>
      </c>
      <c r="AD417" s="1">
        <v>18</v>
      </c>
      <c r="AE417" s="1">
        <v>16</v>
      </c>
      <c r="AF417" s="1">
        <v>0.78</v>
      </c>
      <c r="AG417" s="1">
        <v>0.84</v>
      </c>
      <c r="AH417" s="1">
        <v>0</v>
      </c>
      <c r="AI417" s="1">
        <v>0</v>
      </c>
      <c r="AJ417" s="1">
        <f t="shared" si="34"/>
        <v>0</v>
      </c>
      <c r="AK417" s="1">
        <f>D44</f>
        <v>0</v>
      </c>
      <c r="AL417" s="1">
        <f>D50</f>
        <v>0</v>
      </c>
      <c r="AM417" s="1">
        <f t="shared" si="35"/>
        <v>0</v>
      </c>
      <c r="AN417" s="1">
        <f t="shared" si="36"/>
        <v>0</v>
      </c>
      <c r="AO417" s="1">
        <f t="shared" si="37"/>
        <v>0</v>
      </c>
      <c r="AP417" t="b" cm="1">
        <f t="array" ref="AP417">INDEX($AU$8:$BB$25,6*(R417-1)+MATCH(AB417,$AS$8:$AS$13,0),MATCH(O417,$AU$7:$BB$7,0))</f>
        <v>1</v>
      </c>
    </row>
    <row r="418" spans="15:42" ht="14.25" x14ac:dyDescent="0.45">
      <c r="O418" s="43" t="s">
        <v>32</v>
      </c>
      <c r="P418" s="43">
        <v>1</v>
      </c>
      <c r="Q418" s="43">
        <v>8</v>
      </c>
      <c r="R418" s="43">
        <v>3</v>
      </c>
      <c r="S418" s="45"/>
      <c r="T418" t="b">
        <f>(S416+S417+S418)=Q2</f>
        <v>0</v>
      </c>
      <c r="X418" s="1">
        <f t="shared" si="38"/>
        <v>0</v>
      </c>
      <c r="Y418" s="48">
        <v>0</v>
      </c>
      <c r="AA418" s="1">
        <v>1</v>
      </c>
      <c r="AB418" s="1" t="s">
        <v>10</v>
      </c>
      <c r="AC418" s="1" t="s">
        <v>17</v>
      </c>
      <c r="AD418" s="1">
        <v>18</v>
      </c>
      <c r="AE418" s="1">
        <v>16</v>
      </c>
      <c r="AF418" s="1">
        <v>0.78</v>
      </c>
      <c r="AG418" s="1">
        <v>0.84</v>
      </c>
      <c r="AH418" s="1">
        <v>0</v>
      </c>
      <c r="AI418" s="1">
        <v>0</v>
      </c>
      <c r="AJ418" s="1">
        <f t="shared" si="34"/>
        <v>0</v>
      </c>
      <c r="AK418" s="1">
        <f>E44</f>
        <v>0</v>
      </c>
      <c r="AL418" s="1">
        <f>E50</f>
        <v>0</v>
      </c>
      <c r="AM418" s="1">
        <f t="shared" si="35"/>
        <v>0</v>
      </c>
      <c r="AN418" s="1">
        <f t="shared" si="36"/>
        <v>0</v>
      </c>
      <c r="AO418" s="1">
        <f t="shared" si="37"/>
        <v>0</v>
      </c>
      <c r="AP418" t="b" cm="1">
        <f t="array" ref="AP418">INDEX($AU$8:$BB$25,6*(R418-1)+MATCH(AB418,$AS$8:$AS$13,0),MATCH(O418,$AU$7:$BB$7,0))</f>
        <v>1</v>
      </c>
    </row>
    <row r="419" spans="15:42" ht="14.25" x14ac:dyDescent="0.45">
      <c r="O419" s="43" t="s">
        <v>32</v>
      </c>
      <c r="P419" s="43">
        <v>1</v>
      </c>
      <c r="Q419" s="43">
        <v>9</v>
      </c>
      <c r="R419" s="43">
        <v>1</v>
      </c>
      <c r="S419" s="45"/>
      <c r="T419" t="b">
        <f>(S419+S420+S421)=Q2</f>
        <v>0</v>
      </c>
      <c r="X419" s="1">
        <f t="shared" si="38"/>
        <v>0</v>
      </c>
      <c r="Y419" s="48">
        <v>0</v>
      </c>
      <c r="AA419" s="1">
        <v>2</v>
      </c>
      <c r="AB419" s="1" t="s">
        <v>10</v>
      </c>
      <c r="AC419" s="1" t="s">
        <v>17</v>
      </c>
      <c r="AD419" s="1">
        <v>16</v>
      </c>
      <c r="AE419" s="1">
        <v>13</v>
      </c>
      <c r="AF419" s="1">
        <v>0.78</v>
      </c>
      <c r="AG419" s="1">
        <v>0.84</v>
      </c>
      <c r="AH419" s="1">
        <v>0</v>
      </c>
      <c r="AI419" s="1">
        <v>0</v>
      </c>
      <c r="AJ419" s="1">
        <f t="shared" si="34"/>
        <v>0</v>
      </c>
      <c r="AK419" s="1">
        <f>C44</f>
        <v>0</v>
      </c>
      <c r="AL419" s="1">
        <f>C50</f>
        <v>0</v>
      </c>
      <c r="AM419" s="1">
        <f t="shared" si="35"/>
        <v>0</v>
      </c>
      <c r="AN419" s="1">
        <f t="shared" si="36"/>
        <v>0</v>
      </c>
      <c r="AO419" s="1">
        <f t="shared" si="37"/>
        <v>0</v>
      </c>
      <c r="AP419" t="b" cm="1">
        <f t="array" ref="AP419">INDEX($AU$8:$BB$25,6*(R419-1)+MATCH(AB419,$AS$8:$AS$13,0),MATCH(O419,$AU$7:$BB$7,0))</f>
        <v>1</v>
      </c>
    </row>
    <row r="420" spans="15:42" ht="14.25" x14ac:dyDescent="0.45">
      <c r="O420" s="43" t="s">
        <v>32</v>
      </c>
      <c r="P420" s="43">
        <v>1</v>
      </c>
      <c r="Q420" s="43">
        <v>9</v>
      </c>
      <c r="R420" s="43">
        <v>2</v>
      </c>
      <c r="S420" s="45"/>
      <c r="T420" t="b">
        <f>(S419+S420+S421)=Q2</f>
        <v>0</v>
      </c>
      <c r="X420" s="1">
        <f t="shared" si="38"/>
        <v>0</v>
      </c>
      <c r="Y420" s="48">
        <v>0</v>
      </c>
      <c r="AA420" s="1">
        <v>2</v>
      </c>
      <c r="AB420" s="1" t="s">
        <v>10</v>
      </c>
      <c r="AC420" s="1" t="s">
        <v>17</v>
      </c>
      <c r="AD420" s="1">
        <v>16</v>
      </c>
      <c r="AE420" s="1">
        <v>13</v>
      </c>
      <c r="AF420" s="1">
        <v>0.78</v>
      </c>
      <c r="AG420" s="1">
        <v>0.84</v>
      </c>
      <c r="AH420" s="1">
        <v>0</v>
      </c>
      <c r="AI420" s="1">
        <v>0</v>
      </c>
      <c r="AJ420" s="1">
        <f t="shared" si="34"/>
        <v>0</v>
      </c>
      <c r="AK420" s="1">
        <f>D44</f>
        <v>0</v>
      </c>
      <c r="AL420" s="1">
        <f>D50</f>
        <v>0</v>
      </c>
      <c r="AM420" s="1">
        <f t="shared" si="35"/>
        <v>0</v>
      </c>
      <c r="AN420" s="1">
        <f t="shared" si="36"/>
        <v>0</v>
      </c>
      <c r="AO420" s="1">
        <f t="shared" si="37"/>
        <v>0</v>
      </c>
      <c r="AP420" t="b" cm="1">
        <f t="array" ref="AP420">INDEX($AU$8:$BB$25,6*(R420-1)+MATCH(AB420,$AS$8:$AS$13,0),MATCH(O420,$AU$7:$BB$7,0))</f>
        <v>1</v>
      </c>
    </row>
    <row r="421" spans="15:42" ht="14.25" x14ac:dyDescent="0.45">
      <c r="O421" s="43" t="s">
        <v>32</v>
      </c>
      <c r="P421" s="43">
        <v>1</v>
      </c>
      <c r="Q421" s="43">
        <v>9</v>
      </c>
      <c r="R421" s="43">
        <v>3</v>
      </c>
      <c r="S421" s="45"/>
      <c r="T421" t="b">
        <f>(S419+S420+S421)=Q2</f>
        <v>0</v>
      </c>
      <c r="X421" s="1">
        <f t="shared" si="38"/>
        <v>0</v>
      </c>
      <c r="Y421" s="48">
        <v>0</v>
      </c>
      <c r="AA421" s="1">
        <v>2</v>
      </c>
      <c r="AB421" s="1" t="s">
        <v>10</v>
      </c>
      <c r="AC421" s="1" t="s">
        <v>17</v>
      </c>
      <c r="AD421" s="1">
        <v>16</v>
      </c>
      <c r="AE421" s="1">
        <v>13</v>
      </c>
      <c r="AF421" s="1">
        <v>0.78</v>
      </c>
      <c r="AG421" s="1">
        <v>0.84</v>
      </c>
      <c r="AH421" s="1">
        <v>0</v>
      </c>
      <c r="AI421" s="1">
        <v>0</v>
      </c>
      <c r="AJ421" s="1">
        <f t="shared" si="34"/>
        <v>0</v>
      </c>
      <c r="AK421" s="1">
        <f>E44</f>
        <v>0</v>
      </c>
      <c r="AL421" s="1">
        <f>E50</f>
        <v>0</v>
      </c>
      <c r="AM421" s="1">
        <f t="shared" si="35"/>
        <v>0</v>
      </c>
      <c r="AN421" s="1">
        <f t="shared" si="36"/>
        <v>0</v>
      </c>
      <c r="AO421" s="1">
        <f t="shared" si="37"/>
        <v>0</v>
      </c>
      <c r="AP421" t="b" cm="1">
        <f t="array" ref="AP421">INDEX($AU$8:$BB$25,6*(R421-1)+MATCH(AB421,$AS$8:$AS$13,0),MATCH(O421,$AU$7:$BB$7,0))</f>
        <v>1</v>
      </c>
    </row>
    <row r="422" spans="15:42" ht="14.25" x14ac:dyDescent="0.45">
      <c r="O422" s="43" t="s">
        <v>32</v>
      </c>
      <c r="P422" s="43">
        <v>1</v>
      </c>
      <c r="Q422" s="43">
        <v>10</v>
      </c>
      <c r="R422" s="43">
        <v>1</v>
      </c>
      <c r="S422" s="45"/>
      <c r="T422" t="b">
        <f>(S422+S423+S424)=Q2</f>
        <v>0</v>
      </c>
      <c r="X422" s="1">
        <f t="shared" si="38"/>
        <v>0</v>
      </c>
      <c r="Y422" s="48">
        <v>0</v>
      </c>
      <c r="AA422" s="1">
        <v>6</v>
      </c>
      <c r="AB422" s="1" t="s">
        <v>14</v>
      </c>
      <c r="AC422" s="1" t="s">
        <v>20</v>
      </c>
      <c r="AD422" s="1">
        <v>14</v>
      </c>
      <c r="AE422" s="1">
        <v>11</v>
      </c>
      <c r="AF422" s="1">
        <v>0.8</v>
      </c>
      <c r="AG422" s="1">
        <v>0.88</v>
      </c>
      <c r="AH422" s="1">
        <v>0</v>
      </c>
      <c r="AI422" s="1">
        <v>0</v>
      </c>
      <c r="AJ422" s="1">
        <f t="shared" si="34"/>
        <v>0</v>
      </c>
      <c r="AK422" s="1">
        <f>C47</f>
        <v>0</v>
      </c>
      <c r="AL422" s="1">
        <f>C53</f>
        <v>0</v>
      </c>
      <c r="AM422" s="1">
        <f t="shared" si="35"/>
        <v>0</v>
      </c>
      <c r="AN422" s="1">
        <f t="shared" si="36"/>
        <v>0</v>
      </c>
      <c r="AO422" s="1">
        <f t="shared" si="37"/>
        <v>0</v>
      </c>
      <c r="AP422" t="b" cm="1">
        <f t="array" ref="AP422">INDEX($AU$8:$BB$25,6*(R422-1)+MATCH(AB422,$AS$8:$AS$13,0),MATCH(O422,$AU$7:$BB$7,0))</f>
        <v>1</v>
      </c>
    </row>
    <row r="423" spans="15:42" ht="14.25" x14ac:dyDescent="0.45">
      <c r="O423" s="43" t="s">
        <v>32</v>
      </c>
      <c r="P423" s="43">
        <v>1</v>
      </c>
      <c r="Q423" s="43">
        <v>10</v>
      </c>
      <c r="R423" s="43">
        <v>2</v>
      </c>
      <c r="S423" s="45"/>
      <c r="T423" t="b">
        <f>(S422+S423+S424)=Q2</f>
        <v>0</v>
      </c>
      <c r="X423" s="1">
        <f t="shared" si="38"/>
        <v>0</v>
      </c>
      <c r="Y423" s="48">
        <v>0</v>
      </c>
      <c r="AA423" s="1">
        <v>6</v>
      </c>
      <c r="AB423" s="1" t="s">
        <v>14</v>
      </c>
      <c r="AC423" s="1" t="s">
        <v>20</v>
      </c>
      <c r="AD423" s="1">
        <v>14</v>
      </c>
      <c r="AE423" s="1">
        <v>11</v>
      </c>
      <c r="AF423" s="1">
        <v>0.8</v>
      </c>
      <c r="AG423" s="1">
        <v>0.88</v>
      </c>
      <c r="AH423" s="1">
        <v>0</v>
      </c>
      <c r="AI423" s="1">
        <v>0</v>
      </c>
      <c r="AJ423" s="1">
        <f t="shared" si="34"/>
        <v>0</v>
      </c>
      <c r="AK423" s="1">
        <f>D47</f>
        <v>0</v>
      </c>
      <c r="AL423" s="1">
        <f>D53</f>
        <v>0</v>
      </c>
      <c r="AM423" s="1">
        <f t="shared" si="35"/>
        <v>0</v>
      </c>
      <c r="AN423" s="1">
        <f t="shared" si="36"/>
        <v>0</v>
      </c>
      <c r="AO423" s="1">
        <f t="shared" si="37"/>
        <v>0</v>
      </c>
      <c r="AP423" t="b" cm="1">
        <f t="array" ref="AP423">INDEX($AU$8:$BB$25,6*(R423-1)+MATCH(AB423,$AS$8:$AS$13,0),MATCH(O423,$AU$7:$BB$7,0))</f>
        <v>1</v>
      </c>
    </row>
    <row r="424" spans="15:42" ht="14.25" x14ac:dyDescent="0.45">
      <c r="O424" s="43" t="s">
        <v>32</v>
      </c>
      <c r="P424" s="43">
        <v>1</v>
      </c>
      <c r="Q424" s="43">
        <v>10</v>
      </c>
      <c r="R424" s="43">
        <v>3</v>
      </c>
      <c r="S424" s="45"/>
      <c r="T424" t="b">
        <f>(S422+S423+S424)=Q2</f>
        <v>0</v>
      </c>
      <c r="X424" s="1">
        <f t="shared" si="38"/>
        <v>0</v>
      </c>
      <c r="Y424" s="48">
        <v>0</v>
      </c>
      <c r="AA424" s="1">
        <v>6</v>
      </c>
      <c r="AB424" s="1" t="s">
        <v>14</v>
      </c>
      <c r="AC424" s="1" t="s">
        <v>20</v>
      </c>
      <c r="AD424" s="1">
        <v>14</v>
      </c>
      <c r="AE424" s="1">
        <v>11</v>
      </c>
      <c r="AF424" s="1">
        <v>0.8</v>
      </c>
      <c r="AG424" s="1">
        <v>0.88</v>
      </c>
      <c r="AH424" s="1">
        <v>0</v>
      </c>
      <c r="AI424" s="1">
        <v>0</v>
      </c>
      <c r="AJ424" s="1">
        <f t="shared" si="34"/>
        <v>0</v>
      </c>
      <c r="AK424" s="1">
        <f>E47</f>
        <v>0</v>
      </c>
      <c r="AL424" s="1">
        <f>E53</f>
        <v>0</v>
      </c>
      <c r="AM424" s="1">
        <f t="shared" si="35"/>
        <v>0</v>
      </c>
      <c r="AN424" s="1">
        <f t="shared" si="36"/>
        <v>0</v>
      </c>
      <c r="AO424" s="1">
        <f t="shared" si="37"/>
        <v>0</v>
      </c>
      <c r="AP424" t="b" cm="1">
        <f t="array" ref="AP424">INDEX($AU$8:$BB$25,6*(R424-1)+MATCH(AB424,$AS$8:$AS$13,0),MATCH(O424,$AU$7:$BB$7,0))</f>
        <v>1</v>
      </c>
    </row>
    <row r="425" spans="15:42" ht="14.25" x14ac:dyDescent="0.45">
      <c r="O425" s="43" t="s">
        <v>32</v>
      </c>
      <c r="P425" s="43">
        <v>1</v>
      </c>
      <c r="Q425" s="43">
        <v>11</v>
      </c>
      <c r="R425" s="43">
        <v>1</v>
      </c>
      <c r="S425" s="45"/>
      <c r="T425" t="b">
        <f>(S425+S426+S427)=Q2</f>
        <v>0</v>
      </c>
      <c r="X425" s="1">
        <f t="shared" si="38"/>
        <v>0</v>
      </c>
      <c r="Y425" s="48">
        <v>0</v>
      </c>
      <c r="AA425" s="1">
        <v>3</v>
      </c>
      <c r="AB425" s="1" t="s">
        <v>16</v>
      </c>
      <c r="AC425" s="1" t="s">
        <v>22</v>
      </c>
      <c r="AD425" s="1">
        <v>18</v>
      </c>
      <c r="AE425" s="1">
        <v>16</v>
      </c>
      <c r="AF425" s="1">
        <v>0.8</v>
      </c>
      <c r="AG425" s="1">
        <v>0.9</v>
      </c>
      <c r="AH425" s="1">
        <v>0</v>
      </c>
      <c r="AI425" s="1">
        <v>0</v>
      </c>
      <c r="AJ425" s="1">
        <f t="shared" si="34"/>
        <v>0</v>
      </c>
      <c r="AK425" s="1">
        <f>C49</f>
        <v>0</v>
      </c>
      <c r="AL425" s="1">
        <f>C55</f>
        <v>0</v>
      </c>
      <c r="AM425" s="1">
        <f t="shared" si="35"/>
        <v>0</v>
      </c>
      <c r="AN425" s="1">
        <f t="shared" si="36"/>
        <v>0</v>
      </c>
      <c r="AO425" s="1">
        <f t="shared" si="37"/>
        <v>0</v>
      </c>
      <c r="AP425" t="b" cm="1">
        <f t="array" ref="AP425">INDEX($AU$8:$BB$25,6*(R425-1)+MATCH(AB425,$AS$8:$AS$13,0),MATCH(O425,$AU$7:$BB$7,0))</f>
        <v>1</v>
      </c>
    </row>
    <row r="426" spans="15:42" ht="14.25" x14ac:dyDescent="0.45">
      <c r="O426" s="43" t="s">
        <v>32</v>
      </c>
      <c r="P426" s="43">
        <v>1</v>
      </c>
      <c r="Q426" s="43">
        <v>11</v>
      </c>
      <c r="R426" s="43">
        <v>2</v>
      </c>
      <c r="S426" s="45"/>
      <c r="T426" t="b">
        <f>(S425+S426+S427)=Q2</f>
        <v>0</v>
      </c>
      <c r="X426" s="1">
        <f t="shared" si="38"/>
        <v>0</v>
      </c>
      <c r="Y426" s="48">
        <v>0</v>
      </c>
      <c r="AA426" s="1">
        <v>3</v>
      </c>
      <c r="AB426" s="1" t="s">
        <v>16</v>
      </c>
      <c r="AC426" s="1" t="s">
        <v>22</v>
      </c>
      <c r="AD426" s="1">
        <v>18</v>
      </c>
      <c r="AE426" s="1">
        <v>16</v>
      </c>
      <c r="AF426" s="1">
        <v>0.8</v>
      </c>
      <c r="AG426" s="1">
        <v>0.9</v>
      </c>
      <c r="AH426" s="1">
        <v>0</v>
      </c>
      <c r="AI426" s="1">
        <v>0</v>
      </c>
      <c r="AJ426" s="1">
        <f t="shared" si="34"/>
        <v>0</v>
      </c>
      <c r="AK426" s="1">
        <f>D49</f>
        <v>0</v>
      </c>
      <c r="AL426" s="1">
        <f>D55</f>
        <v>0</v>
      </c>
      <c r="AM426" s="1">
        <f t="shared" si="35"/>
        <v>0</v>
      </c>
      <c r="AN426" s="1">
        <f t="shared" si="36"/>
        <v>0</v>
      </c>
      <c r="AO426" s="1">
        <f t="shared" si="37"/>
        <v>0</v>
      </c>
      <c r="AP426" t="b" cm="1">
        <f t="array" ref="AP426">INDEX($AU$8:$BB$25,6*(R426-1)+MATCH(AB426,$AS$8:$AS$13,0),MATCH(O426,$AU$7:$BB$7,0))</f>
        <v>1</v>
      </c>
    </row>
    <row r="427" spans="15:42" ht="14.25" x14ac:dyDescent="0.45">
      <c r="O427" s="43" t="s">
        <v>32</v>
      </c>
      <c r="P427" s="43">
        <v>1</v>
      </c>
      <c r="Q427" s="43">
        <v>11</v>
      </c>
      <c r="R427" s="43">
        <v>3</v>
      </c>
      <c r="S427" s="45"/>
      <c r="T427" t="b">
        <f>(S425+S426+S427)=Q2</f>
        <v>0</v>
      </c>
      <c r="X427" s="1">
        <f t="shared" si="38"/>
        <v>0</v>
      </c>
      <c r="Y427" s="48">
        <v>0</v>
      </c>
      <c r="AA427" s="1">
        <v>3</v>
      </c>
      <c r="AB427" s="1" t="s">
        <v>16</v>
      </c>
      <c r="AC427" s="1" t="s">
        <v>22</v>
      </c>
      <c r="AD427" s="1">
        <v>18</v>
      </c>
      <c r="AE427" s="1">
        <v>16</v>
      </c>
      <c r="AF427" s="1">
        <v>0.8</v>
      </c>
      <c r="AG427" s="1">
        <v>0.9</v>
      </c>
      <c r="AH427" s="1">
        <v>0</v>
      </c>
      <c r="AI427" s="1">
        <v>0</v>
      </c>
      <c r="AJ427" s="1">
        <f t="shared" si="34"/>
        <v>0</v>
      </c>
      <c r="AK427" s="1">
        <f>E49</f>
        <v>0</v>
      </c>
      <c r="AL427" s="1">
        <f>E55</f>
        <v>0</v>
      </c>
      <c r="AM427" s="1">
        <f t="shared" si="35"/>
        <v>0</v>
      </c>
      <c r="AN427" s="1">
        <f t="shared" si="36"/>
        <v>0</v>
      </c>
      <c r="AO427" s="1">
        <f t="shared" si="37"/>
        <v>0</v>
      </c>
      <c r="AP427" t="b" cm="1">
        <f t="array" ref="AP427">INDEX($AU$8:$BB$25,6*(R427-1)+MATCH(AB427,$AS$8:$AS$13,0),MATCH(O427,$AU$7:$BB$7,0))</f>
        <v>1</v>
      </c>
    </row>
    <row r="428" spans="15:42" ht="14.25" x14ac:dyDescent="0.45">
      <c r="O428" s="43" t="s">
        <v>32</v>
      </c>
      <c r="P428" s="43">
        <v>2</v>
      </c>
      <c r="Q428" s="43">
        <v>1</v>
      </c>
      <c r="R428" s="43">
        <v>1</v>
      </c>
      <c r="S428" s="45"/>
      <c r="T428" t="b">
        <f>(S428+S429+S430)=Q3</f>
        <v>0</v>
      </c>
      <c r="X428" s="1">
        <v>0</v>
      </c>
      <c r="Y428" s="48">
        <v>0</v>
      </c>
      <c r="AA428" s="1">
        <v>9</v>
      </c>
      <c r="AB428" s="1" t="s">
        <v>16</v>
      </c>
      <c r="AC428" s="1" t="s">
        <v>22</v>
      </c>
      <c r="AD428" s="1">
        <v>19</v>
      </c>
      <c r="AE428" s="1">
        <v>16</v>
      </c>
      <c r="AF428" s="1">
        <v>0.8</v>
      </c>
      <c r="AG428" s="1">
        <v>0.9</v>
      </c>
      <c r="AH428" s="1">
        <v>0</v>
      </c>
      <c r="AI428" s="1">
        <v>0</v>
      </c>
      <c r="AJ428" s="1">
        <f t="shared" si="34"/>
        <v>0</v>
      </c>
      <c r="AK428" s="1">
        <f>C49</f>
        <v>0</v>
      </c>
      <c r="AL428" s="1">
        <f>C55</f>
        <v>0</v>
      </c>
      <c r="AM428" s="1">
        <f t="shared" si="35"/>
        <v>0</v>
      </c>
      <c r="AN428" s="1">
        <f t="shared" si="36"/>
        <v>0</v>
      </c>
      <c r="AO428" s="1">
        <f t="shared" si="37"/>
        <v>0</v>
      </c>
      <c r="AP428" t="b" cm="1">
        <f t="array" ref="AP428">INDEX($AU$8:$BB$25,6*(R428-1)+MATCH(AB428,$AS$8:$AS$13,0),MATCH(O428,$AU$7:$BB$7,0))</f>
        <v>1</v>
      </c>
    </row>
    <row r="429" spans="15:42" ht="14.25" x14ac:dyDescent="0.45">
      <c r="O429" s="43" t="s">
        <v>32</v>
      </c>
      <c r="P429" s="43">
        <v>2</v>
      </c>
      <c r="Q429" s="43">
        <v>1</v>
      </c>
      <c r="R429" s="43">
        <v>2</v>
      </c>
      <c r="S429" s="45"/>
      <c r="T429" t="b">
        <f>(S428+S429+S430)=Q3</f>
        <v>0</v>
      </c>
      <c r="X429" s="1">
        <v>0</v>
      </c>
      <c r="Y429" s="48">
        <v>0</v>
      </c>
      <c r="AA429" s="1">
        <v>9</v>
      </c>
      <c r="AB429" s="1" t="s">
        <v>16</v>
      </c>
      <c r="AC429" s="1" t="s">
        <v>22</v>
      </c>
      <c r="AD429" s="1">
        <v>19</v>
      </c>
      <c r="AE429" s="1">
        <v>16</v>
      </c>
      <c r="AF429" s="1">
        <v>0.8</v>
      </c>
      <c r="AG429" s="1">
        <v>0.9</v>
      </c>
      <c r="AH429" s="1">
        <v>0</v>
      </c>
      <c r="AI429" s="1">
        <v>0</v>
      </c>
      <c r="AJ429" s="1">
        <f t="shared" si="34"/>
        <v>0</v>
      </c>
      <c r="AK429" s="1">
        <f>D49</f>
        <v>0</v>
      </c>
      <c r="AL429" s="1">
        <f>D55</f>
        <v>0</v>
      </c>
      <c r="AM429" s="1">
        <f t="shared" si="35"/>
        <v>0</v>
      </c>
      <c r="AN429" s="1">
        <f t="shared" si="36"/>
        <v>0</v>
      </c>
      <c r="AO429" s="1">
        <f t="shared" si="37"/>
        <v>0</v>
      </c>
      <c r="AP429" t="b" cm="1">
        <f t="array" ref="AP429">INDEX($AU$8:$BB$25,6*(R429-1)+MATCH(AB429,$AS$8:$AS$13,0),MATCH(O429,$AU$7:$BB$7,0))</f>
        <v>1</v>
      </c>
    </row>
    <row r="430" spans="15:42" ht="14.25" x14ac:dyDescent="0.45">
      <c r="O430" s="43" t="s">
        <v>32</v>
      </c>
      <c r="P430" s="43">
        <v>2</v>
      </c>
      <c r="Q430" s="43">
        <v>1</v>
      </c>
      <c r="R430" s="43">
        <v>3</v>
      </c>
      <c r="S430" s="45"/>
      <c r="T430" t="b">
        <f>(S428+S429+S430)=Q3</f>
        <v>0</v>
      </c>
      <c r="X430" s="1">
        <v>0</v>
      </c>
      <c r="Y430" s="48">
        <v>0</v>
      </c>
      <c r="AA430" s="1">
        <v>9</v>
      </c>
      <c r="AB430" s="1" t="s">
        <v>16</v>
      </c>
      <c r="AC430" s="1" t="s">
        <v>22</v>
      </c>
      <c r="AD430" s="1">
        <v>19</v>
      </c>
      <c r="AE430" s="1">
        <v>16</v>
      </c>
      <c r="AF430" s="1">
        <v>0.8</v>
      </c>
      <c r="AG430" s="1">
        <v>0.9</v>
      </c>
      <c r="AH430" s="1">
        <v>0</v>
      </c>
      <c r="AI430" s="1">
        <v>0</v>
      </c>
      <c r="AJ430" s="1">
        <f t="shared" si="34"/>
        <v>0</v>
      </c>
      <c r="AK430" s="1">
        <f>E49</f>
        <v>0</v>
      </c>
      <c r="AL430" s="1">
        <f>E55</f>
        <v>0</v>
      </c>
      <c r="AM430" s="1">
        <f t="shared" si="35"/>
        <v>0</v>
      </c>
      <c r="AN430" s="1">
        <f t="shared" si="36"/>
        <v>0</v>
      </c>
      <c r="AO430" s="1">
        <f t="shared" si="37"/>
        <v>0</v>
      </c>
      <c r="AP430" t="b" cm="1">
        <f t="array" ref="AP430">INDEX($AU$8:$BB$25,6*(R430-1)+MATCH(AB430,$AS$8:$AS$13,0),MATCH(O430,$AU$7:$BB$7,0))</f>
        <v>1</v>
      </c>
    </row>
    <row r="431" spans="15:42" ht="14.25" x14ac:dyDescent="0.45">
      <c r="O431" s="43" t="s">
        <v>32</v>
      </c>
      <c r="P431" s="43">
        <v>2</v>
      </c>
      <c r="Q431" s="43">
        <v>2</v>
      </c>
      <c r="R431" s="43">
        <v>1</v>
      </c>
      <c r="S431" s="45"/>
      <c r="T431" t="b">
        <f>(S431+S432+S433)=Q3</f>
        <v>0</v>
      </c>
      <c r="X431" s="1">
        <f t="shared" ref="X431:X472" si="39">MAX(S428-S431,0)</f>
        <v>0</v>
      </c>
      <c r="Y431" s="48">
        <v>0</v>
      </c>
      <c r="AA431" s="1">
        <v>1</v>
      </c>
      <c r="AB431" s="1" t="s">
        <v>12</v>
      </c>
      <c r="AC431" s="1" t="s">
        <v>18</v>
      </c>
      <c r="AD431" s="1">
        <v>20</v>
      </c>
      <c r="AE431" s="1">
        <v>18</v>
      </c>
      <c r="AF431" s="1">
        <v>0.76</v>
      </c>
      <c r="AG431" s="1">
        <v>0.81</v>
      </c>
      <c r="AH431" s="1">
        <v>0</v>
      </c>
      <c r="AI431" s="1">
        <v>0</v>
      </c>
      <c r="AJ431" s="1">
        <f t="shared" si="34"/>
        <v>0</v>
      </c>
      <c r="AK431" s="1">
        <f>C45</f>
        <v>0</v>
      </c>
      <c r="AL431" s="1">
        <f>C51</f>
        <v>0</v>
      </c>
      <c r="AM431" s="1">
        <f t="shared" si="35"/>
        <v>0</v>
      </c>
      <c r="AN431" s="1">
        <f t="shared" si="36"/>
        <v>0</v>
      </c>
      <c r="AO431" s="1">
        <f t="shared" si="37"/>
        <v>0</v>
      </c>
      <c r="AP431" t="b" cm="1">
        <f t="array" ref="AP431">INDEX($AU$8:$BB$25,6*(R431-1)+MATCH(AB431,$AS$8:$AS$13,0),MATCH(O431,$AU$7:$BB$7,0))</f>
        <v>1</v>
      </c>
    </row>
    <row r="432" spans="15:42" ht="14.25" x14ac:dyDescent="0.45">
      <c r="O432" s="43" t="s">
        <v>32</v>
      </c>
      <c r="P432" s="43">
        <v>2</v>
      </c>
      <c r="Q432" s="43">
        <v>2</v>
      </c>
      <c r="R432" s="43">
        <v>2</v>
      </c>
      <c r="S432" s="45"/>
      <c r="T432" t="b">
        <f>(S431+S432+S433)=Q3</f>
        <v>0</v>
      </c>
      <c r="X432" s="1">
        <f t="shared" si="39"/>
        <v>0</v>
      </c>
      <c r="Y432" s="48">
        <v>0</v>
      </c>
      <c r="AA432" s="1">
        <v>1</v>
      </c>
      <c r="AB432" s="1" t="s">
        <v>12</v>
      </c>
      <c r="AC432" s="1" t="s">
        <v>18</v>
      </c>
      <c r="AD432" s="1">
        <v>20</v>
      </c>
      <c r="AE432" s="1">
        <v>18</v>
      </c>
      <c r="AF432" s="1">
        <v>0.76</v>
      </c>
      <c r="AG432" s="1">
        <v>0.81</v>
      </c>
      <c r="AH432" s="1">
        <v>0</v>
      </c>
      <c r="AI432" s="1">
        <v>0</v>
      </c>
      <c r="AJ432" s="1">
        <f t="shared" si="34"/>
        <v>0</v>
      </c>
      <c r="AK432" s="1">
        <f>D45</f>
        <v>0</v>
      </c>
      <c r="AL432" s="1">
        <f>D51</f>
        <v>0</v>
      </c>
      <c r="AM432" s="1">
        <f t="shared" si="35"/>
        <v>0</v>
      </c>
      <c r="AN432" s="1">
        <f t="shared" si="36"/>
        <v>0</v>
      </c>
      <c r="AO432" s="1">
        <f t="shared" si="37"/>
        <v>0</v>
      </c>
      <c r="AP432" t="b" cm="1">
        <f t="array" ref="AP432">INDEX($AU$8:$BB$25,6*(R432-1)+MATCH(AB432,$AS$8:$AS$13,0),MATCH(O432,$AU$7:$BB$7,0))</f>
        <v>1</v>
      </c>
    </row>
    <row r="433" spans="15:42" ht="14.25" x14ac:dyDescent="0.45">
      <c r="O433" s="43" t="s">
        <v>32</v>
      </c>
      <c r="P433" s="43">
        <v>2</v>
      </c>
      <c r="Q433" s="43">
        <v>2</v>
      </c>
      <c r="R433" s="43">
        <v>3</v>
      </c>
      <c r="S433" s="45"/>
      <c r="T433" t="b">
        <f>(S431+S432+S433)=Q3</f>
        <v>0</v>
      </c>
      <c r="X433" s="1">
        <f t="shared" si="39"/>
        <v>0</v>
      </c>
      <c r="Y433" s="48">
        <v>0</v>
      </c>
      <c r="AA433" s="1">
        <v>1</v>
      </c>
      <c r="AB433" s="1" t="s">
        <v>12</v>
      </c>
      <c r="AC433" s="1" t="s">
        <v>18</v>
      </c>
      <c r="AD433" s="1">
        <v>20</v>
      </c>
      <c r="AE433" s="1">
        <v>18</v>
      </c>
      <c r="AF433" s="1">
        <v>0.76</v>
      </c>
      <c r="AG433" s="1">
        <v>0.81</v>
      </c>
      <c r="AH433" s="1">
        <v>0</v>
      </c>
      <c r="AI433" s="1">
        <v>0</v>
      </c>
      <c r="AJ433" s="1">
        <f t="shared" si="34"/>
        <v>0</v>
      </c>
      <c r="AK433" s="1">
        <f>E45</f>
        <v>0</v>
      </c>
      <c r="AL433" s="1">
        <f>E51</f>
        <v>0</v>
      </c>
      <c r="AM433" s="1">
        <f t="shared" si="35"/>
        <v>0</v>
      </c>
      <c r="AN433" s="1">
        <f t="shared" si="36"/>
        <v>0</v>
      </c>
      <c r="AO433" s="1">
        <f t="shared" si="37"/>
        <v>0</v>
      </c>
      <c r="AP433" t="b" cm="1">
        <f t="array" ref="AP433">INDEX($AU$8:$BB$25,6*(R433-1)+MATCH(AB433,$AS$8:$AS$13,0),MATCH(O433,$AU$7:$BB$7,0))</f>
        <v>1</v>
      </c>
    </row>
    <row r="434" spans="15:42" ht="14.25" x14ac:dyDescent="0.45">
      <c r="O434" s="43" t="s">
        <v>32</v>
      </c>
      <c r="P434" s="43">
        <v>2</v>
      </c>
      <c r="Q434" s="43">
        <v>3</v>
      </c>
      <c r="R434" s="43">
        <v>1</v>
      </c>
      <c r="S434" s="45"/>
      <c r="T434" t="b">
        <f>(S434+S435+S436)=Q3</f>
        <v>0</v>
      </c>
      <c r="X434" s="1">
        <f t="shared" si="39"/>
        <v>0</v>
      </c>
      <c r="Y434" s="48">
        <v>0</v>
      </c>
      <c r="AA434" s="1">
        <v>11</v>
      </c>
      <c r="AB434" s="1" t="s">
        <v>15</v>
      </c>
      <c r="AC434" s="1" t="s">
        <v>21</v>
      </c>
      <c r="AD434" s="1">
        <v>10</v>
      </c>
      <c r="AE434" s="1">
        <v>7</v>
      </c>
      <c r="AF434" s="1">
        <v>0.76</v>
      </c>
      <c r="AG434" s="1">
        <v>0.84</v>
      </c>
      <c r="AH434" s="1">
        <v>0</v>
      </c>
      <c r="AI434" s="1">
        <v>0</v>
      </c>
      <c r="AJ434" s="1">
        <f t="shared" si="34"/>
        <v>0</v>
      </c>
      <c r="AK434" s="1">
        <f>C48</f>
        <v>0</v>
      </c>
      <c r="AL434" s="1">
        <f>C54</f>
        <v>0</v>
      </c>
      <c r="AM434" s="1">
        <f t="shared" si="35"/>
        <v>0</v>
      </c>
      <c r="AN434" s="1">
        <f t="shared" si="36"/>
        <v>0</v>
      </c>
      <c r="AO434" s="1">
        <f t="shared" si="37"/>
        <v>0</v>
      </c>
      <c r="AP434" t="b" cm="1">
        <f t="array" ref="AP434">INDEX($AU$8:$BB$25,6*(R434-1)+MATCH(AB434,$AS$8:$AS$13,0),MATCH(O434,$AU$7:$BB$7,0))</f>
        <v>1</v>
      </c>
    </row>
    <row r="435" spans="15:42" ht="14.25" x14ac:dyDescent="0.45">
      <c r="O435" s="43" t="s">
        <v>32</v>
      </c>
      <c r="P435" s="43">
        <v>2</v>
      </c>
      <c r="Q435" s="43">
        <v>3</v>
      </c>
      <c r="R435" s="43">
        <v>2</v>
      </c>
      <c r="S435" s="45"/>
      <c r="T435" t="b">
        <f>(S434+S435+S436)=Q3</f>
        <v>0</v>
      </c>
      <c r="X435" s="1">
        <f t="shared" si="39"/>
        <v>0</v>
      </c>
      <c r="Y435" s="48">
        <v>0</v>
      </c>
      <c r="AA435" s="1">
        <v>11</v>
      </c>
      <c r="AB435" s="1" t="s">
        <v>15</v>
      </c>
      <c r="AC435" s="1" t="s">
        <v>21</v>
      </c>
      <c r="AD435" s="1">
        <v>10</v>
      </c>
      <c r="AE435" s="1">
        <v>7</v>
      </c>
      <c r="AF435" s="1">
        <v>0.76</v>
      </c>
      <c r="AG435" s="1">
        <v>0.84</v>
      </c>
      <c r="AH435" s="1">
        <v>0</v>
      </c>
      <c r="AI435" s="1">
        <v>0</v>
      </c>
      <c r="AJ435" s="1">
        <f t="shared" si="34"/>
        <v>0</v>
      </c>
      <c r="AK435" s="1">
        <f>D48</f>
        <v>0</v>
      </c>
      <c r="AL435" s="1">
        <f>D54</f>
        <v>0</v>
      </c>
      <c r="AM435" s="1">
        <f t="shared" si="35"/>
        <v>0</v>
      </c>
      <c r="AN435" s="1">
        <f t="shared" si="36"/>
        <v>0</v>
      </c>
      <c r="AO435" s="1">
        <f t="shared" si="37"/>
        <v>0</v>
      </c>
      <c r="AP435" t="b" cm="1">
        <f t="array" ref="AP435">INDEX($AU$8:$BB$25,6*(R435-1)+MATCH(AB435,$AS$8:$AS$13,0),MATCH(O435,$AU$7:$BB$7,0))</f>
        <v>1</v>
      </c>
    </row>
    <row r="436" spans="15:42" ht="14.25" x14ac:dyDescent="0.45">
      <c r="O436" s="43" t="s">
        <v>32</v>
      </c>
      <c r="P436" s="43">
        <v>2</v>
      </c>
      <c r="Q436" s="43">
        <v>3</v>
      </c>
      <c r="R436" s="43">
        <v>3</v>
      </c>
      <c r="S436" s="45"/>
      <c r="T436" t="b">
        <f>(S434+S435+S436)=Q3</f>
        <v>0</v>
      </c>
      <c r="X436" s="1">
        <f t="shared" si="39"/>
        <v>0</v>
      </c>
      <c r="Y436" s="48">
        <v>0</v>
      </c>
      <c r="AA436" s="1">
        <v>11</v>
      </c>
      <c r="AB436" s="1" t="s">
        <v>15</v>
      </c>
      <c r="AC436" s="1" t="s">
        <v>21</v>
      </c>
      <c r="AD436" s="1">
        <v>10</v>
      </c>
      <c r="AE436" s="1">
        <v>7</v>
      </c>
      <c r="AF436" s="1">
        <v>0.76</v>
      </c>
      <c r="AG436" s="1">
        <v>0.84</v>
      </c>
      <c r="AH436" s="1">
        <v>0</v>
      </c>
      <c r="AI436" s="1">
        <v>0</v>
      </c>
      <c r="AJ436" s="1">
        <f t="shared" si="34"/>
        <v>0</v>
      </c>
      <c r="AK436" s="1">
        <f>E48</f>
        <v>0</v>
      </c>
      <c r="AL436" s="1">
        <f>E54</f>
        <v>0</v>
      </c>
      <c r="AM436" s="1">
        <f t="shared" si="35"/>
        <v>0</v>
      </c>
      <c r="AN436" s="1">
        <f t="shared" si="36"/>
        <v>0</v>
      </c>
      <c r="AO436" s="1">
        <f t="shared" si="37"/>
        <v>0</v>
      </c>
      <c r="AP436" t="b" cm="1">
        <f t="array" ref="AP436">INDEX($AU$8:$BB$25,6*(R436-1)+MATCH(AB436,$AS$8:$AS$13,0),MATCH(O436,$AU$7:$BB$7,0))</f>
        <v>1</v>
      </c>
    </row>
    <row r="437" spans="15:42" ht="14.25" x14ac:dyDescent="0.45">
      <c r="O437" s="43" t="s">
        <v>32</v>
      </c>
      <c r="P437" s="43">
        <v>2</v>
      </c>
      <c r="Q437" s="43">
        <v>4</v>
      </c>
      <c r="R437" s="43">
        <v>1</v>
      </c>
      <c r="S437" s="45"/>
      <c r="T437" t="b">
        <f>(S437+S438+S439)=Q3</f>
        <v>0</v>
      </c>
      <c r="X437" s="1">
        <f t="shared" si="39"/>
        <v>0</v>
      </c>
      <c r="Y437" s="48">
        <v>0</v>
      </c>
      <c r="AA437" s="1">
        <v>2</v>
      </c>
      <c r="AB437" s="1" t="s">
        <v>12</v>
      </c>
      <c r="AC437" s="1" t="s">
        <v>18</v>
      </c>
      <c r="AD437" s="1">
        <v>25</v>
      </c>
      <c r="AE437" s="1">
        <v>19</v>
      </c>
      <c r="AF437" s="1">
        <v>0.76</v>
      </c>
      <c r="AG437" s="1">
        <v>0.81</v>
      </c>
      <c r="AH437" s="1">
        <v>0</v>
      </c>
      <c r="AI437" s="1">
        <v>0</v>
      </c>
      <c r="AJ437" s="1">
        <f t="shared" si="34"/>
        <v>0</v>
      </c>
      <c r="AK437" s="1">
        <f>C45</f>
        <v>0</v>
      </c>
      <c r="AL437" s="1">
        <f>C51</f>
        <v>0</v>
      </c>
      <c r="AM437" s="1">
        <f t="shared" si="35"/>
        <v>0</v>
      </c>
      <c r="AN437" s="1">
        <f t="shared" si="36"/>
        <v>0</v>
      </c>
      <c r="AO437" s="1">
        <f t="shared" si="37"/>
        <v>0</v>
      </c>
      <c r="AP437" t="b" cm="1">
        <f t="array" ref="AP437">INDEX($AU$8:$BB$25,6*(R437-1)+MATCH(AB437,$AS$8:$AS$13,0),MATCH(O437,$AU$7:$BB$7,0))</f>
        <v>1</v>
      </c>
    </row>
    <row r="438" spans="15:42" ht="14.25" x14ac:dyDescent="0.45">
      <c r="O438" s="43" t="s">
        <v>32</v>
      </c>
      <c r="P438" s="43">
        <v>2</v>
      </c>
      <c r="Q438" s="43">
        <v>4</v>
      </c>
      <c r="R438" s="43">
        <v>2</v>
      </c>
      <c r="S438" s="45"/>
      <c r="T438" t="b">
        <f>(S437+S438+S439)=Q3</f>
        <v>0</v>
      </c>
      <c r="X438" s="1">
        <f t="shared" si="39"/>
        <v>0</v>
      </c>
      <c r="Y438" s="48">
        <v>0</v>
      </c>
      <c r="AA438" s="1">
        <v>2</v>
      </c>
      <c r="AB438" s="1" t="s">
        <v>12</v>
      </c>
      <c r="AC438" s="1" t="s">
        <v>18</v>
      </c>
      <c r="AD438" s="1">
        <v>25</v>
      </c>
      <c r="AE438" s="1">
        <v>19</v>
      </c>
      <c r="AF438" s="1">
        <v>0.76</v>
      </c>
      <c r="AG438" s="1">
        <v>0.81</v>
      </c>
      <c r="AH438" s="1">
        <v>0</v>
      </c>
      <c r="AI438" s="1">
        <v>0</v>
      </c>
      <c r="AJ438" s="1">
        <f t="shared" si="34"/>
        <v>0</v>
      </c>
      <c r="AK438" s="1">
        <f>D45</f>
        <v>0</v>
      </c>
      <c r="AL438" s="1">
        <f>D51</f>
        <v>0</v>
      </c>
      <c r="AM438" s="1">
        <f t="shared" si="35"/>
        <v>0</v>
      </c>
      <c r="AN438" s="1">
        <f t="shared" si="36"/>
        <v>0</v>
      </c>
      <c r="AO438" s="1">
        <f t="shared" si="37"/>
        <v>0</v>
      </c>
      <c r="AP438" t="b" cm="1">
        <f t="array" ref="AP438">INDEX($AU$8:$BB$25,6*(R438-1)+MATCH(AB438,$AS$8:$AS$13,0),MATCH(O438,$AU$7:$BB$7,0))</f>
        <v>1</v>
      </c>
    </row>
    <row r="439" spans="15:42" ht="14.25" x14ac:dyDescent="0.45">
      <c r="O439" s="43" t="s">
        <v>32</v>
      </c>
      <c r="P439" s="43">
        <v>2</v>
      </c>
      <c r="Q439" s="43">
        <v>4</v>
      </c>
      <c r="R439" s="43">
        <v>3</v>
      </c>
      <c r="S439" s="45"/>
      <c r="T439" t="b">
        <f>(S437+S438+S439)=Q3</f>
        <v>0</v>
      </c>
      <c r="X439" s="1">
        <f t="shared" si="39"/>
        <v>0</v>
      </c>
      <c r="Y439" s="48">
        <v>0</v>
      </c>
      <c r="AA439" s="1">
        <v>2</v>
      </c>
      <c r="AB439" s="1" t="s">
        <v>12</v>
      </c>
      <c r="AC439" s="1" t="s">
        <v>18</v>
      </c>
      <c r="AD439" s="1">
        <v>25</v>
      </c>
      <c r="AE439" s="1">
        <v>19</v>
      </c>
      <c r="AF439" s="1">
        <v>0.76</v>
      </c>
      <c r="AG439" s="1">
        <v>0.81</v>
      </c>
      <c r="AH439" s="1">
        <v>0</v>
      </c>
      <c r="AI439" s="1">
        <v>0</v>
      </c>
      <c r="AJ439" s="1">
        <f t="shared" si="34"/>
        <v>0</v>
      </c>
      <c r="AK439" s="1">
        <f>E45</f>
        <v>0</v>
      </c>
      <c r="AL439" s="1">
        <f>E51</f>
        <v>0</v>
      </c>
      <c r="AM439" s="1">
        <f t="shared" si="35"/>
        <v>0</v>
      </c>
      <c r="AN439" s="1">
        <f t="shared" si="36"/>
        <v>0</v>
      </c>
      <c r="AO439" s="1">
        <f t="shared" si="37"/>
        <v>0</v>
      </c>
      <c r="AP439" t="b" cm="1">
        <f t="array" ref="AP439">INDEX($AU$8:$BB$25,6*(R439-1)+MATCH(AB439,$AS$8:$AS$13,0),MATCH(O439,$AU$7:$BB$7,0))</f>
        <v>1</v>
      </c>
    </row>
    <row r="440" spans="15:42" ht="14.25" x14ac:dyDescent="0.45">
      <c r="O440" s="43" t="s">
        <v>32</v>
      </c>
      <c r="P440" s="43">
        <v>2</v>
      </c>
      <c r="Q440" s="43">
        <v>5</v>
      </c>
      <c r="R440" s="43">
        <v>1</v>
      </c>
      <c r="S440" s="45"/>
      <c r="T440" t="b">
        <f>(S440+S441+S442)=Q3</f>
        <v>0</v>
      </c>
      <c r="X440" s="1">
        <f t="shared" si="39"/>
        <v>0</v>
      </c>
      <c r="Y440" s="48">
        <v>0</v>
      </c>
      <c r="AA440" s="1">
        <v>3</v>
      </c>
      <c r="AB440" s="1" t="s">
        <v>12</v>
      </c>
      <c r="AC440" s="1" t="s">
        <v>18</v>
      </c>
      <c r="AD440" s="1">
        <v>15</v>
      </c>
      <c r="AE440" s="1">
        <v>11</v>
      </c>
      <c r="AF440" s="1">
        <v>0.76</v>
      </c>
      <c r="AG440" s="1">
        <v>0.81</v>
      </c>
      <c r="AH440" s="1">
        <v>0</v>
      </c>
      <c r="AI440" s="1">
        <v>0</v>
      </c>
      <c r="AJ440" s="1">
        <f t="shared" si="34"/>
        <v>0</v>
      </c>
      <c r="AK440" s="1">
        <f>C45</f>
        <v>0</v>
      </c>
      <c r="AL440" s="1">
        <f>C51</f>
        <v>0</v>
      </c>
      <c r="AM440" s="1">
        <f t="shared" si="35"/>
        <v>0</v>
      </c>
      <c r="AN440" s="1">
        <f t="shared" si="36"/>
        <v>0</v>
      </c>
      <c r="AO440" s="1">
        <f t="shared" si="37"/>
        <v>0</v>
      </c>
      <c r="AP440" t="b" cm="1">
        <f t="array" ref="AP440">INDEX($AU$8:$BB$25,6*(R440-1)+MATCH(AB440,$AS$8:$AS$13,0),MATCH(O440,$AU$7:$BB$7,0))</f>
        <v>1</v>
      </c>
    </row>
    <row r="441" spans="15:42" ht="14.25" x14ac:dyDescent="0.45">
      <c r="O441" s="43" t="s">
        <v>32</v>
      </c>
      <c r="P441" s="43">
        <v>2</v>
      </c>
      <c r="Q441" s="43">
        <v>5</v>
      </c>
      <c r="R441" s="43">
        <v>2</v>
      </c>
      <c r="S441" s="45"/>
      <c r="T441" t="b">
        <f>(S440+S441+S442)=Q3</f>
        <v>0</v>
      </c>
      <c r="X441" s="1">
        <f t="shared" si="39"/>
        <v>0</v>
      </c>
      <c r="Y441" s="48">
        <v>0</v>
      </c>
      <c r="AA441" s="1">
        <v>3</v>
      </c>
      <c r="AB441" s="1" t="s">
        <v>12</v>
      </c>
      <c r="AC441" s="1" t="s">
        <v>18</v>
      </c>
      <c r="AD441" s="1">
        <v>15</v>
      </c>
      <c r="AE441" s="1">
        <v>11</v>
      </c>
      <c r="AF441" s="1">
        <v>0.76</v>
      </c>
      <c r="AG441" s="1">
        <v>0.81</v>
      </c>
      <c r="AH441" s="1">
        <v>0</v>
      </c>
      <c r="AI441" s="1">
        <v>0</v>
      </c>
      <c r="AJ441" s="1">
        <f t="shared" si="34"/>
        <v>0</v>
      </c>
      <c r="AK441" s="1">
        <f>D45</f>
        <v>0</v>
      </c>
      <c r="AL441" s="1">
        <f>D51</f>
        <v>0</v>
      </c>
      <c r="AM441" s="1">
        <f t="shared" si="35"/>
        <v>0</v>
      </c>
      <c r="AN441" s="1">
        <f t="shared" si="36"/>
        <v>0</v>
      </c>
      <c r="AO441" s="1">
        <f t="shared" si="37"/>
        <v>0</v>
      </c>
      <c r="AP441" t="b" cm="1">
        <f t="array" ref="AP441">INDEX($AU$8:$BB$25,6*(R441-1)+MATCH(AB441,$AS$8:$AS$13,0),MATCH(O441,$AU$7:$BB$7,0))</f>
        <v>1</v>
      </c>
    </row>
    <row r="442" spans="15:42" ht="14.25" x14ac:dyDescent="0.45">
      <c r="O442" s="43" t="s">
        <v>32</v>
      </c>
      <c r="P442" s="43">
        <v>2</v>
      </c>
      <c r="Q442" s="43">
        <v>5</v>
      </c>
      <c r="R442" s="43">
        <v>3</v>
      </c>
      <c r="S442" s="45"/>
      <c r="T442" t="b">
        <f>(S440+S441+S442)=Q3</f>
        <v>0</v>
      </c>
      <c r="X442" s="1">
        <f t="shared" si="39"/>
        <v>0</v>
      </c>
      <c r="Y442" s="48">
        <v>0</v>
      </c>
      <c r="AA442" s="1">
        <v>3</v>
      </c>
      <c r="AB442" s="1" t="s">
        <v>12</v>
      </c>
      <c r="AC442" s="1" t="s">
        <v>18</v>
      </c>
      <c r="AD442" s="1">
        <v>15</v>
      </c>
      <c r="AE442" s="1">
        <v>11</v>
      </c>
      <c r="AF442" s="1">
        <v>0.76</v>
      </c>
      <c r="AG442" s="1">
        <v>0.81</v>
      </c>
      <c r="AH442" s="1">
        <v>0</v>
      </c>
      <c r="AI442" s="1">
        <v>0</v>
      </c>
      <c r="AJ442" s="1">
        <f t="shared" si="34"/>
        <v>0</v>
      </c>
      <c r="AK442" s="1">
        <f>E45</f>
        <v>0</v>
      </c>
      <c r="AL442" s="1">
        <f>E51</f>
        <v>0</v>
      </c>
      <c r="AM442" s="1">
        <f t="shared" si="35"/>
        <v>0</v>
      </c>
      <c r="AN442" s="1">
        <f t="shared" si="36"/>
        <v>0</v>
      </c>
      <c r="AO442" s="1">
        <f t="shared" si="37"/>
        <v>0</v>
      </c>
      <c r="AP442" t="b" cm="1">
        <f t="array" ref="AP442">INDEX($AU$8:$BB$25,6*(R442-1)+MATCH(AB442,$AS$8:$AS$13,0),MATCH(O442,$AU$7:$BB$7,0))</f>
        <v>1</v>
      </c>
    </row>
    <row r="443" spans="15:42" ht="14.25" x14ac:dyDescent="0.45">
      <c r="O443" s="43" t="s">
        <v>32</v>
      </c>
      <c r="P443" s="43">
        <v>2</v>
      </c>
      <c r="Q443" s="43">
        <v>6</v>
      </c>
      <c r="R443" s="43">
        <v>1</v>
      </c>
      <c r="S443" s="45"/>
      <c r="T443" t="b">
        <f>(S443+S444+S445)=Q3</f>
        <v>0</v>
      </c>
      <c r="X443" s="1">
        <f t="shared" si="39"/>
        <v>0</v>
      </c>
      <c r="Y443" s="48">
        <v>0</v>
      </c>
      <c r="AA443" s="1">
        <v>5</v>
      </c>
      <c r="AB443" s="1" t="s">
        <v>16</v>
      </c>
      <c r="AC443" s="1" t="s">
        <v>22</v>
      </c>
      <c r="AD443" s="1">
        <v>16</v>
      </c>
      <c r="AE443" s="1">
        <v>14</v>
      </c>
      <c r="AF443" s="1">
        <v>0.8</v>
      </c>
      <c r="AG443" s="1">
        <v>0.9</v>
      </c>
      <c r="AH443" s="1">
        <v>0</v>
      </c>
      <c r="AI443" s="1">
        <v>0</v>
      </c>
      <c r="AJ443" s="1">
        <f t="shared" si="34"/>
        <v>0</v>
      </c>
      <c r="AK443" s="1">
        <f>C49</f>
        <v>0</v>
      </c>
      <c r="AL443" s="1">
        <f>C55</f>
        <v>0</v>
      </c>
      <c r="AM443" s="1">
        <f t="shared" si="35"/>
        <v>0</v>
      </c>
      <c r="AN443" s="1">
        <f t="shared" si="36"/>
        <v>0</v>
      </c>
      <c r="AO443" s="1">
        <f t="shared" si="37"/>
        <v>0</v>
      </c>
      <c r="AP443" t="b" cm="1">
        <f t="array" ref="AP443">INDEX($AU$8:$BB$25,6*(R443-1)+MATCH(AB443,$AS$8:$AS$13,0),MATCH(O443,$AU$7:$BB$7,0))</f>
        <v>1</v>
      </c>
    </row>
    <row r="444" spans="15:42" ht="14.25" x14ac:dyDescent="0.45">
      <c r="O444" s="43" t="s">
        <v>32</v>
      </c>
      <c r="P444" s="43">
        <v>2</v>
      </c>
      <c r="Q444" s="43">
        <v>6</v>
      </c>
      <c r="R444" s="43">
        <v>2</v>
      </c>
      <c r="S444" s="45"/>
      <c r="T444" t="b">
        <f>(S443+S444+S445)=Q3</f>
        <v>0</v>
      </c>
      <c r="X444" s="1">
        <f t="shared" si="39"/>
        <v>0</v>
      </c>
      <c r="Y444" s="48">
        <v>0</v>
      </c>
      <c r="AA444" s="1">
        <v>5</v>
      </c>
      <c r="AB444" s="1" t="s">
        <v>16</v>
      </c>
      <c r="AC444" s="1" t="s">
        <v>22</v>
      </c>
      <c r="AD444" s="1">
        <v>16</v>
      </c>
      <c r="AE444" s="1">
        <v>14</v>
      </c>
      <c r="AF444" s="1">
        <v>0.8</v>
      </c>
      <c r="AG444" s="1">
        <v>0.9</v>
      </c>
      <c r="AH444" s="1">
        <v>0</v>
      </c>
      <c r="AI444" s="1">
        <v>0</v>
      </c>
      <c r="AJ444" s="1">
        <f t="shared" si="34"/>
        <v>0</v>
      </c>
      <c r="AK444" s="1">
        <f>D49</f>
        <v>0</v>
      </c>
      <c r="AL444" s="1">
        <f>D55</f>
        <v>0</v>
      </c>
      <c r="AM444" s="1">
        <f t="shared" si="35"/>
        <v>0</v>
      </c>
      <c r="AN444" s="1">
        <f t="shared" si="36"/>
        <v>0</v>
      </c>
      <c r="AO444" s="1">
        <f t="shared" si="37"/>
        <v>0</v>
      </c>
      <c r="AP444" t="b" cm="1">
        <f t="array" ref="AP444">INDEX($AU$8:$BB$25,6*(R444-1)+MATCH(AB444,$AS$8:$AS$13,0),MATCH(O444,$AU$7:$BB$7,0))</f>
        <v>1</v>
      </c>
    </row>
    <row r="445" spans="15:42" ht="14.25" x14ac:dyDescent="0.45">
      <c r="O445" s="43" t="s">
        <v>32</v>
      </c>
      <c r="P445" s="43">
        <v>2</v>
      </c>
      <c r="Q445" s="43">
        <v>6</v>
      </c>
      <c r="R445" s="43">
        <v>3</v>
      </c>
      <c r="S445" s="45"/>
      <c r="T445" t="b">
        <f>(S443+S444+S445)=Q3</f>
        <v>0</v>
      </c>
      <c r="X445" s="1">
        <f t="shared" si="39"/>
        <v>0</v>
      </c>
      <c r="Y445" s="48">
        <v>0</v>
      </c>
      <c r="AA445" s="1">
        <v>5</v>
      </c>
      <c r="AB445" s="1" t="s">
        <v>16</v>
      </c>
      <c r="AC445" s="1" t="s">
        <v>22</v>
      </c>
      <c r="AD445" s="1">
        <v>16</v>
      </c>
      <c r="AE445" s="1">
        <v>14</v>
      </c>
      <c r="AF445" s="1">
        <v>0.8</v>
      </c>
      <c r="AG445" s="1">
        <v>0.9</v>
      </c>
      <c r="AH445" s="1">
        <v>0</v>
      </c>
      <c r="AI445" s="1">
        <v>0</v>
      </c>
      <c r="AJ445" s="1">
        <f t="shared" si="34"/>
        <v>0</v>
      </c>
      <c r="AK445" s="1">
        <f>E49</f>
        <v>0</v>
      </c>
      <c r="AL445" s="1">
        <f>E55</f>
        <v>0</v>
      </c>
      <c r="AM445" s="1">
        <f t="shared" si="35"/>
        <v>0</v>
      </c>
      <c r="AN445" s="1">
        <f t="shared" si="36"/>
        <v>0</v>
      </c>
      <c r="AO445" s="1">
        <f t="shared" si="37"/>
        <v>0</v>
      </c>
      <c r="AP445" t="b" cm="1">
        <f t="array" ref="AP445">INDEX($AU$8:$BB$25,6*(R445-1)+MATCH(AB445,$AS$8:$AS$13,0),MATCH(O445,$AU$7:$BB$7,0))</f>
        <v>1</v>
      </c>
    </row>
    <row r="446" spans="15:42" ht="14.25" x14ac:dyDescent="0.45">
      <c r="O446" s="43" t="s">
        <v>32</v>
      </c>
      <c r="P446" s="43">
        <v>2</v>
      </c>
      <c r="Q446" s="43">
        <v>7</v>
      </c>
      <c r="R446" s="43">
        <v>1</v>
      </c>
      <c r="S446" s="45"/>
      <c r="T446" t="b">
        <f>(S446+S447+S448)=Q3</f>
        <v>0</v>
      </c>
      <c r="X446" s="1">
        <f t="shared" si="39"/>
        <v>0</v>
      </c>
      <c r="Y446" s="48">
        <v>0</v>
      </c>
      <c r="AA446" s="1">
        <v>4</v>
      </c>
      <c r="AB446" s="1" t="s">
        <v>16</v>
      </c>
      <c r="AC446" s="1" t="s">
        <v>22</v>
      </c>
      <c r="AD446" s="1">
        <v>17</v>
      </c>
      <c r="AE446" s="1">
        <v>15</v>
      </c>
      <c r="AF446" s="1">
        <v>0.8</v>
      </c>
      <c r="AG446" s="1">
        <v>0.9</v>
      </c>
      <c r="AH446" s="1">
        <v>0</v>
      </c>
      <c r="AI446" s="1">
        <v>0</v>
      </c>
      <c r="AJ446" s="1">
        <f t="shared" si="34"/>
        <v>0</v>
      </c>
      <c r="AK446" s="1">
        <f>C49</f>
        <v>0</v>
      </c>
      <c r="AL446" s="1">
        <f>C55</f>
        <v>0</v>
      </c>
      <c r="AM446" s="1">
        <f t="shared" si="35"/>
        <v>0</v>
      </c>
      <c r="AN446" s="1">
        <f t="shared" si="36"/>
        <v>0</v>
      </c>
      <c r="AO446" s="1">
        <f t="shared" si="37"/>
        <v>0</v>
      </c>
      <c r="AP446" t="b" cm="1">
        <f t="array" ref="AP446">INDEX($AU$8:$BB$25,6*(R446-1)+MATCH(AB446,$AS$8:$AS$13,0),MATCH(O446,$AU$7:$BB$7,0))</f>
        <v>1</v>
      </c>
    </row>
    <row r="447" spans="15:42" ht="14.25" x14ac:dyDescent="0.45">
      <c r="O447" s="43" t="s">
        <v>32</v>
      </c>
      <c r="P447" s="43">
        <v>2</v>
      </c>
      <c r="Q447" s="43">
        <v>7</v>
      </c>
      <c r="R447" s="43">
        <v>2</v>
      </c>
      <c r="S447" s="45"/>
      <c r="T447" t="b">
        <f>(S446+S447+S448)=Q3</f>
        <v>0</v>
      </c>
      <c r="X447" s="1">
        <f t="shared" si="39"/>
        <v>0</v>
      </c>
      <c r="Y447" s="48">
        <v>0</v>
      </c>
      <c r="AA447" s="1">
        <v>4</v>
      </c>
      <c r="AB447" s="1" t="s">
        <v>16</v>
      </c>
      <c r="AC447" s="1" t="s">
        <v>22</v>
      </c>
      <c r="AD447" s="1">
        <v>17</v>
      </c>
      <c r="AE447" s="1">
        <v>15</v>
      </c>
      <c r="AF447" s="1">
        <v>0.8</v>
      </c>
      <c r="AG447" s="1">
        <v>0.9</v>
      </c>
      <c r="AH447" s="1">
        <v>0</v>
      </c>
      <c r="AI447" s="1">
        <v>0</v>
      </c>
      <c r="AJ447" s="1">
        <f t="shared" si="34"/>
        <v>0</v>
      </c>
      <c r="AK447" s="1">
        <f>D49</f>
        <v>0</v>
      </c>
      <c r="AL447" s="1">
        <f>D55</f>
        <v>0</v>
      </c>
      <c r="AM447" s="1">
        <f t="shared" si="35"/>
        <v>0</v>
      </c>
      <c r="AN447" s="1">
        <f t="shared" si="36"/>
        <v>0</v>
      </c>
      <c r="AO447" s="1">
        <f t="shared" si="37"/>
        <v>0</v>
      </c>
      <c r="AP447" t="b" cm="1">
        <f t="array" ref="AP447">INDEX($AU$8:$BB$25,6*(R447-1)+MATCH(AB447,$AS$8:$AS$13,0),MATCH(O447,$AU$7:$BB$7,0))</f>
        <v>1</v>
      </c>
    </row>
    <row r="448" spans="15:42" ht="14.25" x14ac:dyDescent="0.45">
      <c r="O448" s="43" t="s">
        <v>32</v>
      </c>
      <c r="P448" s="43">
        <v>2</v>
      </c>
      <c r="Q448" s="43">
        <v>7</v>
      </c>
      <c r="R448" s="43">
        <v>3</v>
      </c>
      <c r="S448" s="45"/>
      <c r="T448" t="b">
        <f>(S446+S447+S448)=Q3</f>
        <v>0</v>
      </c>
      <c r="X448" s="1">
        <f t="shared" si="39"/>
        <v>0</v>
      </c>
      <c r="Y448" s="48">
        <v>0</v>
      </c>
      <c r="AA448" s="1">
        <v>4</v>
      </c>
      <c r="AB448" s="1" t="s">
        <v>16</v>
      </c>
      <c r="AC448" s="1" t="s">
        <v>22</v>
      </c>
      <c r="AD448" s="1">
        <v>17</v>
      </c>
      <c r="AE448" s="1">
        <v>15</v>
      </c>
      <c r="AF448" s="1">
        <v>0.8</v>
      </c>
      <c r="AG448" s="1">
        <v>0.9</v>
      </c>
      <c r="AH448" s="1">
        <v>0</v>
      </c>
      <c r="AI448" s="1">
        <v>0</v>
      </c>
      <c r="AJ448" s="1">
        <f t="shared" si="34"/>
        <v>0</v>
      </c>
      <c r="AK448" s="1">
        <f>E49</f>
        <v>0</v>
      </c>
      <c r="AL448" s="1">
        <f>E55</f>
        <v>0</v>
      </c>
      <c r="AM448" s="1">
        <f t="shared" si="35"/>
        <v>0</v>
      </c>
      <c r="AN448" s="1">
        <f t="shared" si="36"/>
        <v>0</v>
      </c>
      <c r="AO448" s="1">
        <f t="shared" si="37"/>
        <v>0</v>
      </c>
      <c r="AP448" t="b" cm="1">
        <f t="array" ref="AP448">INDEX($AU$8:$BB$25,6*(R448-1)+MATCH(AB448,$AS$8:$AS$13,0),MATCH(O448,$AU$7:$BB$7,0))</f>
        <v>1</v>
      </c>
    </row>
    <row r="449" spans="15:42" ht="14.25" x14ac:dyDescent="0.45">
      <c r="O449" s="43" t="s">
        <v>32</v>
      </c>
      <c r="P449" s="43">
        <v>2</v>
      </c>
      <c r="Q449" s="43">
        <v>8</v>
      </c>
      <c r="R449" s="43">
        <v>1</v>
      </c>
      <c r="S449" s="45"/>
      <c r="T449" t="b">
        <f>(S449+S450+S451)=Q3</f>
        <v>0</v>
      </c>
      <c r="X449" s="1">
        <f t="shared" si="39"/>
        <v>0</v>
      </c>
      <c r="Y449" s="48">
        <v>0</v>
      </c>
      <c r="AA449" s="1">
        <v>4</v>
      </c>
      <c r="AB449" s="1" t="s">
        <v>12</v>
      </c>
      <c r="AC449" s="1" t="s">
        <v>18</v>
      </c>
      <c r="AD449" s="1">
        <v>22</v>
      </c>
      <c r="AE449" s="1">
        <v>16</v>
      </c>
      <c r="AF449" s="1">
        <v>0.76</v>
      </c>
      <c r="AG449" s="1">
        <v>0.81</v>
      </c>
      <c r="AH449" s="1">
        <v>0</v>
      </c>
      <c r="AI449" s="1">
        <v>0</v>
      </c>
      <c r="AJ449" s="1">
        <f t="shared" si="34"/>
        <v>0</v>
      </c>
      <c r="AK449" s="1">
        <f>C45</f>
        <v>0</v>
      </c>
      <c r="AL449" s="1">
        <f>C51</f>
        <v>0</v>
      </c>
      <c r="AM449" s="1">
        <f t="shared" si="35"/>
        <v>0</v>
      </c>
      <c r="AN449" s="1">
        <f t="shared" si="36"/>
        <v>0</v>
      </c>
      <c r="AO449" s="1">
        <f t="shared" si="37"/>
        <v>0</v>
      </c>
      <c r="AP449" t="b" cm="1">
        <f t="array" ref="AP449">INDEX($AU$8:$BB$25,6*(R449-1)+MATCH(AB449,$AS$8:$AS$13,0),MATCH(O449,$AU$7:$BB$7,0))</f>
        <v>1</v>
      </c>
    </row>
    <row r="450" spans="15:42" ht="14.25" x14ac:dyDescent="0.45">
      <c r="O450" s="43" t="s">
        <v>32</v>
      </c>
      <c r="P450" s="43">
        <v>2</v>
      </c>
      <c r="Q450" s="43">
        <v>8</v>
      </c>
      <c r="R450" s="43">
        <v>2</v>
      </c>
      <c r="S450" s="45"/>
      <c r="T450" t="b">
        <f>(S449+S450+S451)=Q3</f>
        <v>0</v>
      </c>
      <c r="X450" s="1">
        <f t="shared" si="39"/>
        <v>0</v>
      </c>
      <c r="Y450" s="48">
        <v>0</v>
      </c>
      <c r="AA450" s="1">
        <v>4</v>
      </c>
      <c r="AB450" s="1" t="s">
        <v>12</v>
      </c>
      <c r="AC450" s="1" t="s">
        <v>18</v>
      </c>
      <c r="AD450" s="1">
        <v>22</v>
      </c>
      <c r="AE450" s="1">
        <v>16</v>
      </c>
      <c r="AF450" s="1">
        <v>0.76</v>
      </c>
      <c r="AG450" s="1">
        <v>0.81</v>
      </c>
      <c r="AH450" s="1">
        <v>0</v>
      </c>
      <c r="AI450" s="1">
        <v>0</v>
      </c>
      <c r="AJ450" s="1">
        <f t="shared" si="34"/>
        <v>0</v>
      </c>
      <c r="AK450" s="1">
        <f>D45</f>
        <v>0</v>
      </c>
      <c r="AL450" s="1">
        <f>D51</f>
        <v>0</v>
      </c>
      <c r="AM450" s="1">
        <f t="shared" si="35"/>
        <v>0</v>
      </c>
      <c r="AN450" s="1">
        <f t="shared" si="36"/>
        <v>0</v>
      </c>
      <c r="AO450" s="1">
        <f t="shared" si="37"/>
        <v>0</v>
      </c>
      <c r="AP450" t="b" cm="1">
        <f t="array" ref="AP450">INDEX($AU$8:$BB$25,6*(R450-1)+MATCH(AB450,$AS$8:$AS$13,0),MATCH(O450,$AU$7:$BB$7,0))</f>
        <v>1</v>
      </c>
    </row>
    <row r="451" spans="15:42" ht="14.25" x14ac:dyDescent="0.45">
      <c r="O451" s="43" t="s">
        <v>32</v>
      </c>
      <c r="P451" s="43">
        <v>2</v>
      </c>
      <c r="Q451" s="43">
        <v>8</v>
      </c>
      <c r="R451" s="43">
        <v>3</v>
      </c>
      <c r="S451" s="45"/>
      <c r="T451" t="b">
        <f>(S449+S450+S451)=Q3</f>
        <v>0</v>
      </c>
      <c r="X451" s="1">
        <f t="shared" si="39"/>
        <v>0</v>
      </c>
      <c r="Y451" s="48">
        <v>0</v>
      </c>
      <c r="AA451" s="1">
        <v>4</v>
      </c>
      <c r="AB451" s="1" t="s">
        <v>12</v>
      </c>
      <c r="AC451" s="1" t="s">
        <v>18</v>
      </c>
      <c r="AD451" s="1">
        <v>22</v>
      </c>
      <c r="AE451" s="1">
        <v>16</v>
      </c>
      <c r="AF451" s="1">
        <v>0.76</v>
      </c>
      <c r="AG451" s="1">
        <v>0.81</v>
      </c>
      <c r="AH451" s="1">
        <v>0</v>
      </c>
      <c r="AI451" s="1">
        <v>0</v>
      </c>
      <c r="AJ451" s="1">
        <f t="shared" si="34"/>
        <v>0</v>
      </c>
      <c r="AK451" s="1">
        <f>E45</f>
        <v>0</v>
      </c>
      <c r="AL451" s="1">
        <f>E51</f>
        <v>0</v>
      </c>
      <c r="AM451" s="1">
        <f t="shared" si="35"/>
        <v>0</v>
      </c>
      <c r="AN451" s="1">
        <f t="shared" si="36"/>
        <v>0</v>
      </c>
      <c r="AO451" s="1">
        <f t="shared" si="37"/>
        <v>0</v>
      </c>
      <c r="AP451" t="b" cm="1">
        <f t="array" ref="AP451">INDEX($AU$8:$BB$25,6*(R451-1)+MATCH(AB451,$AS$8:$AS$13,0),MATCH(O451,$AU$7:$BB$7,0))</f>
        <v>1</v>
      </c>
    </row>
    <row r="452" spans="15:42" ht="14.25" x14ac:dyDescent="0.45">
      <c r="O452" s="43" t="s">
        <v>32</v>
      </c>
      <c r="P452" s="43">
        <v>2</v>
      </c>
      <c r="Q452" s="43">
        <v>9</v>
      </c>
      <c r="R452" s="43">
        <v>1</v>
      </c>
      <c r="S452" s="45"/>
      <c r="T452" t="b">
        <f>(S452+S453+S454)=Q3</f>
        <v>0</v>
      </c>
      <c r="X452" s="1">
        <f t="shared" si="39"/>
        <v>0</v>
      </c>
      <c r="Y452" s="48">
        <v>0</v>
      </c>
      <c r="AA452" s="1">
        <v>4</v>
      </c>
      <c r="AB452" s="1" t="s">
        <v>15</v>
      </c>
      <c r="AC452" s="1" t="s">
        <v>21</v>
      </c>
      <c r="AD452" s="1">
        <v>7</v>
      </c>
      <c r="AE452" s="1">
        <v>6</v>
      </c>
      <c r="AF452" s="1">
        <v>0.76</v>
      </c>
      <c r="AG452" s="1">
        <v>0.84</v>
      </c>
      <c r="AH452" s="1">
        <v>0</v>
      </c>
      <c r="AI452" s="1">
        <v>0</v>
      </c>
      <c r="AJ452" s="1">
        <f t="shared" si="34"/>
        <v>0</v>
      </c>
      <c r="AK452" s="1">
        <f>C48</f>
        <v>0</v>
      </c>
      <c r="AL452" s="1">
        <f>C54</f>
        <v>0</v>
      </c>
      <c r="AM452" s="1">
        <f t="shared" si="35"/>
        <v>0</v>
      </c>
      <c r="AN452" s="1">
        <f t="shared" si="36"/>
        <v>0</v>
      </c>
      <c r="AO452" s="1">
        <f t="shared" si="37"/>
        <v>0</v>
      </c>
      <c r="AP452" t="b" cm="1">
        <f t="array" ref="AP452">INDEX($AU$8:$BB$25,6*(R452-1)+MATCH(AB452,$AS$8:$AS$13,0),MATCH(O452,$AU$7:$BB$7,0))</f>
        <v>1</v>
      </c>
    </row>
    <row r="453" spans="15:42" ht="14.25" x14ac:dyDescent="0.45">
      <c r="O453" s="43" t="s">
        <v>32</v>
      </c>
      <c r="P453" s="43">
        <v>2</v>
      </c>
      <c r="Q453" s="43">
        <v>9</v>
      </c>
      <c r="R453" s="43">
        <v>2</v>
      </c>
      <c r="S453" s="45"/>
      <c r="T453" t="b">
        <f>(S452+S453+S454)=Q3</f>
        <v>0</v>
      </c>
      <c r="X453" s="1">
        <f t="shared" si="39"/>
        <v>0</v>
      </c>
      <c r="Y453" s="48">
        <v>0</v>
      </c>
      <c r="AA453" s="1">
        <v>4</v>
      </c>
      <c r="AB453" s="1" t="s">
        <v>15</v>
      </c>
      <c r="AC453" s="1" t="s">
        <v>21</v>
      </c>
      <c r="AD453" s="1">
        <v>7</v>
      </c>
      <c r="AE453" s="1">
        <v>6</v>
      </c>
      <c r="AF453" s="1">
        <v>0.76</v>
      </c>
      <c r="AG453" s="1">
        <v>0.84</v>
      </c>
      <c r="AH453" s="1">
        <v>0</v>
      </c>
      <c r="AI453" s="1">
        <v>0</v>
      </c>
      <c r="AJ453" s="1">
        <f t="shared" si="34"/>
        <v>0</v>
      </c>
      <c r="AK453" s="1">
        <f>D48</f>
        <v>0</v>
      </c>
      <c r="AL453" s="1">
        <f>D54</f>
        <v>0</v>
      </c>
      <c r="AM453" s="1">
        <f t="shared" si="35"/>
        <v>0</v>
      </c>
      <c r="AN453" s="1">
        <f t="shared" si="36"/>
        <v>0</v>
      </c>
      <c r="AO453" s="1">
        <f t="shared" si="37"/>
        <v>0</v>
      </c>
      <c r="AP453" t="b" cm="1">
        <f t="array" ref="AP453">INDEX($AU$8:$BB$25,6*(R453-1)+MATCH(AB453,$AS$8:$AS$13,0),MATCH(O453,$AU$7:$BB$7,0))</f>
        <v>1</v>
      </c>
    </row>
    <row r="454" spans="15:42" ht="14.25" x14ac:dyDescent="0.45">
      <c r="O454" s="43" t="s">
        <v>32</v>
      </c>
      <c r="P454" s="43">
        <v>2</v>
      </c>
      <c r="Q454" s="43">
        <v>9</v>
      </c>
      <c r="R454" s="43">
        <v>3</v>
      </c>
      <c r="S454" s="45"/>
      <c r="T454" t="b">
        <f>(S452+S453+S454)=Q3</f>
        <v>0</v>
      </c>
      <c r="X454" s="1">
        <f t="shared" si="39"/>
        <v>0</v>
      </c>
      <c r="Y454" s="48">
        <v>0</v>
      </c>
      <c r="AA454" s="1">
        <v>4</v>
      </c>
      <c r="AB454" s="1" t="s">
        <v>15</v>
      </c>
      <c r="AC454" s="1" t="s">
        <v>21</v>
      </c>
      <c r="AD454" s="1">
        <v>7</v>
      </c>
      <c r="AE454" s="1">
        <v>6</v>
      </c>
      <c r="AF454" s="1">
        <v>0.76</v>
      </c>
      <c r="AG454" s="1">
        <v>0.84</v>
      </c>
      <c r="AH454" s="1">
        <v>0</v>
      </c>
      <c r="AI454" s="1">
        <v>0</v>
      </c>
      <c r="AJ454" s="1">
        <f t="shared" si="34"/>
        <v>0</v>
      </c>
      <c r="AK454" s="1">
        <f>E48</f>
        <v>0</v>
      </c>
      <c r="AL454" s="1">
        <f>E54</f>
        <v>0</v>
      </c>
      <c r="AM454" s="1">
        <f t="shared" si="35"/>
        <v>0</v>
      </c>
      <c r="AN454" s="1">
        <f t="shared" si="36"/>
        <v>0</v>
      </c>
      <c r="AO454" s="1">
        <f t="shared" si="37"/>
        <v>0</v>
      </c>
      <c r="AP454" t="b" cm="1">
        <f t="array" ref="AP454">INDEX($AU$8:$BB$25,6*(R454-1)+MATCH(AB454,$AS$8:$AS$13,0),MATCH(O454,$AU$7:$BB$7,0))</f>
        <v>1</v>
      </c>
    </row>
    <row r="455" spans="15:42" ht="14.25" x14ac:dyDescent="0.45">
      <c r="O455" s="43" t="s">
        <v>32</v>
      </c>
      <c r="P455" s="43">
        <v>2</v>
      </c>
      <c r="Q455" s="43">
        <v>10</v>
      </c>
      <c r="R455" s="43">
        <v>1</v>
      </c>
      <c r="S455" s="45"/>
      <c r="T455" t="b">
        <f>(S455+S456+S457)=Q3</f>
        <v>0</v>
      </c>
      <c r="X455" s="1">
        <f t="shared" si="39"/>
        <v>0</v>
      </c>
      <c r="Y455" s="48">
        <v>0</v>
      </c>
      <c r="AA455" s="1">
        <v>6</v>
      </c>
      <c r="AB455" s="1" t="s">
        <v>15</v>
      </c>
      <c r="AC455" s="1" t="s">
        <v>21</v>
      </c>
      <c r="AD455" s="1">
        <v>9</v>
      </c>
      <c r="AE455" s="1">
        <v>7</v>
      </c>
      <c r="AF455" s="1">
        <v>0.76</v>
      </c>
      <c r="AG455" s="1">
        <v>0.84</v>
      </c>
      <c r="AH455" s="1">
        <v>0</v>
      </c>
      <c r="AI455" s="1">
        <v>0</v>
      </c>
      <c r="AJ455" s="1">
        <f t="shared" si="34"/>
        <v>0</v>
      </c>
      <c r="AK455" s="1">
        <f>C48</f>
        <v>0</v>
      </c>
      <c r="AL455" s="1">
        <f>C54</f>
        <v>0</v>
      </c>
      <c r="AM455" s="1">
        <f t="shared" si="35"/>
        <v>0</v>
      </c>
      <c r="AN455" s="1">
        <f t="shared" si="36"/>
        <v>0</v>
      </c>
      <c r="AO455" s="1">
        <f t="shared" si="37"/>
        <v>0</v>
      </c>
      <c r="AP455" t="b" cm="1">
        <f t="array" ref="AP455">INDEX($AU$8:$BB$25,6*(R455-1)+MATCH(AB455,$AS$8:$AS$13,0),MATCH(O455,$AU$7:$BB$7,0))</f>
        <v>1</v>
      </c>
    </row>
    <row r="456" spans="15:42" ht="14.25" x14ac:dyDescent="0.45">
      <c r="O456" s="43" t="s">
        <v>32</v>
      </c>
      <c r="P456" s="43">
        <v>2</v>
      </c>
      <c r="Q456" s="43">
        <v>10</v>
      </c>
      <c r="R456" s="43">
        <v>2</v>
      </c>
      <c r="S456" s="45"/>
      <c r="T456" t="b">
        <f>(S455+S456+S457)=Q3</f>
        <v>0</v>
      </c>
      <c r="X456" s="1">
        <f t="shared" si="39"/>
        <v>0</v>
      </c>
      <c r="Y456" s="48">
        <v>0</v>
      </c>
      <c r="AA456" s="1">
        <v>6</v>
      </c>
      <c r="AB456" s="1" t="s">
        <v>15</v>
      </c>
      <c r="AC456" s="1" t="s">
        <v>21</v>
      </c>
      <c r="AD456" s="1">
        <v>9</v>
      </c>
      <c r="AE456" s="1">
        <v>7</v>
      </c>
      <c r="AF456" s="1">
        <v>0.76</v>
      </c>
      <c r="AG456" s="1">
        <v>0.84</v>
      </c>
      <c r="AH456" s="1">
        <v>0</v>
      </c>
      <c r="AI456" s="1">
        <v>0</v>
      </c>
      <c r="AJ456" s="1">
        <f t="shared" si="34"/>
        <v>0</v>
      </c>
      <c r="AK456" s="1">
        <f>D48</f>
        <v>0</v>
      </c>
      <c r="AL456" s="1">
        <f>D54</f>
        <v>0</v>
      </c>
      <c r="AM456" s="1">
        <f t="shared" si="35"/>
        <v>0</v>
      </c>
      <c r="AN456" s="1">
        <f t="shared" si="36"/>
        <v>0</v>
      </c>
      <c r="AO456" s="1">
        <f t="shared" si="37"/>
        <v>0</v>
      </c>
      <c r="AP456" t="b" cm="1">
        <f t="array" ref="AP456">INDEX($AU$8:$BB$25,6*(R456-1)+MATCH(AB456,$AS$8:$AS$13,0),MATCH(O456,$AU$7:$BB$7,0))</f>
        <v>1</v>
      </c>
    </row>
    <row r="457" spans="15:42" ht="14.25" x14ac:dyDescent="0.45">
      <c r="O457" s="43" t="s">
        <v>32</v>
      </c>
      <c r="P457" s="43">
        <v>2</v>
      </c>
      <c r="Q457" s="43">
        <v>10</v>
      </c>
      <c r="R457" s="43">
        <v>3</v>
      </c>
      <c r="S457" s="45"/>
      <c r="T457" t="b">
        <f>(S455+S456+S457)=Q3</f>
        <v>0</v>
      </c>
      <c r="X457" s="1">
        <f t="shared" si="39"/>
        <v>0</v>
      </c>
      <c r="Y457" s="48">
        <v>0</v>
      </c>
      <c r="AA457" s="1">
        <v>6</v>
      </c>
      <c r="AB457" s="1" t="s">
        <v>15</v>
      </c>
      <c r="AC457" s="1" t="s">
        <v>21</v>
      </c>
      <c r="AD457" s="1">
        <v>9</v>
      </c>
      <c r="AE457" s="1">
        <v>7</v>
      </c>
      <c r="AF457" s="1">
        <v>0.76</v>
      </c>
      <c r="AG457" s="1">
        <v>0.84</v>
      </c>
      <c r="AH457" s="1">
        <v>0</v>
      </c>
      <c r="AI457" s="1">
        <v>0</v>
      </c>
      <c r="AJ457" s="1">
        <f t="shared" ref="AJ457:AJ520" si="40">SUMIFS(AH$8:AH$1039,$O$8:$O$1039,O457,$AB$8:$AB$1039,AB457,$R$8:$R$1039,R457,$AA$8:$AA$1039,"&lt;="&amp;AA457)</f>
        <v>0</v>
      </c>
      <c r="AK457" s="1">
        <f>E48</f>
        <v>0</v>
      </c>
      <c r="AL457" s="1">
        <f>E54</f>
        <v>0</v>
      </c>
      <c r="AM457" s="1">
        <f t="shared" ref="AM457:AM520" si="41">MAX(0,AJ457-AK457)</f>
        <v>0</v>
      </c>
      <c r="AN457" s="1">
        <f t="shared" ref="AN457:AN520" si="42">IF(AM457=0,AH457,IF(AM457&gt;=AH457,0,AH457-AM457))</f>
        <v>0</v>
      </c>
      <c r="AO457" s="1">
        <f t="shared" ref="AO457:AO520" si="43">IF(AM457&gt;=AH457,AI457,AI457*AM457/AH457)</f>
        <v>0</v>
      </c>
      <c r="AP457" t="b" cm="1">
        <f t="array" ref="AP457">INDEX($AU$8:$BB$25,6*(R457-1)+MATCH(AB457,$AS$8:$AS$13,0),MATCH(O457,$AU$7:$BB$7,0))</f>
        <v>1</v>
      </c>
    </row>
    <row r="458" spans="15:42" ht="14.25" x14ac:dyDescent="0.45">
      <c r="O458" s="43" t="s">
        <v>32</v>
      </c>
      <c r="P458" s="43">
        <v>2</v>
      </c>
      <c r="Q458" s="43">
        <v>11</v>
      </c>
      <c r="R458" s="43">
        <v>1</v>
      </c>
      <c r="S458" s="45"/>
      <c r="T458" t="b">
        <f>(S458+S459+S460)=Q3</f>
        <v>0</v>
      </c>
      <c r="X458" s="1">
        <f t="shared" si="39"/>
        <v>0</v>
      </c>
      <c r="Y458" s="48">
        <v>0</v>
      </c>
      <c r="AA458" s="1">
        <v>2</v>
      </c>
      <c r="AB458" s="1" t="s">
        <v>15</v>
      </c>
      <c r="AC458" s="1" t="s">
        <v>21</v>
      </c>
      <c r="AD458" s="1">
        <v>20</v>
      </c>
      <c r="AE458" s="1">
        <v>19</v>
      </c>
      <c r="AF458" s="1">
        <v>0.76</v>
      </c>
      <c r="AG458" s="1">
        <v>0.84</v>
      </c>
      <c r="AH458" s="1">
        <v>0</v>
      </c>
      <c r="AI458" s="1">
        <v>0</v>
      </c>
      <c r="AJ458" s="1">
        <f t="shared" si="40"/>
        <v>0</v>
      </c>
      <c r="AK458" s="1">
        <f>C48</f>
        <v>0</v>
      </c>
      <c r="AL458" s="1">
        <f>C54</f>
        <v>0</v>
      </c>
      <c r="AM458" s="1">
        <f t="shared" si="41"/>
        <v>0</v>
      </c>
      <c r="AN458" s="1">
        <f t="shared" si="42"/>
        <v>0</v>
      </c>
      <c r="AO458" s="1">
        <f t="shared" si="43"/>
        <v>0</v>
      </c>
      <c r="AP458" t="b" cm="1">
        <f t="array" ref="AP458">INDEX($AU$8:$BB$25,6*(R458-1)+MATCH(AB458,$AS$8:$AS$13,0),MATCH(O458,$AU$7:$BB$7,0))</f>
        <v>1</v>
      </c>
    </row>
    <row r="459" spans="15:42" ht="14.25" x14ac:dyDescent="0.45">
      <c r="O459" s="43" t="s">
        <v>32</v>
      </c>
      <c r="P459" s="43">
        <v>2</v>
      </c>
      <c r="Q459" s="43">
        <v>11</v>
      </c>
      <c r="R459" s="43">
        <v>2</v>
      </c>
      <c r="S459" s="45"/>
      <c r="T459" t="b">
        <f>(S458+S459+S460)=Q3</f>
        <v>0</v>
      </c>
      <c r="X459" s="1">
        <f t="shared" si="39"/>
        <v>0</v>
      </c>
      <c r="Y459" s="48">
        <v>0</v>
      </c>
      <c r="AA459" s="1">
        <v>2</v>
      </c>
      <c r="AB459" s="1" t="s">
        <v>15</v>
      </c>
      <c r="AC459" s="1" t="s">
        <v>21</v>
      </c>
      <c r="AD459" s="1">
        <v>20</v>
      </c>
      <c r="AE459" s="1">
        <v>19</v>
      </c>
      <c r="AF459" s="1">
        <v>0.76</v>
      </c>
      <c r="AG459" s="1">
        <v>0.84</v>
      </c>
      <c r="AH459" s="1">
        <v>0</v>
      </c>
      <c r="AI459" s="1">
        <v>0</v>
      </c>
      <c r="AJ459" s="1">
        <f t="shared" si="40"/>
        <v>0</v>
      </c>
      <c r="AK459" s="1">
        <f>D48</f>
        <v>0</v>
      </c>
      <c r="AL459" s="1">
        <f>D54</f>
        <v>0</v>
      </c>
      <c r="AM459" s="1">
        <f t="shared" si="41"/>
        <v>0</v>
      </c>
      <c r="AN459" s="1">
        <f t="shared" si="42"/>
        <v>0</v>
      </c>
      <c r="AO459" s="1">
        <f t="shared" si="43"/>
        <v>0</v>
      </c>
      <c r="AP459" t="b" cm="1">
        <f t="array" ref="AP459">INDEX($AU$8:$BB$25,6*(R459-1)+MATCH(AB459,$AS$8:$AS$13,0),MATCH(O459,$AU$7:$BB$7,0))</f>
        <v>1</v>
      </c>
    </row>
    <row r="460" spans="15:42" ht="14.25" x14ac:dyDescent="0.45">
      <c r="O460" s="43" t="s">
        <v>32</v>
      </c>
      <c r="P460" s="43">
        <v>2</v>
      </c>
      <c r="Q460" s="43">
        <v>11</v>
      </c>
      <c r="R460" s="43">
        <v>3</v>
      </c>
      <c r="S460" s="45"/>
      <c r="T460" t="b">
        <f>(S458+S459+S460)=Q3</f>
        <v>0</v>
      </c>
      <c r="X460" s="1">
        <f t="shared" si="39"/>
        <v>0</v>
      </c>
      <c r="Y460" s="48">
        <v>0</v>
      </c>
      <c r="AA460" s="1">
        <v>2</v>
      </c>
      <c r="AB460" s="1" t="s">
        <v>15</v>
      </c>
      <c r="AC460" s="1" t="s">
        <v>21</v>
      </c>
      <c r="AD460" s="1">
        <v>20</v>
      </c>
      <c r="AE460" s="1">
        <v>19</v>
      </c>
      <c r="AF460" s="1">
        <v>0.76</v>
      </c>
      <c r="AG460" s="1">
        <v>0.84</v>
      </c>
      <c r="AH460" s="1">
        <v>0</v>
      </c>
      <c r="AI460" s="1">
        <v>0</v>
      </c>
      <c r="AJ460" s="1">
        <f t="shared" si="40"/>
        <v>0</v>
      </c>
      <c r="AK460" s="1">
        <f>E48</f>
        <v>0</v>
      </c>
      <c r="AL460" s="1">
        <f>E54</f>
        <v>0</v>
      </c>
      <c r="AM460" s="1">
        <f t="shared" si="41"/>
        <v>0</v>
      </c>
      <c r="AN460" s="1">
        <f t="shared" si="42"/>
        <v>0</v>
      </c>
      <c r="AO460" s="1">
        <f t="shared" si="43"/>
        <v>0</v>
      </c>
      <c r="AP460" t="b" cm="1">
        <f t="array" ref="AP460">INDEX($AU$8:$BB$25,6*(R460-1)+MATCH(AB460,$AS$8:$AS$13,0),MATCH(O460,$AU$7:$BB$7,0))</f>
        <v>1</v>
      </c>
    </row>
    <row r="461" spans="15:42" ht="14.25" x14ac:dyDescent="0.45">
      <c r="O461" s="43" t="s">
        <v>32</v>
      </c>
      <c r="P461" s="43">
        <v>2</v>
      </c>
      <c r="Q461" s="43">
        <v>12</v>
      </c>
      <c r="R461" s="43">
        <v>1</v>
      </c>
      <c r="S461" s="45"/>
      <c r="T461" t="b">
        <f>(S461+S462+S463)=Q3</f>
        <v>0</v>
      </c>
      <c r="X461" s="1">
        <f t="shared" si="39"/>
        <v>0</v>
      </c>
      <c r="Y461" s="48">
        <v>0</v>
      </c>
      <c r="AA461" s="1">
        <v>7</v>
      </c>
      <c r="AB461" s="1" t="s">
        <v>16</v>
      </c>
      <c r="AC461" s="1" t="s">
        <v>22</v>
      </c>
      <c r="AD461" s="1">
        <v>21</v>
      </c>
      <c r="AE461" s="1">
        <v>18</v>
      </c>
      <c r="AF461" s="1">
        <v>0.8</v>
      </c>
      <c r="AG461" s="1">
        <v>0.9</v>
      </c>
      <c r="AH461" s="1">
        <v>0</v>
      </c>
      <c r="AI461" s="1">
        <v>0</v>
      </c>
      <c r="AJ461" s="1">
        <f t="shared" si="40"/>
        <v>0</v>
      </c>
      <c r="AK461" s="1">
        <f>C49</f>
        <v>0</v>
      </c>
      <c r="AL461" s="1">
        <f>C55</f>
        <v>0</v>
      </c>
      <c r="AM461" s="1">
        <f t="shared" si="41"/>
        <v>0</v>
      </c>
      <c r="AN461" s="1">
        <f t="shared" si="42"/>
        <v>0</v>
      </c>
      <c r="AO461" s="1">
        <f t="shared" si="43"/>
        <v>0</v>
      </c>
      <c r="AP461" t="b" cm="1">
        <f t="array" ref="AP461">INDEX($AU$8:$BB$25,6*(R461-1)+MATCH(AB461,$AS$8:$AS$13,0),MATCH(O461,$AU$7:$BB$7,0))</f>
        <v>1</v>
      </c>
    </row>
    <row r="462" spans="15:42" ht="14.25" x14ac:dyDescent="0.45">
      <c r="O462" s="43" t="s">
        <v>32</v>
      </c>
      <c r="P462" s="43">
        <v>2</v>
      </c>
      <c r="Q462" s="43">
        <v>12</v>
      </c>
      <c r="R462" s="43">
        <v>2</v>
      </c>
      <c r="S462" s="45"/>
      <c r="T462" t="b">
        <f>(S461+S462+S463)=Q3</f>
        <v>0</v>
      </c>
      <c r="X462" s="1">
        <f t="shared" si="39"/>
        <v>0</v>
      </c>
      <c r="Y462" s="48">
        <v>0</v>
      </c>
      <c r="AA462" s="1">
        <v>7</v>
      </c>
      <c r="AB462" s="1" t="s">
        <v>16</v>
      </c>
      <c r="AC462" s="1" t="s">
        <v>22</v>
      </c>
      <c r="AD462" s="1">
        <v>21</v>
      </c>
      <c r="AE462" s="1">
        <v>18</v>
      </c>
      <c r="AF462" s="1">
        <v>0.8</v>
      </c>
      <c r="AG462" s="1">
        <v>0.9</v>
      </c>
      <c r="AH462" s="1">
        <v>0</v>
      </c>
      <c r="AI462" s="1">
        <v>0</v>
      </c>
      <c r="AJ462" s="1">
        <f t="shared" si="40"/>
        <v>0</v>
      </c>
      <c r="AK462" s="1">
        <f>D49</f>
        <v>0</v>
      </c>
      <c r="AL462" s="1">
        <f>D55</f>
        <v>0</v>
      </c>
      <c r="AM462" s="1">
        <f t="shared" si="41"/>
        <v>0</v>
      </c>
      <c r="AN462" s="1">
        <f t="shared" si="42"/>
        <v>0</v>
      </c>
      <c r="AO462" s="1">
        <f t="shared" si="43"/>
        <v>0</v>
      </c>
      <c r="AP462" t="b" cm="1">
        <f t="array" ref="AP462">INDEX($AU$8:$BB$25,6*(R462-1)+MATCH(AB462,$AS$8:$AS$13,0),MATCH(O462,$AU$7:$BB$7,0))</f>
        <v>1</v>
      </c>
    </row>
    <row r="463" spans="15:42" ht="14.25" x14ac:dyDescent="0.45">
      <c r="O463" s="43" t="s">
        <v>32</v>
      </c>
      <c r="P463" s="43">
        <v>2</v>
      </c>
      <c r="Q463" s="43">
        <v>12</v>
      </c>
      <c r="R463" s="43">
        <v>3</v>
      </c>
      <c r="S463" s="45"/>
      <c r="T463" t="b">
        <f>(S461+S462+S463)=Q3</f>
        <v>0</v>
      </c>
      <c r="X463" s="1">
        <f t="shared" si="39"/>
        <v>0</v>
      </c>
      <c r="Y463" s="48">
        <v>0</v>
      </c>
      <c r="AA463" s="1">
        <v>7</v>
      </c>
      <c r="AB463" s="1" t="s">
        <v>16</v>
      </c>
      <c r="AC463" s="1" t="s">
        <v>22</v>
      </c>
      <c r="AD463" s="1">
        <v>21</v>
      </c>
      <c r="AE463" s="1">
        <v>18</v>
      </c>
      <c r="AF463" s="1">
        <v>0.8</v>
      </c>
      <c r="AG463" s="1">
        <v>0.9</v>
      </c>
      <c r="AH463" s="1">
        <v>0</v>
      </c>
      <c r="AI463" s="1">
        <v>0</v>
      </c>
      <c r="AJ463" s="1">
        <f t="shared" si="40"/>
        <v>0</v>
      </c>
      <c r="AK463" s="1">
        <f>E49</f>
        <v>0</v>
      </c>
      <c r="AL463" s="1">
        <f>E55</f>
        <v>0</v>
      </c>
      <c r="AM463" s="1">
        <f t="shared" si="41"/>
        <v>0</v>
      </c>
      <c r="AN463" s="1">
        <f t="shared" si="42"/>
        <v>0</v>
      </c>
      <c r="AO463" s="1">
        <f t="shared" si="43"/>
        <v>0</v>
      </c>
      <c r="AP463" t="b" cm="1">
        <f t="array" ref="AP463">INDEX($AU$8:$BB$25,6*(R463-1)+MATCH(AB463,$AS$8:$AS$13,0),MATCH(O463,$AU$7:$BB$7,0))</f>
        <v>1</v>
      </c>
    </row>
    <row r="464" spans="15:42" ht="14.25" x14ac:dyDescent="0.45">
      <c r="O464" s="43" t="s">
        <v>32</v>
      </c>
      <c r="P464" s="43">
        <v>2</v>
      </c>
      <c r="Q464" s="43">
        <v>13</v>
      </c>
      <c r="R464" s="43">
        <v>1</v>
      </c>
      <c r="S464" s="45"/>
      <c r="T464" t="b">
        <f>(S464+S465+S466)=Q3</f>
        <v>0</v>
      </c>
      <c r="X464" s="1">
        <f t="shared" si="39"/>
        <v>0</v>
      </c>
      <c r="Y464" s="48">
        <v>0</v>
      </c>
      <c r="AA464" s="1">
        <v>8</v>
      </c>
      <c r="AB464" s="1" t="s">
        <v>15</v>
      </c>
      <c r="AC464" s="1" t="s">
        <v>21</v>
      </c>
      <c r="AD464" s="1">
        <v>12</v>
      </c>
      <c r="AE464" s="1">
        <v>9</v>
      </c>
      <c r="AF464" s="1">
        <v>0.76</v>
      </c>
      <c r="AG464" s="1">
        <v>0.84</v>
      </c>
      <c r="AH464" s="1">
        <v>0</v>
      </c>
      <c r="AI464" s="1">
        <v>0</v>
      </c>
      <c r="AJ464" s="1">
        <f t="shared" si="40"/>
        <v>0</v>
      </c>
      <c r="AK464" s="1">
        <f>C48</f>
        <v>0</v>
      </c>
      <c r="AL464" s="1">
        <f>C54</f>
        <v>0</v>
      </c>
      <c r="AM464" s="1">
        <f t="shared" si="41"/>
        <v>0</v>
      </c>
      <c r="AN464" s="1">
        <f t="shared" si="42"/>
        <v>0</v>
      </c>
      <c r="AO464" s="1">
        <f t="shared" si="43"/>
        <v>0</v>
      </c>
      <c r="AP464" t="b" cm="1">
        <f t="array" ref="AP464">INDEX($AU$8:$BB$25,6*(R464-1)+MATCH(AB464,$AS$8:$AS$13,0),MATCH(O464,$AU$7:$BB$7,0))</f>
        <v>1</v>
      </c>
    </row>
    <row r="465" spans="15:42" ht="14.25" x14ac:dyDescent="0.45">
      <c r="O465" s="43" t="s">
        <v>32</v>
      </c>
      <c r="P465" s="43">
        <v>2</v>
      </c>
      <c r="Q465" s="43">
        <v>13</v>
      </c>
      <c r="R465" s="43">
        <v>2</v>
      </c>
      <c r="S465" s="45"/>
      <c r="T465" t="b">
        <f>(S464+S465+S466)=Q3</f>
        <v>0</v>
      </c>
      <c r="X465" s="1">
        <f t="shared" si="39"/>
        <v>0</v>
      </c>
      <c r="Y465" s="48">
        <v>0</v>
      </c>
      <c r="AA465" s="1">
        <v>8</v>
      </c>
      <c r="AB465" s="1" t="s">
        <v>15</v>
      </c>
      <c r="AC465" s="1" t="s">
        <v>21</v>
      </c>
      <c r="AD465" s="1">
        <v>12</v>
      </c>
      <c r="AE465" s="1">
        <v>9</v>
      </c>
      <c r="AF465" s="1">
        <v>0.76</v>
      </c>
      <c r="AG465" s="1">
        <v>0.84</v>
      </c>
      <c r="AH465" s="1">
        <v>0</v>
      </c>
      <c r="AI465" s="1">
        <v>0</v>
      </c>
      <c r="AJ465" s="1">
        <f t="shared" si="40"/>
        <v>0</v>
      </c>
      <c r="AK465" s="1">
        <f>D48</f>
        <v>0</v>
      </c>
      <c r="AL465" s="1">
        <f>D54</f>
        <v>0</v>
      </c>
      <c r="AM465" s="1">
        <f t="shared" si="41"/>
        <v>0</v>
      </c>
      <c r="AN465" s="1">
        <f t="shared" si="42"/>
        <v>0</v>
      </c>
      <c r="AO465" s="1">
        <f t="shared" si="43"/>
        <v>0</v>
      </c>
      <c r="AP465" t="b" cm="1">
        <f t="array" ref="AP465">INDEX($AU$8:$BB$25,6*(R465-1)+MATCH(AB465,$AS$8:$AS$13,0),MATCH(O465,$AU$7:$BB$7,0))</f>
        <v>1</v>
      </c>
    </row>
    <row r="466" spans="15:42" ht="14.25" x14ac:dyDescent="0.45">
      <c r="O466" s="43" t="s">
        <v>32</v>
      </c>
      <c r="P466" s="43">
        <v>2</v>
      </c>
      <c r="Q466" s="43">
        <v>13</v>
      </c>
      <c r="R466" s="43">
        <v>3</v>
      </c>
      <c r="S466" s="45"/>
      <c r="T466" t="b">
        <f>(S464+S465+S466)=Q3</f>
        <v>0</v>
      </c>
      <c r="X466" s="1">
        <f t="shared" si="39"/>
        <v>0</v>
      </c>
      <c r="Y466" s="48">
        <v>0</v>
      </c>
      <c r="AA466" s="1">
        <v>8</v>
      </c>
      <c r="AB466" s="1" t="s">
        <v>15</v>
      </c>
      <c r="AC466" s="1" t="s">
        <v>21</v>
      </c>
      <c r="AD466" s="1">
        <v>12</v>
      </c>
      <c r="AE466" s="1">
        <v>9</v>
      </c>
      <c r="AF466" s="1">
        <v>0.76</v>
      </c>
      <c r="AG466" s="1">
        <v>0.84</v>
      </c>
      <c r="AH466" s="1">
        <v>0</v>
      </c>
      <c r="AI466" s="1">
        <v>0</v>
      </c>
      <c r="AJ466" s="1">
        <f t="shared" si="40"/>
        <v>0</v>
      </c>
      <c r="AK466" s="1">
        <f>E48</f>
        <v>0</v>
      </c>
      <c r="AL466" s="1">
        <f>E54</f>
        <v>0</v>
      </c>
      <c r="AM466" s="1">
        <f t="shared" si="41"/>
        <v>0</v>
      </c>
      <c r="AN466" s="1">
        <f t="shared" si="42"/>
        <v>0</v>
      </c>
      <c r="AO466" s="1">
        <f t="shared" si="43"/>
        <v>0</v>
      </c>
      <c r="AP466" t="b" cm="1">
        <f t="array" ref="AP466">INDEX($AU$8:$BB$25,6*(R466-1)+MATCH(AB466,$AS$8:$AS$13,0),MATCH(O466,$AU$7:$BB$7,0))</f>
        <v>1</v>
      </c>
    </row>
    <row r="467" spans="15:42" ht="14.25" x14ac:dyDescent="0.45">
      <c r="O467" s="43" t="s">
        <v>32</v>
      </c>
      <c r="P467" s="43">
        <v>2</v>
      </c>
      <c r="Q467" s="43">
        <v>14</v>
      </c>
      <c r="R467" s="43">
        <v>1</v>
      </c>
      <c r="S467" s="45"/>
      <c r="T467" t="b">
        <f>(S467+S468+S469)=Q3</f>
        <v>0</v>
      </c>
      <c r="X467" s="1">
        <f t="shared" si="39"/>
        <v>0</v>
      </c>
      <c r="Y467" s="48">
        <v>0</v>
      </c>
      <c r="AA467" s="1">
        <v>5</v>
      </c>
      <c r="AB467" s="1" t="s">
        <v>15</v>
      </c>
      <c r="AC467" s="1" t="s">
        <v>21</v>
      </c>
      <c r="AD467" s="1">
        <v>15</v>
      </c>
      <c r="AE467" s="1">
        <v>12</v>
      </c>
      <c r="AF467" s="1">
        <v>0.76</v>
      </c>
      <c r="AG467" s="1">
        <v>0.84</v>
      </c>
      <c r="AH467" s="1">
        <v>0</v>
      </c>
      <c r="AI467" s="1">
        <v>0</v>
      </c>
      <c r="AJ467" s="1">
        <f t="shared" si="40"/>
        <v>0</v>
      </c>
      <c r="AK467" s="1">
        <f>C48</f>
        <v>0</v>
      </c>
      <c r="AL467" s="1">
        <f>C54</f>
        <v>0</v>
      </c>
      <c r="AM467" s="1">
        <f t="shared" si="41"/>
        <v>0</v>
      </c>
      <c r="AN467" s="1">
        <f t="shared" si="42"/>
        <v>0</v>
      </c>
      <c r="AO467" s="1">
        <f t="shared" si="43"/>
        <v>0</v>
      </c>
      <c r="AP467" t="b" cm="1">
        <f t="array" ref="AP467">INDEX($AU$8:$BB$25,6*(R467-1)+MATCH(AB467,$AS$8:$AS$13,0),MATCH(O467,$AU$7:$BB$7,0))</f>
        <v>1</v>
      </c>
    </row>
    <row r="468" spans="15:42" ht="14.25" x14ac:dyDescent="0.45">
      <c r="O468" s="43" t="s">
        <v>32</v>
      </c>
      <c r="P468" s="43">
        <v>2</v>
      </c>
      <c r="Q468" s="43">
        <v>14</v>
      </c>
      <c r="R468" s="43">
        <v>2</v>
      </c>
      <c r="S468" s="45"/>
      <c r="T468" t="b">
        <f>(S467+S468+S469)=Q3</f>
        <v>0</v>
      </c>
      <c r="X468" s="1">
        <f t="shared" si="39"/>
        <v>0</v>
      </c>
      <c r="Y468" s="48">
        <v>0</v>
      </c>
      <c r="AA468" s="1">
        <v>5</v>
      </c>
      <c r="AB468" s="1" t="s">
        <v>15</v>
      </c>
      <c r="AC468" s="1" t="s">
        <v>21</v>
      </c>
      <c r="AD468" s="1">
        <v>15</v>
      </c>
      <c r="AE468" s="1">
        <v>12</v>
      </c>
      <c r="AF468" s="1">
        <v>0.76</v>
      </c>
      <c r="AG468" s="1">
        <v>0.84</v>
      </c>
      <c r="AH468" s="1">
        <v>0</v>
      </c>
      <c r="AI468" s="1">
        <v>0</v>
      </c>
      <c r="AJ468" s="1">
        <f t="shared" si="40"/>
        <v>0</v>
      </c>
      <c r="AK468" s="1">
        <f>D48</f>
        <v>0</v>
      </c>
      <c r="AL468" s="1">
        <f>D54</f>
        <v>0</v>
      </c>
      <c r="AM468" s="1">
        <f t="shared" si="41"/>
        <v>0</v>
      </c>
      <c r="AN468" s="1">
        <f t="shared" si="42"/>
        <v>0</v>
      </c>
      <c r="AO468" s="1">
        <f t="shared" si="43"/>
        <v>0</v>
      </c>
      <c r="AP468" t="b" cm="1">
        <f t="array" ref="AP468">INDEX($AU$8:$BB$25,6*(R468-1)+MATCH(AB468,$AS$8:$AS$13,0),MATCH(O468,$AU$7:$BB$7,0))</f>
        <v>1</v>
      </c>
    </row>
    <row r="469" spans="15:42" ht="14.25" x14ac:dyDescent="0.45">
      <c r="O469" s="43" t="s">
        <v>32</v>
      </c>
      <c r="P469" s="43">
        <v>2</v>
      </c>
      <c r="Q469" s="43">
        <v>14</v>
      </c>
      <c r="R469" s="43">
        <v>3</v>
      </c>
      <c r="S469" s="45"/>
      <c r="T469" t="b">
        <f>(S467+S468+S469)=Q3</f>
        <v>0</v>
      </c>
      <c r="X469" s="1">
        <f t="shared" si="39"/>
        <v>0</v>
      </c>
      <c r="Y469" s="48">
        <v>0</v>
      </c>
      <c r="AA469" s="1">
        <v>5</v>
      </c>
      <c r="AB469" s="1" t="s">
        <v>15</v>
      </c>
      <c r="AC469" s="1" t="s">
        <v>21</v>
      </c>
      <c r="AD469" s="1">
        <v>15</v>
      </c>
      <c r="AE469" s="1">
        <v>12</v>
      </c>
      <c r="AF469" s="1">
        <v>0.76</v>
      </c>
      <c r="AG469" s="1">
        <v>0.84</v>
      </c>
      <c r="AH469" s="1">
        <v>0</v>
      </c>
      <c r="AI469" s="1">
        <v>0</v>
      </c>
      <c r="AJ469" s="1">
        <f t="shared" si="40"/>
        <v>0</v>
      </c>
      <c r="AK469" s="1">
        <f>E48</f>
        <v>0</v>
      </c>
      <c r="AL469" s="1">
        <f>E54</f>
        <v>0</v>
      </c>
      <c r="AM469" s="1">
        <f t="shared" si="41"/>
        <v>0</v>
      </c>
      <c r="AN469" s="1">
        <f t="shared" si="42"/>
        <v>0</v>
      </c>
      <c r="AO469" s="1">
        <f t="shared" si="43"/>
        <v>0</v>
      </c>
      <c r="AP469" t="b" cm="1">
        <f t="array" ref="AP469">INDEX($AU$8:$BB$25,6*(R469-1)+MATCH(AB469,$AS$8:$AS$13,0),MATCH(O469,$AU$7:$BB$7,0))</f>
        <v>1</v>
      </c>
    </row>
    <row r="470" spans="15:42" ht="14.25" x14ac:dyDescent="0.45">
      <c r="O470" s="43" t="s">
        <v>32</v>
      </c>
      <c r="P470" s="43">
        <v>2</v>
      </c>
      <c r="Q470" s="43">
        <v>15</v>
      </c>
      <c r="R470" s="43">
        <v>1</v>
      </c>
      <c r="S470" s="45"/>
      <c r="T470" t="b">
        <f>(S470+S471+S472)=Q3</f>
        <v>0</v>
      </c>
      <c r="X470" s="1">
        <f t="shared" si="39"/>
        <v>0</v>
      </c>
      <c r="Y470" s="48">
        <v>0</v>
      </c>
      <c r="AA470" s="1">
        <v>7</v>
      </c>
      <c r="AB470" s="1" t="s">
        <v>15</v>
      </c>
      <c r="AC470" s="1" t="s">
        <v>21</v>
      </c>
      <c r="AD470" s="1">
        <v>13</v>
      </c>
      <c r="AE470" s="1">
        <v>10</v>
      </c>
      <c r="AF470" s="1">
        <v>0.76</v>
      </c>
      <c r="AG470" s="1">
        <v>0.84</v>
      </c>
      <c r="AH470" s="1">
        <v>0</v>
      </c>
      <c r="AI470" s="1">
        <v>0</v>
      </c>
      <c r="AJ470" s="1">
        <f t="shared" si="40"/>
        <v>0</v>
      </c>
      <c r="AK470" s="1">
        <f>C48</f>
        <v>0</v>
      </c>
      <c r="AL470" s="1">
        <f>C54</f>
        <v>0</v>
      </c>
      <c r="AM470" s="1">
        <f t="shared" si="41"/>
        <v>0</v>
      </c>
      <c r="AN470" s="1">
        <f t="shared" si="42"/>
        <v>0</v>
      </c>
      <c r="AO470" s="1">
        <f t="shared" si="43"/>
        <v>0</v>
      </c>
      <c r="AP470" t="b" cm="1">
        <f t="array" ref="AP470">INDEX($AU$8:$BB$25,6*(R470-1)+MATCH(AB470,$AS$8:$AS$13,0),MATCH(O470,$AU$7:$BB$7,0))</f>
        <v>1</v>
      </c>
    </row>
    <row r="471" spans="15:42" ht="14.25" x14ac:dyDescent="0.45">
      <c r="O471" s="43" t="s">
        <v>32</v>
      </c>
      <c r="P471" s="43">
        <v>2</v>
      </c>
      <c r="Q471" s="43">
        <v>15</v>
      </c>
      <c r="R471" s="43">
        <v>2</v>
      </c>
      <c r="S471" s="45"/>
      <c r="T471" t="b">
        <f>(S470+S471+S472)=Q3</f>
        <v>0</v>
      </c>
      <c r="X471" s="1">
        <f t="shared" si="39"/>
        <v>0</v>
      </c>
      <c r="Y471" s="48">
        <v>0</v>
      </c>
      <c r="AA471" s="1">
        <v>7</v>
      </c>
      <c r="AB471" s="1" t="s">
        <v>15</v>
      </c>
      <c r="AC471" s="1" t="s">
        <v>21</v>
      </c>
      <c r="AD471" s="1">
        <v>13</v>
      </c>
      <c r="AE471" s="1">
        <v>10</v>
      </c>
      <c r="AF471" s="1">
        <v>0.76</v>
      </c>
      <c r="AG471" s="1">
        <v>0.84</v>
      </c>
      <c r="AH471" s="1">
        <v>0</v>
      </c>
      <c r="AI471" s="1">
        <v>0</v>
      </c>
      <c r="AJ471" s="1">
        <f t="shared" si="40"/>
        <v>0</v>
      </c>
      <c r="AK471" s="1">
        <f>D48</f>
        <v>0</v>
      </c>
      <c r="AL471" s="1">
        <f>D54</f>
        <v>0</v>
      </c>
      <c r="AM471" s="1">
        <f t="shared" si="41"/>
        <v>0</v>
      </c>
      <c r="AN471" s="1">
        <f t="shared" si="42"/>
        <v>0</v>
      </c>
      <c r="AO471" s="1">
        <f t="shared" si="43"/>
        <v>0</v>
      </c>
      <c r="AP471" t="b" cm="1">
        <f t="array" ref="AP471">INDEX($AU$8:$BB$25,6*(R471-1)+MATCH(AB471,$AS$8:$AS$13,0),MATCH(O471,$AU$7:$BB$7,0))</f>
        <v>1</v>
      </c>
    </row>
    <row r="472" spans="15:42" ht="14.25" x14ac:dyDescent="0.45">
      <c r="O472" s="43" t="s">
        <v>32</v>
      </c>
      <c r="P472" s="43">
        <v>2</v>
      </c>
      <c r="Q472" s="43">
        <v>15</v>
      </c>
      <c r="R472" s="43">
        <v>3</v>
      </c>
      <c r="S472" s="45"/>
      <c r="T472" t="b">
        <f>(S470+S471+S472)=Q3</f>
        <v>0</v>
      </c>
      <c r="X472" s="1">
        <f t="shared" si="39"/>
        <v>0</v>
      </c>
      <c r="Y472" s="48">
        <v>0</v>
      </c>
      <c r="AA472" s="1">
        <v>7</v>
      </c>
      <c r="AB472" s="1" t="s">
        <v>15</v>
      </c>
      <c r="AC472" s="1" t="s">
        <v>21</v>
      </c>
      <c r="AD472" s="1">
        <v>13</v>
      </c>
      <c r="AE472" s="1">
        <v>10</v>
      </c>
      <c r="AF472" s="1">
        <v>0.76</v>
      </c>
      <c r="AG472" s="1">
        <v>0.84</v>
      </c>
      <c r="AH472" s="1">
        <v>0</v>
      </c>
      <c r="AI472" s="1">
        <v>0</v>
      </c>
      <c r="AJ472" s="1">
        <f t="shared" si="40"/>
        <v>0</v>
      </c>
      <c r="AK472" s="1">
        <f>E48</f>
        <v>0</v>
      </c>
      <c r="AL472" s="1">
        <f>E54</f>
        <v>0</v>
      </c>
      <c r="AM472" s="1">
        <f t="shared" si="41"/>
        <v>0</v>
      </c>
      <c r="AN472" s="1">
        <f t="shared" si="42"/>
        <v>0</v>
      </c>
      <c r="AO472" s="1">
        <f t="shared" si="43"/>
        <v>0</v>
      </c>
      <c r="AP472" t="b" cm="1">
        <f t="array" ref="AP472">INDEX($AU$8:$BB$25,6*(R472-1)+MATCH(AB472,$AS$8:$AS$13,0),MATCH(O472,$AU$7:$BB$7,0))</f>
        <v>1</v>
      </c>
    </row>
    <row r="473" spans="15:42" ht="14.25" x14ac:dyDescent="0.45">
      <c r="O473" s="43" t="s">
        <v>32</v>
      </c>
      <c r="P473" s="43">
        <v>3</v>
      </c>
      <c r="Q473" s="43">
        <v>1</v>
      </c>
      <c r="R473" s="43">
        <v>1</v>
      </c>
      <c r="S473" s="45"/>
      <c r="T473" t="b">
        <f>(S473+S474+S475)=Q4</f>
        <v>0</v>
      </c>
      <c r="X473" s="1">
        <v>0</v>
      </c>
      <c r="Y473" s="48">
        <v>0</v>
      </c>
      <c r="AA473" s="1">
        <v>1</v>
      </c>
      <c r="AB473" s="1" t="s">
        <v>13</v>
      </c>
      <c r="AC473" s="1" t="s">
        <v>19</v>
      </c>
      <c r="AD473" s="1">
        <v>21</v>
      </c>
      <c r="AE473" s="1">
        <v>20</v>
      </c>
      <c r="AF473" s="1">
        <v>0.8</v>
      </c>
      <c r="AG473" s="1">
        <v>0.86</v>
      </c>
      <c r="AH473" s="1">
        <v>0</v>
      </c>
      <c r="AI473" s="1">
        <v>0</v>
      </c>
      <c r="AJ473" s="1">
        <f t="shared" si="40"/>
        <v>0</v>
      </c>
      <c r="AK473" s="1">
        <f>C46</f>
        <v>0</v>
      </c>
      <c r="AL473" s="1">
        <f>C52</f>
        <v>0</v>
      </c>
      <c r="AM473" s="1">
        <f t="shared" si="41"/>
        <v>0</v>
      </c>
      <c r="AN473" s="1">
        <f t="shared" si="42"/>
        <v>0</v>
      </c>
      <c r="AO473" s="1">
        <f t="shared" si="43"/>
        <v>0</v>
      </c>
      <c r="AP473" t="b" cm="1">
        <f t="array" ref="AP473">INDEX($AU$8:$BB$25,6*(R473-1)+MATCH(AB473,$AS$8:$AS$13,0),MATCH(O473,$AU$7:$BB$7,0))</f>
        <v>1</v>
      </c>
    </row>
    <row r="474" spans="15:42" ht="14.25" x14ac:dyDescent="0.45">
      <c r="O474" s="43" t="s">
        <v>32</v>
      </c>
      <c r="P474" s="43">
        <v>3</v>
      </c>
      <c r="Q474" s="43">
        <v>1</v>
      </c>
      <c r="R474" s="43">
        <v>2</v>
      </c>
      <c r="S474" s="45"/>
      <c r="T474" t="b">
        <f>(S473+S474+S475)=Q4</f>
        <v>0</v>
      </c>
      <c r="X474" s="1">
        <v>0</v>
      </c>
      <c r="Y474" s="48">
        <v>0</v>
      </c>
      <c r="AA474" s="1">
        <v>1</v>
      </c>
      <c r="AB474" s="1" t="s">
        <v>13</v>
      </c>
      <c r="AC474" s="1" t="s">
        <v>19</v>
      </c>
      <c r="AD474" s="1">
        <v>21</v>
      </c>
      <c r="AE474" s="1">
        <v>20</v>
      </c>
      <c r="AF474" s="1">
        <v>0.8</v>
      </c>
      <c r="AG474" s="1">
        <v>0.86</v>
      </c>
      <c r="AH474" s="1">
        <v>0</v>
      </c>
      <c r="AI474" s="1">
        <v>0</v>
      </c>
      <c r="AJ474" s="1">
        <f t="shared" si="40"/>
        <v>0</v>
      </c>
      <c r="AK474" s="1">
        <f>D46</f>
        <v>0</v>
      </c>
      <c r="AL474" s="1">
        <f>D52</f>
        <v>0</v>
      </c>
      <c r="AM474" s="1">
        <f t="shared" si="41"/>
        <v>0</v>
      </c>
      <c r="AN474" s="1">
        <f t="shared" si="42"/>
        <v>0</v>
      </c>
      <c r="AO474" s="1">
        <f t="shared" si="43"/>
        <v>0</v>
      </c>
      <c r="AP474" t="b" cm="1">
        <f t="array" ref="AP474">INDEX($AU$8:$BB$25,6*(R474-1)+MATCH(AB474,$AS$8:$AS$13,0),MATCH(O474,$AU$7:$BB$7,0))</f>
        <v>1</v>
      </c>
    </row>
    <row r="475" spans="15:42" ht="14.25" x14ac:dyDescent="0.45">
      <c r="O475" s="43" t="s">
        <v>32</v>
      </c>
      <c r="P475" s="43">
        <v>3</v>
      </c>
      <c r="Q475" s="43">
        <v>1</v>
      </c>
      <c r="R475" s="43">
        <v>3</v>
      </c>
      <c r="S475" s="45"/>
      <c r="T475" t="b">
        <f>(S473+S474+S475)=Q4</f>
        <v>0</v>
      </c>
      <c r="X475" s="1">
        <v>0</v>
      </c>
      <c r="Y475" s="48">
        <v>0</v>
      </c>
      <c r="AA475" s="1">
        <v>1</v>
      </c>
      <c r="AB475" s="1" t="s">
        <v>13</v>
      </c>
      <c r="AC475" s="1" t="s">
        <v>19</v>
      </c>
      <c r="AD475" s="1">
        <v>21</v>
      </c>
      <c r="AE475" s="1">
        <v>20</v>
      </c>
      <c r="AF475" s="1">
        <v>0.8</v>
      </c>
      <c r="AG475" s="1">
        <v>0.86</v>
      </c>
      <c r="AH475" s="1">
        <v>0</v>
      </c>
      <c r="AI475" s="1">
        <v>0</v>
      </c>
      <c r="AJ475" s="1">
        <f t="shared" si="40"/>
        <v>0</v>
      </c>
      <c r="AK475" s="1">
        <f>E46</f>
        <v>0</v>
      </c>
      <c r="AL475" s="1">
        <f>E52</f>
        <v>0</v>
      </c>
      <c r="AM475" s="1">
        <f t="shared" si="41"/>
        <v>0</v>
      </c>
      <c r="AN475" s="1">
        <f t="shared" si="42"/>
        <v>0</v>
      </c>
      <c r="AO475" s="1">
        <f t="shared" si="43"/>
        <v>0</v>
      </c>
      <c r="AP475" t="b" cm="1">
        <f t="array" ref="AP475">INDEX($AU$8:$BB$25,6*(R475-1)+MATCH(AB475,$AS$8:$AS$13,0),MATCH(O475,$AU$7:$BB$7,0))</f>
        <v>1</v>
      </c>
    </row>
    <row r="476" spans="15:42" ht="14.25" x14ac:dyDescent="0.45">
      <c r="O476" s="43" t="s">
        <v>32</v>
      </c>
      <c r="P476" s="43">
        <v>3</v>
      </c>
      <c r="Q476" s="43">
        <v>2</v>
      </c>
      <c r="R476" s="43">
        <v>1</v>
      </c>
      <c r="S476" s="45"/>
      <c r="T476" t="b">
        <f>(S476+S477+S478)=Q4</f>
        <v>0</v>
      </c>
      <c r="X476" s="1">
        <f t="shared" ref="X476:X523" si="44">MAX(S473-S476,0)</f>
        <v>0</v>
      </c>
      <c r="Y476" s="48">
        <v>0</v>
      </c>
      <c r="AA476" s="1">
        <v>8</v>
      </c>
      <c r="AB476" s="1" t="s">
        <v>14</v>
      </c>
      <c r="AC476" s="1" t="s">
        <v>20</v>
      </c>
      <c r="AD476" s="1">
        <v>9</v>
      </c>
      <c r="AE476" s="1">
        <v>7</v>
      </c>
      <c r="AF476" s="1">
        <v>0.8</v>
      </c>
      <c r="AG476" s="1">
        <v>0.88</v>
      </c>
      <c r="AH476" s="1">
        <v>0</v>
      </c>
      <c r="AI476" s="1">
        <v>0</v>
      </c>
      <c r="AJ476" s="1">
        <f t="shared" si="40"/>
        <v>0</v>
      </c>
      <c r="AK476" s="1">
        <f>C47</f>
        <v>0</v>
      </c>
      <c r="AL476" s="1">
        <f>C53</f>
        <v>0</v>
      </c>
      <c r="AM476" s="1">
        <f t="shared" si="41"/>
        <v>0</v>
      </c>
      <c r="AN476" s="1">
        <f t="shared" si="42"/>
        <v>0</v>
      </c>
      <c r="AO476" s="1">
        <f t="shared" si="43"/>
        <v>0</v>
      </c>
      <c r="AP476" t="b" cm="1">
        <f t="array" ref="AP476">INDEX($AU$8:$BB$25,6*(R476-1)+MATCH(AB476,$AS$8:$AS$13,0),MATCH(O476,$AU$7:$BB$7,0))</f>
        <v>1</v>
      </c>
    </row>
    <row r="477" spans="15:42" ht="14.25" x14ac:dyDescent="0.45">
      <c r="O477" s="43" t="s">
        <v>32</v>
      </c>
      <c r="P477" s="43">
        <v>3</v>
      </c>
      <c r="Q477" s="43">
        <v>2</v>
      </c>
      <c r="R477" s="43">
        <v>2</v>
      </c>
      <c r="S477" s="45"/>
      <c r="T477" t="b">
        <f>(S476+S477+S478)=Q4</f>
        <v>0</v>
      </c>
      <c r="X477" s="1">
        <f t="shared" si="44"/>
        <v>0</v>
      </c>
      <c r="Y477" s="48">
        <v>0</v>
      </c>
      <c r="AA477" s="1">
        <v>8</v>
      </c>
      <c r="AB477" s="1" t="s">
        <v>14</v>
      </c>
      <c r="AC477" s="1" t="s">
        <v>20</v>
      </c>
      <c r="AD477" s="1">
        <v>9</v>
      </c>
      <c r="AE477" s="1">
        <v>7</v>
      </c>
      <c r="AF477" s="1">
        <v>0.8</v>
      </c>
      <c r="AG477" s="1">
        <v>0.88</v>
      </c>
      <c r="AH477" s="1">
        <v>0</v>
      </c>
      <c r="AI477" s="1">
        <v>0</v>
      </c>
      <c r="AJ477" s="1">
        <f t="shared" si="40"/>
        <v>0</v>
      </c>
      <c r="AK477" s="1">
        <f>D47</f>
        <v>0</v>
      </c>
      <c r="AL477" s="1">
        <f>D53</f>
        <v>0</v>
      </c>
      <c r="AM477" s="1">
        <f t="shared" si="41"/>
        <v>0</v>
      </c>
      <c r="AN477" s="1">
        <f t="shared" si="42"/>
        <v>0</v>
      </c>
      <c r="AO477" s="1">
        <f t="shared" si="43"/>
        <v>0</v>
      </c>
      <c r="AP477" t="b" cm="1">
        <f t="array" ref="AP477">INDEX($AU$8:$BB$25,6*(R477-1)+MATCH(AB477,$AS$8:$AS$13,0),MATCH(O477,$AU$7:$BB$7,0))</f>
        <v>1</v>
      </c>
    </row>
    <row r="478" spans="15:42" ht="14.25" x14ac:dyDescent="0.45">
      <c r="O478" s="43" t="s">
        <v>32</v>
      </c>
      <c r="P478" s="43">
        <v>3</v>
      </c>
      <c r="Q478" s="43">
        <v>2</v>
      </c>
      <c r="R478" s="43">
        <v>3</v>
      </c>
      <c r="S478" s="45"/>
      <c r="T478" t="b">
        <f>(S476+S477+S478)=Q4</f>
        <v>0</v>
      </c>
      <c r="X478" s="1">
        <f t="shared" si="44"/>
        <v>0</v>
      </c>
      <c r="Y478" s="48">
        <v>0</v>
      </c>
      <c r="AA478" s="1">
        <v>8</v>
      </c>
      <c r="AB478" s="1" t="s">
        <v>14</v>
      </c>
      <c r="AC478" s="1" t="s">
        <v>20</v>
      </c>
      <c r="AD478" s="1">
        <v>9</v>
      </c>
      <c r="AE478" s="1">
        <v>7</v>
      </c>
      <c r="AF478" s="1">
        <v>0.8</v>
      </c>
      <c r="AG478" s="1">
        <v>0.88</v>
      </c>
      <c r="AH478" s="1">
        <v>0</v>
      </c>
      <c r="AI478" s="1">
        <v>0</v>
      </c>
      <c r="AJ478" s="1">
        <f t="shared" si="40"/>
        <v>0</v>
      </c>
      <c r="AK478" s="1">
        <f>E47</f>
        <v>0</v>
      </c>
      <c r="AL478" s="1">
        <f>E53</f>
        <v>0</v>
      </c>
      <c r="AM478" s="1">
        <f t="shared" si="41"/>
        <v>0</v>
      </c>
      <c r="AN478" s="1">
        <f t="shared" si="42"/>
        <v>0</v>
      </c>
      <c r="AO478" s="1">
        <f t="shared" si="43"/>
        <v>0</v>
      </c>
      <c r="AP478" t="b" cm="1">
        <f t="array" ref="AP478">INDEX($AU$8:$BB$25,6*(R478-1)+MATCH(AB478,$AS$8:$AS$13,0),MATCH(O478,$AU$7:$BB$7,0))</f>
        <v>1</v>
      </c>
    </row>
    <row r="479" spans="15:42" ht="14.25" x14ac:dyDescent="0.45">
      <c r="O479" s="43" t="s">
        <v>32</v>
      </c>
      <c r="P479" s="43">
        <v>3</v>
      </c>
      <c r="Q479" s="43">
        <v>3</v>
      </c>
      <c r="R479" s="43">
        <v>1</v>
      </c>
      <c r="S479" s="45"/>
      <c r="T479" t="b">
        <f>(S479+S480+S481)=Q4</f>
        <v>0</v>
      </c>
      <c r="X479" s="1">
        <f t="shared" si="44"/>
        <v>0</v>
      </c>
      <c r="Y479" s="48">
        <v>0</v>
      </c>
      <c r="AA479" s="1">
        <v>1</v>
      </c>
      <c r="AB479" s="1" t="s">
        <v>15</v>
      </c>
      <c r="AC479" s="1" t="s">
        <v>21</v>
      </c>
      <c r="AD479" s="1">
        <v>24</v>
      </c>
      <c r="AE479" s="1">
        <v>23</v>
      </c>
      <c r="AF479" s="1">
        <v>0.76</v>
      </c>
      <c r="AG479" s="1">
        <v>0.84</v>
      </c>
      <c r="AH479" s="1">
        <v>0</v>
      </c>
      <c r="AI479" s="1">
        <v>0</v>
      </c>
      <c r="AJ479" s="1">
        <f t="shared" si="40"/>
        <v>0</v>
      </c>
      <c r="AK479" s="1">
        <f>C48</f>
        <v>0</v>
      </c>
      <c r="AL479" s="1">
        <f>C54</f>
        <v>0</v>
      </c>
      <c r="AM479" s="1">
        <f t="shared" si="41"/>
        <v>0</v>
      </c>
      <c r="AN479" s="1">
        <f t="shared" si="42"/>
        <v>0</v>
      </c>
      <c r="AO479" s="1">
        <f t="shared" si="43"/>
        <v>0</v>
      </c>
      <c r="AP479" t="b" cm="1">
        <f t="array" ref="AP479">INDEX($AU$8:$BB$25,6*(R479-1)+MATCH(AB479,$AS$8:$AS$13,0),MATCH(O479,$AU$7:$BB$7,0))</f>
        <v>1</v>
      </c>
    </row>
    <row r="480" spans="15:42" ht="14.25" x14ac:dyDescent="0.45">
      <c r="O480" s="43" t="s">
        <v>32</v>
      </c>
      <c r="P480" s="43">
        <v>3</v>
      </c>
      <c r="Q480" s="43">
        <v>3</v>
      </c>
      <c r="R480" s="43">
        <v>2</v>
      </c>
      <c r="S480" s="45"/>
      <c r="T480" t="b">
        <f>(S479+S480+S481)=Q4</f>
        <v>0</v>
      </c>
      <c r="X480" s="1">
        <f t="shared" si="44"/>
        <v>0</v>
      </c>
      <c r="Y480" s="48">
        <v>0</v>
      </c>
      <c r="AA480" s="1">
        <v>1</v>
      </c>
      <c r="AB480" s="1" t="s">
        <v>15</v>
      </c>
      <c r="AC480" s="1" t="s">
        <v>21</v>
      </c>
      <c r="AD480" s="1">
        <v>24</v>
      </c>
      <c r="AE480" s="1">
        <v>23</v>
      </c>
      <c r="AF480" s="1">
        <v>0.76</v>
      </c>
      <c r="AG480" s="1">
        <v>0.84</v>
      </c>
      <c r="AH480" s="1">
        <v>0</v>
      </c>
      <c r="AI480" s="1">
        <v>0</v>
      </c>
      <c r="AJ480" s="1">
        <f t="shared" si="40"/>
        <v>0</v>
      </c>
      <c r="AK480" s="1">
        <f>D48</f>
        <v>0</v>
      </c>
      <c r="AL480" s="1">
        <f>D54</f>
        <v>0</v>
      </c>
      <c r="AM480" s="1">
        <f t="shared" si="41"/>
        <v>0</v>
      </c>
      <c r="AN480" s="1">
        <f t="shared" si="42"/>
        <v>0</v>
      </c>
      <c r="AO480" s="1">
        <f t="shared" si="43"/>
        <v>0</v>
      </c>
      <c r="AP480" t="b" cm="1">
        <f t="array" ref="AP480">INDEX($AU$8:$BB$25,6*(R480-1)+MATCH(AB480,$AS$8:$AS$13,0),MATCH(O480,$AU$7:$BB$7,0))</f>
        <v>1</v>
      </c>
    </row>
    <row r="481" spans="15:42" ht="14.25" x14ac:dyDescent="0.45">
      <c r="O481" s="43" t="s">
        <v>32</v>
      </c>
      <c r="P481" s="43">
        <v>3</v>
      </c>
      <c r="Q481" s="43">
        <v>3</v>
      </c>
      <c r="R481" s="43">
        <v>3</v>
      </c>
      <c r="S481" s="45"/>
      <c r="T481" t="b">
        <f>(S479+S480+S481)=Q4</f>
        <v>0</v>
      </c>
      <c r="X481" s="1">
        <f t="shared" si="44"/>
        <v>0</v>
      </c>
      <c r="Y481" s="48">
        <v>0</v>
      </c>
      <c r="AA481" s="1">
        <v>1</v>
      </c>
      <c r="AB481" s="1" t="s">
        <v>15</v>
      </c>
      <c r="AC481" s="1" t="s">
        <v>21</v>
      </c>
      <c r="AD481" s="1">
        <v>24</v>
      </c>
      <c r="AE481" s="1">
        <v>23</v>
      </c>
      <c r="AF481" s="1">
        <v>0.76</v>
      </c>
      <c r="AG481" s="1">
        <v>0.84</v>
      </c>
      <c r="AH481" s="1">
        <v>0</v>
      </c>
      <c r="AI481" s="1">
        <v>0</v>
      </c>
      <c r="AJ481" s="1">
        <f t="shared" si="40"/>
        <v>0</v>
      </c>
      <c r="AK481" s="1">
        <f>E48</f>
        <v>0</v>
      </c>
      <c r="AL481" s="1">
        <f>E54</f>
        <v>0</v>
      </c>
      <c r="AM481" s="1">
        <f t="shared" si="41"/>
        <v>0</v>
      </c>
      <c r="AN481" s="1">
        <f t="shared" si="42"/>
        <v>0</v>
      </c>
      <c r="AO481" s="1">
        <f t="shared" si="43"/>
        <v>0</v>
      </c>
      <c r="AP481" t="b" cm="1">
        <f t="array" ref="AP481">INDEX($AU$8:$BB$25,6*(R481-1)+MATCH(AB481,$AS$8:$AS$13,0),MATCH(O481,$AU$7:$BB$7,0))</f>
        <v>1</v>
      </c>
    </row>
    <row r="482" spans="15:42" ht="14.25" x14ac:dyDescent="0.45">
      <c r="O482" s="43" t="s">
        <v>32</v>
      </c>
      <c r="P482" s="43">
        <v>3</v>
      </c>
      <c r="Q482" s="43">
        <v>4</v>
      </c>
      <c r="R482" s="43">
        <v>1</v>
      </c>
      <c r="S482" s="45"/>
      <c r="T482" t="b">
        <f>(S482+S483+S484)=Q4</f>
        <v>0</v>
      </c>
      <c r="X482" s="1">
        <f t="shared" si="44"/>
        <v>0</v>
      </c>
      <c r="Y482" s="48">
        <v>0</v>
      </c>
      <c r="AA482" s="1">
        <v>9</v>
      </c>
      <c r="AB482" s="1" t="s">
        <v>15</v>
      </c>
      <c r="AC482" s="1" t="s">
        <v>21</v>
      </c>
      <c r="AD482" s="1">
        <v>15</v>
      </c>
      <c r="AE482" s="1">
        <v>11</v>
      </c>
      <c r="AF482" s="1">
        <v>0.76</v>
      </c>
      <c r="AG482" s="1">
        <v>0.84</v>
      </c>
      <c r="AH482" s="1">
        <v>0</v>
      </c>
      <c r="AI482" s="1">
        <v>0</v>
      </c>
      <c r="AJ482" s="1">
        <f t="shared" si="40"/>
        <v>0</v>
      </c>
      <c r="AK482" s="1">
        <f>C48</f>
        <v>0</v>
      </c>
      <c r="AL482" s="1">
        <f>C54</f>
        <v>0</v>
      </c>
      <c r="AM482" s="1">
        <f t="shared" si="41"/>
        <v>0</v>
      </c>
      <c r="AN482" s="1">
        <f t="shared" si="42"/>
        <v>0</v>
      </c>
      <c r="AO482" s="1">
        <f t="shared" si="43"/>
        <v>0</v>
      </c>
      <c r="AP482" t="b" cm="1">
        <f t="array" ref="AP482">INDEX($AU$8:$BB$25,6*(R482-1)+MATCH(AB482,$AS$8:$AS$13,0),MATCH(O482,$AU$7:$BB$7,0))</f>
        <v>1</v>
      </c>
    </row>
    <row r="483" spans="15:42" ht="14.25" x14ac:dyDescent="0.45">
      <c r="O483" s="43" t="s">
        <v>32</v>
      </c>
      <c r="P483" s="43">
        <v>3</v>
      </c>
      <c r="Q483" s="43">
        <v>4</v>
      </c>
      <c r="R483" s="43">
        <v>2</v>
      </c>
      <c r="S483" s="45"/>
      <c r="T483" t="b">
        <f>(S482+S483+S484)=Q4</f>
        <v>0</v>
      </c>
      <c r="X483" s="1">
        <f t="shared" si="44"/>
        <v>0</v>
      </c>
      <c r="Y483" s="48">
        <v>0</v>
      </c>
      <c r="AA483" s="1">
        <v>9</v>
      </c>
      <c r="AB483" s="1" t="s">
        <v>15</v>
      </c>
      <c r="AC483" s="1" t="s">
        <v>21</v>
      </c>
      <c r="AD483" s="1">
        <v>15</v>
      </c>
      <c r="AE483" s="1">
        <v>11</v>
      </c>
      <c r="AF483" s="1">
        <v>0.76</v>
      </c>
      <c r="AG483" s="1">
        <v>0.84</v>
      </c>
      <c r="AH483" s="1">
        <v>0</v>
      </c>
      <c r="AI483" s="1">
        <v>0</v>
      </c>
      <c r="AJ483" s="1">
        <f t="shared" si="40"/>
        <v>0</v>
      </c>
      <c r="AK483" s="1">
        <f>D48</f>
        <v>0</v>
      </c>
      <c r="AL483" s="1">
        <f>D54</f>
        <v>0</v>
      </c>
      <c r="AM483" s="1">
        <f t="shared" si="41"/>
        <v>0</v>
      </c>
      <c r="AN483" s="1">
        <f t="shared" si="42"/>
        <v>0</v>
      </c>
      <c r="AO483" s="1">
        <f t="shared" si="43"/>
        <v>0</v>
      </c>
      <c r="AP483" t="b" cm="1">
        <f t="array" ref="AP483">INDEX($AU$8:$BB$25,6*(R483-1)+MATCH(AB483,$AS$8:$AS$13,0),MATCH(O483,$AU$7:$BB$7,0))</f>
        <v>1</v>
      </c>
    </row>
    <row r="484" spans="15:42" ht="14.25" x14ac:dyDescent="0.45">
      <c r="O484" s="43" t="s">
        <v>32</v>
      </c>
      <c r="P484" s="43">
        <v>3</v>
      </c>
      <c r="Q484" s="43">
        <v>4</v>
      </c>
      <c r="R484" s="43">
        <v>3</v>
      </c>
      <c r="S484" s="45"/>
      <c r="T484" t="b">
        <f>(S482+S483+S484)=Q4</f>
        <v>0</v>
      </c>
      <c r="X484" s="1">
        <f t="shared" si="44"/>
        <v>0</v>
      </c>
      <c r="Y484" s="48">
        <v>0</v>
      </c>
      <c r="AA484" s="1">
        <v>9</v>
      </c>
      <c r="AB484" s="1" t="s">
        <v>15</v>
      </c>
      <c r="AC484" s="1" t="s">
        <v>21</v>
      </c>
      <c r="AD484" s="1">
        <v>15</v>
      </c>
      <c r="AE484" s="1">
        <v>11</v>
      </c>
      <c r="AF484" s="1">
        <v>0.76</v>
      </c>
      <c r="AG484" s="1">
        <v>0.84</v>
      </c>
      <c r="AH484" s="1">
        <v>0</v>
      </c>
      <c r="AI484" s="1">
        <v>0</v>
      </c>
      <c r="AJ484" s="1">
        <f t="shared" si="40"/>
        <v>0</v>
      </c>
      <c r="AK484" s="1">
        <f>E48</f>
        <v>0</v>
      </c>
      <c r="AL484" s="1">
        <f>E54</f>
        <v>0</v>
      </c>
      <c r="AM484" s="1">
        <f t="shared" si="41"/>
        <v>0</v>
      </c>
      <c r="AN484" s="1">
        <f t="shared" si="42"/>
        <v>0</v>
      </c>
      <c r="AO484" s="1">
        <f t="shared" si="43"/>
        <v>0</v>
      </c>
      <c r="AP484" t="b" cm="1">
        <f t="array" ref="AP484">INDEX($AU$8:$BB$25,6*(R484-1)+MATCH(AB484,$AS$8:$AS$13,0),MATCH(O484,$AU$7:$BB$7,0))</f>
        <v>1</v>
      </c>
    </row>
    <row r="485" spans="15:42" ht="14.25" x14ac:dyDescent="0.45">
      <c r="O485" s="43" t="s">
        <v>32</v>
      </c>
      <c r="P485" s="43">
        <v>3</v>
      </c>
      <c r="Q485" s="43">
        <v>5</v>
      </c>
      <c r="R485" s="43">
        <v>1</v>
      </c>
      <c r="S485" s="45"/>
      <c r="T485" t="b">
        <f>(S485+S486+S487)=Q4</f>
        <v>0</v>
      </c>
      <c r="X485" s="1">
        <f t="shared" si="44"/>
        <v>0</v>
      </c>
      <c r="Y485" s="48">
        <v>0</v>
      </c>
      <c r="AA485" s="1">
        <v>6</v>
      </c>
      <c r="AB485" s="1" t="s">
        <v>16</v>
      </c>
      <c r="AC485" s="1" t="s">
        <v>22</v>
      </c>
      <c r="AD485" s="1">
        <v>16</v>
      </c>
      <c r="AE485" s="1">
        <v>14</v>
      </c>
      <c r="AF485" s="1">
        <v>0.8</v>
      </c>
      <c r="AG485" s="1">
        <v>0.9</v>
      </c>
      <c r="AH485" s="1">
        <v>0</v>
      </c>
      <c r="AI485" s="1">
        <v>0</v>
      </c>
      <c r="AJ485" s="1">
        <f t="shared" si="40"/>
        <v>0</v>
      </c>
      <c r="AK485" s="1">
        <f>C49</f>
        <v>0</v>
      </c>
      <c r="AL485" s="1">
        <f>C55</f>
        <v>0</v>
      </c>
      <c r="AM485" s="1">
        <f t="shared" si="41"/>
        <v>0</v>
      </c>
      <c r="AN485" s="1">
        <f t="shared" si="42"/>
        <v>0</v>
      </c>
      <c r="AO485" s="1">
        <f t="shared" si="43"/>
        <v>0</v>
      </c>
      <c r="AP485" t="b" cm="1">
        <f t="array" ref="AP485">INDEX($AU$8:$BB$25,6*(R485-1)+MATCH(AB485,$AS$8:$AS$13,0),MATCH(O485,$AU$7:$BB$7,0))</f>
        <v>1</v>
      </c>
    </row>
    <row r="486" spans="15:42" ht="14.25" x14ac:dyDescent="0.45">
      <c r="O486" s="43" t="s">
        <v>32</v>
      </c>
      <c r="P486" s="43">
        <v>3</v>
      </c>
      <c r="Q486" s="43">
        <v>5</v>
      </c>
      <c r="R486" s="43">
        <v>2</v>
      </c>
      <c r="S486" s="45"/>
      <c r="T486" t="b">
        <f>(S485+S486+S487)=Q4</f>
        <v>0</v>
      </c>
      <c r="X486" s="1">
        <f t="shared" si="44"/>
        <v>0</v>
      </c>
      <c r="Y486" s="48">
        <v>0</v>
      </c>
      <c r="AA486" s="1">
        <v>6</v>
      </c>
      <c r="AB486" s="1" t="s">
        <v>16</v>
      </c>
      <c r="AC486" s="1" t="s">
        <v>22</v>
      </c>
      <c r="AD486" s="1">
        <v>16</v>
      </c>
      <c r="AE486" s="1">
        <v>14</v>
      </c>
      <c r="AF486" s="1">
        <v>0.8</v>
      </c>
      <c r="AG486" s="1">
        <v>0.9</v>
      </c>
      <c r="AH486" s="1">
        <v>0</v>
      </c>
      <c r="AI486" s="1">
        <v>0</v>
      </c>
      <c r="AJ486" s="1">
        <f t="shared" si="40"/>
        <v>0</v>
      </c>
      <c r="AK486" s="1">
        <f>D49</f>
        <v>0</v>
      </c>
      <c r="AL486" s="1">
        <f>D55</f>
        <v>0</v>
      </c>
      <c r="AM486" s="1">
        <f t="shared" si="41"/>
        <v>0</v>
      </c>
      <c r="AN486" s="1">
        <f t="shared" si="42"/>
        <v>0</v>
      </c>
      <c r="AO486" s="1">
        <f t="shared" si="43"/>
        <v>0</v>
      </c>
      <c r="AP486" t="b" cm="1">
        <f t="array" ref="AP486">INDEX($AU$8:$BB$25,6*(R486-1)+MATCH(AB486,$AS$8:$AS$13,0),MATCH(O486,$AU$7:$BB$7,0))</f>
        <v>1</v>
      </c>
    </row>
    <row r="487" spans="15:42" ht="14.25" x14ac:dyDescent="0.45">
      <c r="O487" s="43" t="s">
        <v>32</v>
      </c>
      <c r="P487" s="43">
        <v>3</v>
      </c>
      <c r="Q487" s="43">
        <v>5</v>
      </c>
      <c r="R487" s="43">
        <v>3</v>
      </c>
      <c r="S487" s="45"/>
      <c r="T487" t="b">
        <f>(S485+S486+S487)=Q4</f>
        <v>0</v>
      </c>
      <c r="X487" s="1">
        <f t="shared" si="44"/>
        <v>0</v>
      </c>
      <c r="Y487" s="48">
        <v>0</v>
      </c>
      <c r="AA487" s="1">
        <v>6</v>
      </c>
      <c r="AB487" s="1" t="s">
        <v>16</v>
      </c>
      <c r="AC487" s="1" t="s">
        <v>22</v>
      </c>
      <c r="AD487" s="1">
        <v>16</v>
      </c>
      <c r="AE487" s="1">
        <v>14</v>
      </c>
      <c r="AF487" s="1">
        <v>0.8</v>
      </c>
      <c r="AG487" s="1">
        <v>0.9</v>
      </c>
      <c r="AH487" s="1">
        <v>0</v>
      </c>
      <c r="AI487" s="1">
        <v>0</v>
      </c>
      <c r="AJ487" s="1">
        <f t="shared" si="40"/>
        <v>0</v>
      </c>
      <c r="AK487" s="1">
        <f>E49</f>
        <v>0</v>
      </c>
      <c r="AL487" s="1">
        <f>E55</f>
        <v>0</v>
      </c>
      <c r="AM487" s="1">
        <f t="shared" si="41"/>
        <v>0</v>
      </c>
      <c r="AN487" s="1">
        <f t="shared" si="42"/>
        <v>0</v>
      </c>
      <c r="AO487" s="1">
        <f t="shared" si="43"/>
        <v>0</v>
      </c>
      <c r="AP487" t="b" cm="1">
        <f t="array" ref="AP487">INDEX($AU$8:$BB$25,6*(R487-1)+MATCH(AB487,$AS$8:$AS$13,0),MATCH(O487,$AU$7:$BB$7,0))</f>
        <v>1</v>
      </c>
    </row>
    <row r="488" spans="15:42" ht="14.25" x14ac:dyDescent="0.45">
      <c r="O488" s="43" t="s">
        <v>32</v>
      </c>
      <c r="P488" s="43">
        <v>3</v>
      </c>
      <c r="Q488" s="43">
        <v>6</v>
      </c>
      <c r="R488" s="43">
        <v>1</v>
      </c>
      <c r="S488" s="45"/>
      <c r="T488" t="b">
        <f>(S488+S489+S490)=Q4</f>
        <v>0</v>
      </c>
      <c r="X488" s="1">
        <f t="shared" si="44"/>
        <v>0</v>
      </c>
      <c r="Y488" s="48">
        <v>0</v>
      </c>
      <c r="AA488" s="1">
        <v>1</v>
      </c>
      <c r="AB488" s="1" t="s">
        <v>14</v>
      </c>
      <c r="AC488" s="1" t="s">
        <v>20</v>
      </c>
      <c r="AD488" s="1">
        <v>12</v>
      </c>
      <c r="AE488" s="1">
        <v>11</v>
      </c>
      <c r="AF488" s="1">
        <v>0.8</v>
      </c>
      <c r="AG488" s="1">
        <v>0.88</v>
      </c>
      <c r="AH488" s="1">
        <v>0</v>
      </c>
      <c r="AI488" s="1">
        <v>0</v>
      </c>
      <c r="AJ488" s="1">
        <f t="shared" si="40"/>
        <v>0</v>
      </c>
      <c r="AK488" s="1">
        <f>C47</f>
        <v>0</v>
      </c>
      <c r="AL488" s="1">
        <f>C53</f>
        <v>0</v>
      </c>
      <c r="AM488" s="1">
        <f t="shared" si="41"/>
        <v>0</v>
      </c>
      <c r="AN488" s="1">
        <f t="shared" si="42"/>
        <v>0</v>
      </c>
      <c r="AO488" s="1">
        <f t="shared" si="43"/>
        <v>0</v>
      </c>
      <c r="AP488" t="b" cm="1">
        <f t="array" ref="AP488">INDEX($AU$8:$BB$25,6*(R488-1)+MATCH(AB488,$AS$8:$AS$13,0),MATCH(O488,$AU$7:$BB$7,0))</f>
        <v>1</v>
      </c>
    </row>
    <row r="489" spans="15:42" ht="14.25" x14ac:dyDescent="0.45">
      <c r="O489" s="43" t="s">
        <v>32</v>
      </c>
      <c r="P489" s="43">
        <v>3</v>
      </c>
      <c r="Q489" s="43">
        <v>6</v>
      </c>
      <c r="R489" s="43">
        <v>2</v>
      </c>
      <c r="S489" s="45"/>
      <c r="T489" t="b">
        <f>(S488+S489+S490)=Q4</f>
        <v>0</v>
      </c>
      <c r="X489" s="1">
        <f t="shared" si="44"/>
        <v>0</v>
      </c>
      <c r="Y489" s="48">
        <v>0</v>
      </c>
      <c r="AA489" s="1">
        <v>1</v>
      </c>
      <c r="AB489" s="1" t="s">
        <v>14</v>
      </c>
      <c r="AC489" s="1" t="s">
        <v>20</v>
      </c>
      <c r="AD489" s="1">
        <v>12</v>
      </c>
      <c r="AE489" s="1">
        <v>11</v>
      </c>
      <c r="AF489" s="1">
        <v>0.8</v>
      </c>
      <c r="AG489" s="1">
        <v>0.88</v>
      </c>
      <c r="AH489" s="1">
        <v>0</v>
      </c>
      <c r="AI489" s="1">
        <v>0</v>
      </c>
      <c r="AJ489" s="1">
        <f t="shared" si="40"/>
        <v>0</v>
      </c>
      <c r="AK489" s="1">
        <f>D47</f>
        <v>0</v>
      </c>
      <c r="AL489" s="1">
        <f>D53</f>
        <v>0</v>
      </c>
      <c r="AM489" s="1">
        <f t="shared" si="41"/>
        <v>0</v>
      </c>
      <c r="AN489" s="1">
        <f t="shared" si="42"/>
        <v>0</v>
      </c>
      <c r="AO489" s="1">
        <f t="shared" si="43"/>
        <v>0</v>
      </c>
      <c r="AP489" t="b" cm="1">
        <f t="array" ref="AP489">INDEX($AU$8:$BB$25,6*(R489-1)+MATCH(AB489,$AS$8:$AS$13,0),MATCH(O489,$AU$7:$BB$7,0))</f>
        <v>1</v>
      </c>
    </row>
    <row r="490" spans="15:42" ht="14.25" x14ac:dyDescent="0.45">
      <c r="O490" s="43" t="s">
        <v>32</v>
      </c>
      <c r="P490" s="43">
        <v>3</v>
      </c>
      <c r="Q490" s="43">
        <v>6</v>
      </c>
      <c r="R490" s="43">
        <v>3</v>
      </c>
      <c r="S490" s="45"/>
      <c r="T490" t="b">
        <f>(S488+S489+S490)=Q4</f>
        <v>0</v>
      </c>
      <c r="X490" s="1">
        <f t="shared" si="44"/>
        <v>0</v>
      </c>
      <c r="Y490" s="48">
        <v>0</v>
      </c>
      <c r="AA490" s="1">
        <v>1</v>
      </c>
      <c r="AB490" s="1" t="s">
        <v>14</v>
      </c>
      <c r="AC490" s="1" t="s">
        <v>20</v>
      </c>
      <c r="AD490" s="1">
        <v>12</v>
      </c>
      <c r="AE490" s="1">
        <v>11</v>
      </c>
      <c r="AF490" s="1">
        <v>0.8</v>
      </c>
      <c r="AG490" s="1">
        <v>0.88</v>
      </c>
      <c r="AH490" s="1">
        <v>0</v>
      </c>
      <c r="AI490" s="1">
        <v>0</v>
      </c>
      <c r="AJ490" s="1">
        <f t="shared" si="40"/>
        <v>0</v>
      </c>
      <c r="AK490" s="1">
        <f>E47</f>
        <v>0</v>
      </c>
      <c r="AL490" s="1">
        <f>E53</f>
        <v>0</v>
      </c>
      <c r="AM490" s="1">
        <f t="shared" si="41"/>
        <v>0</v>
      </c>
      <c r="AN490" s="1">
        <f t="shared" si="42"/>
        <v>0</v>
      </c>
      <c r="AO490" s="1">
        <f t="shared" si="43"/>
        <v>0</v>
      </c>
      <c r="AP490" t="b" cm="1">
        <f t="array" ref="AP490">INDEX($AU$8:$BB$25,6*(R490-1)+MATCH(AB490,$AS$8:$AS$13,0),MATCH(O490,$AU$7:$BB$7,0))</f>
        <v>1</v>
      </c>
    </row>
    <row r="491" spans="15:42" ht="14.25" x14ac:dyDescent="0.45">
      <c r="O491" s="43" t="s">
        <v>32</v>
      </c>
      <c r="P491" s="43">
        <v>3</v>
      </c>
      <c r="Q491" s="43">
        <v>7</v>
      </c>
      <c r="R491" s="43">
        <v>1</v>
      </c>
      <c r="S491" s="45"/>
      <c r="T491" t="b">
        <f>(S491+S492+S493)=Q4</f>
        <v>0</v>
      </c>
      <c r="X491" s="1">
        <f t="shared" si="44"/>
        <v>0</v>
      </c>
      <c r="Y491" s="48">
        <v>0</v>
      </c>
      <c r="AA491" s="1">
        <v>3</v>
      </c>
      <c r="AB491" s="1" t="s">
        <v>13</v>
      </c>
      <c r="AC491" s="1" t="s">
        <v>19</v>
      </c>
      <c r="AD491" s="1">
        <v>24</v>
      </c>
      <c r="AE491" s="1">
        <v>21</v>
      </c>
      <c r="AF491" s="1">
        <v>0.8</v>
      </c>
      <c r="AG491" s="1">
        <v>0.86</v>
      </c>
      <c r="AH491" s="1">
        <v>0</v>
      </c>
      <c r="AI491" s="1">
        <v>0</v>
      </c>
      <c r="AJ491" s="1">
        <f t="shared" si="40"/>
        <v>0</v>
      </c>
      <c r="AK491" s="1">
        <f>C46</f>
        <v>0</v>
      </c>
      <c r="AL491" s="1">
        <f>C52</f>
        <v>0</v>
      </c>
      <c r="AM491" s="1">
        <f t="shared" si="41"/>
        <v>0</v>
      </c>
      <c r="AN491" s="1">
        <f t="shared" si="42"/>
        <v>0</v>
      </c>
      <c r="AO491" s="1">
        <f t="shared" si="43"/>
        <v>0</v>
      </c>
      <c r="AP491" t="b" cm="1">
        <f t="array" ref="AP491">INDEX($AU$8:$BB$25,6*(R491-1)+MATCH(AB491,$AS$8:$AS$13,0),MATCH(O491,$AU$7:$BB$7,0))</f>
        <v>1</v>
      </c>
    </row>
    <row r="492" spans="15:42" ht="14.25" x14ac:dyDescent="0.45">
      <c r="O492" s="43" t="s">
        <v>32</v>
      </c>
      <c r="P492" s="43">
        <v>3</v>
      </c>
      <c r="Q492" s="43">
        <v>7</v>
      </c>
      <c r="R492" s="43">
        <v>2</v>
      </c>
      <c r="S492" s="45"/>
      <c r="T492" t="b">
        <f>(S491+S492+S493)=Q4</f>
        <v>0</v>
      </c>
      <c r="X492" s="1">
        <f t="shared" si="44"/>
        <v>0</v>
      </c>
      <c r="Y492" s="48">
        <v>0</v>
      </c>
      <c r="AA492" s="1">
        <v>3</v>
      </c>
      <c r="AB492" s="1" t="s">
        <v>13</v>
      </c>
      <c r="AC492" s="1" t="s">
        <v>19</v>
      </c>
      <c r="AD492" s="1">
        <v>24</v>
      </c>
      <c r="AE492" s="1">
        <v>21</v>
      </c>
      <c r="AF492" s="1">
        <v>0.8</v>
      </c>
      <c r="AG492" s="1">
        <v>0.86</v>
      </c>
      <c r="AH492" s="1">
        <v>0</v>
      </c>
      <c r="AI492" s="1">
        <v>0</v>
      </c>
      <c r="AJ492" s="1">
        <f t="shared" si="40"/>
        <v>0</v>
      </c>
      <c r="AK492" s="1">
        <f>D46</f>
        <v>0</v>
      </c>
      <c r="AL492" s="1">
        <f>D52</f>
        <v>0</v>
      </c>
      <c r="AM492" s="1">
        <f t="shared" si="41"/>
        <v>0</v>
      </c>
      <c r="AN492" s="1">
        <f t="shared" si="42"/>
        <v>0</v>
      </c>
      <c r="AO492" s="1">
        <f t="shared" si="43"/>
        <v>0</v>
      </c>
      <c r="AP492" t="b" cm="1">
        <f t="array" ref="AP492">INDEX($AU$8:$BB$25,6*(R492-1)+MATCH(AB492,$AS$8:$AS$13,0),MATCH(O492,$AU$7:$BB$7,0))</f>
        <v>1</v>
      </c>
    </row>
    <row r="493" spans="15:42" ht="14.25" x14ac:dyDescent="0.45">
      <c r="O493" s="43" t="s">
        <v>32</v>
      </c>
      <c r="P493" s="43">
        <v>3</v>
      </c>
      <c r="Q493" s="43">
        <v>7</v>
      </c>
      <c r="R493" s="43">
        <v>3</v>
      </c>
      <c r="S493" s="45"/>
      <c r="T493" t="b">
        <f>(S491+S492+S493)=Q4</f>
        <v>0</v>
      </c>
      <c r="X493" s="1">
        <f t="shared" si="44"/>
        <v>0</v>
      </c>
      <c r="Y493" s="48">
        <v>0</v>
      </c>
      <c r="AA493" s="1">
        <v>3</v>
      </c>
      <c r="AB493" s="1" t="s">
        <v>13</v>
      </c>
      <c r="AC493" s="1" t="s">
        <v>19</v>
      </c>
      <c r="AD493" s="1">
        <v>24</v>
      </c>
      <c r="AE493" s="1">
        <v>21</v>
      </c>
      <c r="AF493" s="1">
        <v>0.8</v>
      </c>
      <c r="AG493" s="1">
        <v>0.86</v>
      </c>
      <c r="AH493" s="1">
        <v>0</v>
      </c>
      <c r="AI493" s="1">
        <v>0</v>
      </c>
      <c r="AJ493" s="1">
        <f t="shared" si="40"/>
        <v>0</v>
      </c>
      <c r="AK493" s="1">
        <f>E46</f>
        <v>0</v>
      </c>
      <c r="AL493" s="1">
        <f>E52</f>
        <v>0</v>
      </c>
      <c r="AM493" s="1">
        <f t="shared" si="41"/>
        <v>0</v>
      </c>
      <c r="AN493" s="1">
        <f t="shared" si="42"/>
        <v>0</v>
      </c>
      <c r="AO493" s="1">
        <f t="shared" si="43"/>
        <v>0</v>
      </c>
      <c r="AP493" t="b" cm="1">
        <f t="array" ref="AP493">INDEX($AU$8:$BB$25,6*(R493-1)+MATCH(AB493,$AS$8:$AS$13,0),MATCH(O493,$AU$7:$BB$7,0))</f>
        <v>1</v>
      </c>
    </row>
    <row r="494" spans="15:42" ht="14.25" x14ac:dyDescent="0.45">
      <c r="O494" s="43" t="s">
        <v>32</v>
      </c>
      <c r="P494" s="43">
        <v>3</v>
      </c>
      <c r="Q494" s="43">
        <v>8</v>
      </c>
      <c r="R494" s="43">
        <v>1</v>
      </c>
      <c r="S494" s="45"/>
      <c r="T494" t="b">
        <f>(S494+S495+S496)=Q4</f>
        <v>0</v>
      </c>
      <c r="X494" s="1">
        <f t="shared" si="44"/>
        <v>0</v>
      </c>
      <c r="Y494" s="48">
        <v>0</v>
      </c>
      <c r="AA494" s="1">
        <v>5</v>
      </c>
      <c r="AB494" s="1" t="s">
        <v>13</v>
      </c>
      <c r="AC494" s="1" t="s">
        <v>19</v>
      </c>
      <c r="AD494" s="1">
        <v>19</v>
      </c>
      <c r="AE494" s="1">
        <v>13</v>
      </c>
      <c r="AF494" s="1">
        <v>0.8</v>
      </c>
      <c r="AG494" s="1">
        <v>0.86</v>
      </c>
      <c r="AH494" s="1">
        <v>0</v>
      </c>
      <c r="AI494" s="1">
        <v>0</v>
      </c>
      <c r="AJ494" s="1">
        <f t="shared" si="40"/>
        <v>0</v>
      </c>
      <c r="AK494" s="1">
        <f>C46</f>
        <v>0</v>
      </c>
      <c r="AL494" s="1">
        <f>C52</f>
        <v>0</v>
      </c>
      <c r="AM494" s="1">
        <f t="shared" si="41"/>
        <v>0</v>
      </c>
      <c r="AN494" s="1">
        <f t="shared" si="42"/>
        <v>0</v>
      </c>
      <c r="AO494" s="1">
        <f t="shared" si="43"/>
        <v>0</v>
      </c>
      <c r="AP494" t="b" cm="1">
        <f t="array" ref="AP494">INDEX($AU$8:$BB$25,6*(R494-1)+MATCH(AB494,$AS$8:$AS$13,0),MATCH(O494,$AU$7:$BB$7,0))</f>
        <v>1</v>
      </c>
    </row>
    <row r="495" spans="15:42" ht="14.25" x14ac:dyDescent="0.45">
      <c r="O495" s="43" t="s">
        <v>32</v>
      </c>
      <c r="P495" s="43">
        <v>3</v>
      </c>
      <c r="Q495" s="43">
        <v>8</v>
      </c>
      <c r="R495" s="43">
        <v>2</v>
      </c>
      <c r="S495" s="45"/>
      <c r="T495" t="b">
        <f>(S494+S495+S496)=Q4</f>
        <v>0</v>
      </c>
      <c r="X495" s="1">
        <f t="shared" si="44"/>
        <v>0</v>
      </c>
      <c r="Y495" s="48">
        <v>0</v>
      </c>
      <c r="AA495" s="1">
        <v>5</v>
      </c>
      <c r="AB495" s="1" t="s">
        <v>13</v>
      </c>
      <c r="AC495" s="1" t="s">
        <v>19</v>
      </c>
      <c r="AD495" s="1">
        <v>19</v>
      </c>
      <c r="AE495" s="1">
        <v>13</v>
      </c>
      <c r="AF495" s="1">
        <v>0.8</v>
      </c>
      <c r="AG495" s="1">
        <v>0.86</v>
      </c>
      <c r="AH495" s="1">
        <v>0</v>
      </c>
      <c r="AI495" s="1">
        <v>0</v>
      </c>
      <c r="AJ495" s="1">
        <f t="shared" si="40"/>
        <v>0</v>
      </c>
      <c r="AK495" s="1">
        <f>D46</f>
        <v>0</v>
      </c>
      <c r="AL495" s="1">
        <f>D52</f>
        <v>0</v>
      </c>
      <c r="AM495" s="1">
        <f t="shared" si="41"/>
        <v>0</v>
      </c>
      <c r="AN495" s="1">
        <f t="shared" si="42"/>
        <v>0</v>
      </c>
      <c r="AO495" s="1">
        <f t="shared" si="43"/>
        <v>0</v>
      </c>
      <c r="AP495" t="b" cm="1">
        <f t="array" ref="AP495">INDEX($AU$8:$BB$25,6*(R495-1)+MATCH(AB495,$AS$8:$AS$13,0),MATCH(O495,$AU$7:$BB$7,0))</f>
        <v>1</v>
      </c>
    </row>
    <row r="496" spans="15:42" ht="14.25" x14ac:dyDescent="0.45">
      <c r="O496" s="43" t="s">
        <v>32</v>
      </c>
      <c r="P496" s="43">
        <v>3</v>
      </c>
      <c r="Q496" s="43">
        <v>8</v>
      </c>
      <c r="R496" s="43">
        <v>3</v>
      </c>
      <c r="S496" s="45"/>
      <c r="T496" t="b">
        <f>(S494+S495+S496)=Q4</f>
        <v>0</v>
      </c>
      <c r="X496" s="1">
        <f t="shared" si="44"/>
        <v>0</v>
      </c>
      <c r="Y496" s="48">
        <v>0</v>
      </c>
      <c r="AA496" s="1">
        <v>5</v>
      </c>
      <c r="AB496" s="1" t="s">
        <v>13</v>
      </c>
      <c r="AC496" s="1" t="s">
        <v>19</v>
      </c>
      <c r="AD496" s="1">
        <v>19</v>
      </c>
      <c r="AE496" s="1">
        <v>13</v>
      </c>
      <c r="AF496" s="1">
        <v>0.8</v>
      </c>
      <c r="AG496" s="1">
        <v>0.86</v>
      </c>
      <c r="AH496" s="1">
        <v>0</v>
      </c>
      <c r="AI496" s="1">
        <v>0</v>
      </c>
      <c r="AJ496" s="1">
        <f t="shared" si="40"/>
        <v>0</v>
      </c>
      <c r="AK496" s="1">
        <f>E46</f>
        <v>0</v>
      </c>
      <c r="AL496" s="1">
        <f>E52</f>
        <v>0</v>
      </c>
      <c r="AM496" s="1">
        <f t="shared" si="41"/>
        <v>0</v>
      </c>
      <c r="AN496" s="1">
        <f t="shared" si="42"/>
        <v>0</v>
      </c>
      <c r="AO496" s="1">
        <f t="shared" si="43"/>
        <v>0</v>
      </c>
      <c r="AP496" t="b" cm="1">
        <f t="array" ref="AP496">INDEX($AU$8:$BB$25,6*(R496-1)+MATCH(AB496,$AS$8:$AS$13,0),MATCH(O496,$AU$7:$BB$7,0))</f>
        <v>1</v>
      </c>
    </row>
    <row r="497" spans="15:42" ht="14.25" x14ac:dyDescent="0.45">
      <c r="O497" s="43" t="s">
        <v>32</v>
      </c>
      <c r="P497" s="43">
        <v>3</v>
      </c>
      <c r="Q497" s="43">
        <v>9</v>
      </c>
      <c r="R497" s="43">
        <v>1</v>
      </c>
      <c r="S497" s="45"/>
      <c r="T497" t="b">
        <f>(S497+S498+S499)=Q4</f>
        <v>0</v>
      </c>
      <c r="X497" s="1">
        <f t="shared" si="44"/>
        <v>0</v>
      </c>
      <c r="Y497" s="48">
        <v>0</v>
      </c>
      <c r="AA497" s="1">
        <v>3</v>
      </c>
      <c r="AB497" s="1" t="s">
        <v>14</v>
      </c>
      <c r="AC497" s="1" t="s">
        <v>20</v>
      </c>
      <c r="AD497" s="1">
        <v>15</v>
      </c>
      <c r="AE497" s="1">
        <v>13</v>
      </c>
      <c r="AF497" s="1">
        <v>0.8</v>
      </c>
      <c r="AG497" s="1">
        <v>0.88</v>
      </c>
      <c r="AH497" s="1">
        <v>0</v>
      </c>
      <c r="AI497" s="1">
        <v>0</v>
      </c>
      <c r="AJ497" s="1">
        <f t="shared" si="40"/>
        <v>0</v>
      </c>
      <c r="AK497" s="1">
        <f>C47</f>
        <v>0</v>
      </c>
      <c r="AL497" s="1">
        <f>C53</f>
        <v>0</v>
      </c>
      <c r="AM497" s="1">
        <f t="shared" si="41"/>
        <v>0</v>
      </c>
      <c r="AN497" s="1">
        <f t="shared" si="42"/>
        <v>0</v>
      </c>
      <c r="AO497" s="1">
        <f t="shared" si="43"/>
        <v>0</v>
      </c>
      <c r="AP497" t="b" cm="1">
        <f t="array" ref="AP497">INDEX($AU$8:$BB$25,6*(R497-1)+MATCH(AB497,$AS$8:$AS$13,0),MATCH(O497,$AU$7:$BB$7,0))</f>
        <v>1</v>
      </c>
    </row>
    <row r="498" spans="15:42" ht="14.25" x14ac:dyDescent="0.45">
      <c r="O498" s="43" t="s">
        <v>32</v>
      </c>
      <c r="P498" s="43">
        <v>3</v>
      </c>
      <c r="Q498" s="43">
        <v>9</v>
      </c>
      <c r="R498" s="43">
        <v>2</v>
      </c>
      <c r="S498" s="45"/>
      <c r="T498" t="b">
        <f>(S497+S498+S499)=Q4</f>
        <v>0</v>
      </c>
      <c r="X498" s="1">
        <f t="shared" si="44"/>
        <v>0</v>
      </c>
      <c r="Y498" s="48">
        <v>0</v>
      </c>
      <c r="AA498" s="1">
        <v>3</v>
      </c>
      <c r="AB498" s="1" t="s">
        <v>14</v>
      </c>
      <c r="AC498" s="1" t="s">
        <v>20</v>
      </c>
      <c r="AD498" s="1">
        <v>15</v>
      </c>
      <c r="AE498" s="1">
        <v>13</v>
      </c>
      <c r="AF498" s="1">
        <v>0.8</v>
      </c>
      <c r="AG498" s="1">
        <v>0.88</v>
      </c>
      <c r="AH498" s="1">
        <v>0</v>
      </c>
      <c r="AI498" s="1">
        <v>0</v>
      </c>
      <c r="AJ498" s="1">
        <f t="shared" si="40"/>
        <v>0</v>
      </c>
      <c r="AK498" s="1">
        <f>D47</f>
        <v>0</v>
      </c>
      <c r="AL498" s="1">
        <f>D53</f>
        <v>0</v>
      </c>
      <c r="AM498" s="1">
        <f t="shared" si="41"/>
        <v>0</v>
      </c>
      <c r="AN498" s="1">
        <f t="shared" si="42"/>
        <v>0</v>
      </c>
      <c r="AO498" s="1">
        <f t="shared" si="43"/>
        <v>0</v>
      </c>
      <c r="AP498" t="b" cm="1">
        <f t="array" ref="AP498">INDEX($AU$8:$BB$25,6*(R498-1)+MATCH(AB498,$AS$8:$AS$13,0),MATCH(O498,$AU$7:$BB$7,0))</f>
        <v>1</v>
      </c>
    </row>
    <row r="499" spans="15:42" ht="14.25" x14ac:dyDescent="0.45">
      <c r="O499" s="43" t="s">
        <v>32</v>
      </c>
      <c r="P499" s="43">
        <v>3</v>
      </c>
      <c r="Q499" s="43">
        <v>9</v>
      </c>
      <c r="R499" s="43">
        <v>3</v>
      </c>
      <c r="S499" s="45"/>
      <c r="T499" t="b">
        <f>(S497+S498+S499)=Q4</f>
        <v>0</v>
      </c>
      <c r="X499" s="1">
        <f t="shared" si="44"/>
        <v>0</v>
      </c>
      <c r="Y499" s="48">
        <v>0</v>
      </c>
      <c r="AA499" s="1">
        <v>3</v>
      </c>
      <c r="AB499" s="1" t="s">
        <v>14</v>
      </c>
      <c r="AC499" s="1" t="s">
        <v>20</v>
      </c>
      <c r="AD499" s="1">
        <v>15</v>
      </c>
      <c r="AE499" s="1">
        <v>13</v>
      </c>
      <c r="AF499" s="1">
        <v>0.8</v>
      </c>
      <c r="AG499" s="1">
        <v>0.88</v>
      </c>
      <c r="AH499" s="1">
        <v>0</v>
      </c>
      <c r="AI499" s="1">
        <v>0</v>
      </c>
      <c r="AJ499" s="1">
        <f t="shared" si="40"/>
        <v>0</v>
      </c>
      <c r="AK499" s="1">
        <f>E47</f>
        <v>0</v>
      </c>
      <c r="AL499" s="1">
        <f>E53</f>
        <v>0</v>
      </c>
      <c r="AM499" s="1">
        <f t="shared" si="41"/>
        <v>0</v>
      </c>
      <c r="AN499" s="1">
        <f t="shared" si="42"/>
        <v>0</v>
      </c>
      <c r="AO499" s="1">
        <f t="shared" si="43"/>
        <v>0</v>
      </c>
      <c r="AP499" t="b" cm="1">
        <f t="array" ref="AP499">INDEX($AU$8:$BB$25,6*(R499-1)+MATCH(AB499,$AS$8:$AS$13,0),MATCH(O499,$AU$7:$BB$7,0))</f>
        <v>1</v>
      </c>
    </row>
    <row r="500" spans="15:42" ht="14.25" x14ac:dyDescent="0.45">
      <c r="O500" s="43" t="s">
        <v>32</v>
      </c>
      <c r="P500" s="43">
        <v>3</v>
      </c>
      <c r="Q500" s="43">
        <v>10</v>
      </c>
      <c r="R500" s="43">
        <v>1</v>
      </c>
      <c r="S500" s="45"/>
      <c r="T500" t="b">
        <f>(S500+S501+S502)=Q4</f>
        <v>0</v>
      </c>
      <c r="X500" s="1">
        <f t="shared" si="44"/>
        <v>0</v>
      </c>
      <c r="Y500" s="48">
        <v>0</v>
      </c>
      <c r="AA500" s="1">
        <v>5</v>
      </c>
      <c r="AB500" s="1" t="s">
        <v>14</v>
      </c>
      <c r="AC500" s="1" t="s">
        <v>20</v>
      </c>
      <c r="AD500" s="1">
        <v>24</v>
      </c>
      <c r="AE500" s="1">
        <v>20</v>
      </c>
      <c r="AF500" s="1">
        <v>0.8</v>
      </c>
      <c r="AG500" s="1">
        <v>0.88</v>
      </c>
      <c r="AH500" s="1">
        <v>0</v>
      </c>
      <c r="AI500" s="1">
        <v>0</v>
      </c>
      <c r="AJ500" s="1">
        <f t="shared" si="40"/>
        <v>0</v>
      </c>
      <c r="AK500" s="1">
        <f>C47</f>
        <v>0</v>
      </c>
      <c r="AL500" s="1">
        <f>C53</f>
        <v>0</v>
      </c>
      <c r="AM500" s="1">
        <f t="shared" si="41"/>
        <v>0</v>
      </c>
      <c r="AN500" s="1">
        <f t="shared" si="42"/>
        <v>0</v>
      </c>
      <c r="AO500" s="1">
        <f t="shared" si="43"/>
        <v>0</v>
      </c>
      <c r="AP500" t="b" cm="1">
        <f t="array" ref="AP500">INDEX($AU$8:$BB$25,6*(R500-1)+MATCH(AB500,$AS$8:$AS$13,0),MATCH(O500,$AU$7:$BB$7,0))</f>
        <v>1</v>
      </c>
    </row>
    <row r="501" spans="15:42" ht="14.25" x14ac:dyDescent="0.45">
      <c r="O501" s="43" t="s">
        <v>32</v>
      </c>
      <c r="P501" s="43">
        <v>3</v>
      </c>
      <c r="Q501" s="43">
        <v>10</v>
      </c>
      <c r="R501" s="43">
        <v>2</v>
      </c>
      <c r="S501" s="45"/>
      <c r="T501" t="b">
        <f>(S500+S501+S502)=Q4</f>
        <v>0</v>
      </c>
      <c r="X501" s="1">
        <f t="shared" si="44"/>
        <v>0</v>
      </c>
      <c r="Y501" s="48">
        <v>0</v>
      </c>
      <c r="AA501" s="1">
        <v>5</v>
      </c>
      <c r="AB501" s="1" t="s">
        <v>14</v>
      </c>
      <c r="AC501" s="1" t="s">
        <v>20</v>
      </c>
      <c r="AD501" s="1">
        <v>24</v>
      </c>
      <c r="AE501" s="1">
        <v>20</v>
      </c>
      <c r="AF501" s="1">
        <v>0.8</v>
      </c>
      <c r="AG501" s="1">
        <v>0.88</v>
      </c>
      <c r="AH501" s="1">
        <v>0</v>
      </c>
      <c r="AI501" s="1">
        <v>0</v>
      </c>
      <c r="AJ501" s="1">
        <f t="shared" si="40"/>
        <v>0</v>
      </c>
      <c r="AK501" s="1">
        <f>D47</f>
        <v>0</v>
      </c>
      <c r="AL501" s="1">
        <f>D53</f>
        <v>0</v>
      </c>
      <c r="AM501" s="1">
        <f t="shared" si="41"/>
        <v>0</v>
      </c>
      <c r="AN501" s="1">
        <f t="shared" si="42"/>
        <v>0</v>
      </c>
      <c r="AO501" s="1">
        <f t="shared" si="43"/>
        <v>0</v>
      </c>
      <c r="AP501" t="b" cm="1">
        <f t="array" ref="AP501">INDEX($AU$8:$BB$25,6*(R501-1)+MATCH(AB501,$AS$8:$AS$13,0),MATCH(O501,$AU$7:$BB$7,0))</f>
        <v>1</v>
      </c>
    </row>
    <row r="502" spans="15:42" ht="14.25" x14ac:dyDescent="0.45">
      <c r="O502" s="43" t="s">
        <v>32</v>
      </c>
      <c r="P502" s="43">
        <v>3</v>
      </c>
      <c r="Q502" s="43">
        <v>10</v>
      </c>
      <c r="R502" s="43">
        <v>3</v>
      </c>
      <c r="S502" s="45"/>
      <c r="T502" t="b">
        <f>(S500+S501+S502)=Q4</f>
        <v>0</v>
      </c>
      <c r="X502" s="1">
        <f t="shared" si="44"/>
        <v>0</v>
      </c>
      <c r="Y502" s="48">
        <v>0</v>
      </c>
      <c r="AA502" s="1">
        <v>5</v>
      </c>
      <c r="AB502" s="1" t="s">
        <v>14</v>
      </c>
      <c r="AC502" s="1" t="s">
        <v>20</v>
      </c>
      <c r="AD502" s="1">
        <v>24</v>
      </c>
      <c r="AE502" s="1">
        <v>20</v>
      </c>
      <c r="AF502" s="1">
        <v>0.8</v>
      </c>
      <c r="AG502" s="1">
        <v>0.88</v>
      </c>
      <c r="AH502" s="1">
        <v>0</v>
      </c>
      <c r="AI502" s="1">
        <v>0</v>
      </c>
      <c r="AJ502" s="1">
        <f t="shared" si="40"/>
        <v>0</v>
      </c>
      <c r="AK502" s="1">
        <f>E47</f>
        <v>0</v>
      </c>
      <c r="AL502" s="1">
        <f>E53</f>
        <v>0</v>
      </c>
      <c r="AM502" s="1">
        <f t="shared" si="41"/>
        <v>0</v>
      </c>
      <c r="AN502" s="1">
        <f t="shared" si="42"/>
        <v>0</v>
      </c>
      <c r="AO502" s="1">
        <f t="shared" si="43"/>
        <v>0</v>
      </c>
      <c r="AP502" t="b" cm="1">
        <f t="array" ref="AP502">INDEX($AU$8:$BB$25,6*(R502-1)+MATCH(AB502,$AS$8:$AS$13,0),MATCH(O502,$AU$7:$BB$7,0))</f>
        <v>1</v>
      </c>
    </row>
    <row r="503" spans="15:42" ht="14.25" x14ac:dyDescent="0.45">
      <c r="O503" s="43" t="s">
        <v>32</v>
      </c>
      <c r="P503" s="43">
        <v>3</v>
      </c>
      <c r="Q503" s="43">
        <v>11</v>
      </c>
      <c r="R503" s="43">
        <v>1</v>
      </c>
      <c r="S503" s="45"/>
      <c r="T503" t="b">
        <f>(S503+S504+S505)=Q4</f>
        <v>0</v>
      </c>
      <c r="X503" s="1">
        <f t="shared" si="44"/>
        <v>0</v>
      </c>
      <c r="Y503" s="48">
        <v>0</v>
      </c>
      <c r="AA503" s="1">
        <v>3</v>
      </c>
      <c r="AB503" s="1" t="s">
        <v>15</v>
      </c>
      <c r="AC503" s="1" t="s">
        <v>21</v>
      </c>
      <c r="AD503" s="1">
        <v>17</v>
      </c>
      <c r="AE503" s="1">
        <v>15</v>
      </c>
      <c r="AF503" s="1">
        <v>0.76</v>
      </c>
      <c r="AG503" s="1">
        <v>0.84</v>
      </c>
      <c r="AH503" s="1">
        <v>0</v>
      </c>
      <c r="AI503" s="1">
        <v>0</v>
      </c>
      <c r="AJ503" s="1">
        <f t="shared" si="40"/>
        <v>0</v>
      </c>
      <c r="AK503" s="1">
        <f>C48</f>
        <v>0</v>
      </c>
      <c r="AL503" s="1">
        <f>C54</f>
        <v>0</v>
      </c>
      <c r="AM503" s="1">
        <f t="shared" si="41"/>
        <v>0</v>
      </c>
      <c r="AN503" s="1">
        <f t="shared" si="42"/>
        <v>0</v>
      </c>
      <c r="AO503" s="1">
        <f t="shared" si="43"/>
        <v>0</v>
      </c>
      <c r="AP503" t="b" cm="1">
        <f t="array" ref="AP503">INDEX($AU$8:$BB$25,6*(R503-1)+MATCH(AB503,$AS$8:$AS$13,0),MATCH(O503,$AU$7:$BB$7,0))</f>
        <v>1</v>
      </c>
    </row>
    <row r="504" spans="15:42" ht="14.25" x14ac:dyDescent="0.45">
      <c r="O504" s="43" t="s">
        <v>32</v>
      </c>
      <c r="P504" s="43">
        <v>3</v>
      </c>
      <c r="Q504" s="43">
        <v>11</v>
      </c>
      <c r="R504" s="43">
        <v>2</v>
      </c>
      <c r="S504" s="45"/>
      <c r="T504" t="b">
        <f>(S503+S504+S505)=Q4</f>
        <v>0</v>
      </c>
      <c r="X504" s="1">
        <f t="shared" si="44"/>
        <v>0</v>
      </c>
      <c r="Y504" s="48">
        <v>0</v>
      </c>
      <c r="AA504" s="1">
        <v>3</v>
      </c>
      <c r="AB504" s="1" t="s">
        <v>15</v>
      </c>
      <c r="AC504" s="1" t="s">
        <v>21</v>
      </c>
      <c r="AD504" s="1">
        <v>17</v>
      </c>
      <c r="AE504" s="1">
        <v>15</v>
      </c>
      <c r="AF504" s="1">
        <v>0.76</v>
      </c>
      <c r="AG504" s="1">
        <v>0.84</v>
      </c>
      <c r="AH504" s="1">
        <v>0</v>
      </c>
      <c r="AI504" s="1">
        <v>0</v>
      </c>
      <c r="AJ504" s="1">
        <f t="shared" si="40"/>
        <v>0</v>
      </c>
      <c r="AK504" s="1">
        <f>D48</f>
        <v>0</v>
      </c>
      <c r="AL504" s="1">
        <f>D54</f>
        <v>0</v>
      </c>
      <c r="AM504" s="1">
        <f t="shared" si="41"/>
        <v>0</v>
      </c>
      <c r="AN504" s="1">
        <f t="shared" si="42"/>
        <v>0</v>
      </c>
      <c r="AO504" s="1">
        <f t="shared" si="43"/>
        <v>0</v>
      </c>
      <c r="AP504" t="b" cm="1">
        <f t="array" ref="AP504">INDEX($AU$8:$BB$25,6*(R504-1)+MATCH(AB504,$AS$8:$AS$13,0),MATCH(O504,$AU$7:$BB$7,0))</f>
        <v>1</v>
      </c>
    </row>
    <row r="505" spans="15:42" ht="14.25" x14ac:dyDescent="0.45">
      <c r="O505" s="43" t="s">
        <v>32</v>
      </c>
      <c r="P505" s="43">
        <v>3</v>
      </c>
      <c r="Q505" s="43">
        <v>11</v>
      </c>
      <c r="R505" s="43">
        <v>3</v>
      </c>
      <c r="S505" s="45"/>
      <c r="T505" t="b">
        <f>(S503+S504+S505)=Q4</f>
        <v>0</v>
      </c>
      <c r="X505" s="1">
        <f t="shared" si="44"/>
        <v>0</v>
      </c>
      <c r="Y505" s="48">
        <v>0</v>
      </c>
      <c r="AA505" s="1">
        <v>3</v>
      </c>
      <c r="AB505" s="1" t="s">
        <v>15</v>
      </c>
      <c r="AC505" s="1" t="s">
        <v>21</v>
      </c>
      <c r="AD505" s="1">
        <v>17</v>
      </c>
      <c r="AE505" s="1">
        <v>15</v>
      </c>
      <c r="AF505" s="1">
        <v>0.76</v>
      </c>
      <c r="AG505" s="1">
        <v>0.84</v>
      </c>
      <c r="AH505" s="1">
        <v>0</v>
      </c>
      <c r="AI505" s="1">
        <v>0</v>
      </c>
      <c r="AJ505" s="1">
        <f t="shared" si="40"/>
        <v>0</v>
      </c>
      <c r="AK505" s="1">
        <f>E48</f>
        <v>0</v>
      </c>
      <c r="AL505" s="1">
        <f>E54</f>
        <v>0</v>
      </c>
      <c r="AM505" s="1">
        <f t="shared" si="41"/>
        <v>0</v>
      </c>
      <c r="AN505" s="1">
        <f t="shared" si="42"/>
        <v>0</v>
      </c>
      <c r="AO505" s="1">
        <f t="shared" si="43"/>
        <v>0</v>
      </c>
      <c r="AP505" t="b" cm="1">
        <f t="array" ref="AP505">INDEX($AU$8:$BB$25,6*(R505-1)+MATCH(AB505,$AS$8:$AS$13,0),MATCH(O505,$AU$7:$BB$7,0))</f>
        <v>1</v>
      </c>
    </row>
    <row r="506" spans="15:42" ht="14.25" x14ac:dyDescent="0.45">
      <c r="O506" s="43" t="s">
        <v>32</v>
      </c>
      <c r="P506" s="43">
        <v>3</v>
      </c>
      <c r="Q506" s="43">
        <v>12</v>
      </c>
      <c r="R506" s="43">
        <v>1</v>
      </c>
      <c r="S506" s="45"/>
      <c r="T506" t="b">
        <f>(S506+S507+S508)=Q4</f>
        <v>0</v>
      </c>
      <c r="X506" s="1">
        <f t="shared" si="44"/>
        <v>0</v>
      </c>
      <c r="Y506" s="48">
        <v>0</v>
      </c>
      <c r="AA506" s="1">
        <v>10</v>
      </c>
      <c r="AB506" s="1" t="s">
        <v>15</v>
      </c>
      <c r="AC506" s="1" t="s">
        <v>21</v>
      </c>
      <c r="AD506" s="1">
        <v>18</v>
      </c>
      <c r="AE506" s="1">
        <v>13</v>
      </c>
      <c r="AF506" s="1">
        <v>0.76</v>
      </c>
      <c r="AG506" s="1">
        <v>0.84</v>
      </c>
      <c r="AH506" s="1">
        <v>0</v>
      </c>
      <c r="AI506" s="1">
        <v>0</v>
      </c>
      <c r="AJ506" s="1">
        <f t="shared" si="40"/>
        <v>0</v>
      </c>
      <c r="AK506" s="1">
        <f>C48</f>
        <v>0</v>
      </c>
      <c r="AL506" s="1">
        <f>C54</f>
        <v>0</v>
      </c>
      <c r="AM506" s="1">
        <f t="shared" si="41"/>
        <v>0</v>
      </c>
      <c r="AN506" s="1">
        <f t="shared" si="42"/>
        <v>0</v>
      </c>
      <c r="AO506" s="1">
        <f t="shared" si="43"/>
        <v>0</v>
      </c>
      <c r="AP506" t="b" cm="1">
        <f t="array" ref="AP506">INDEX($AU$8:$BB$25,6*(R506-1)+MATCH(AB506,$AS$8:$AS$13,0),MATCH(O506,$AU$7:$BB$7,0))</f>
        <v>1</v>
      </c>
    </row>
    <row r="507" spans="15:42" ht="14.25" x14ac:dyDescent="0.45">
      <c r="O507" s="43" t="s">
        <v>32</v>
      </c>
      <c r="P507" s="43">
        <v>3</v>
      </c>
      <c r="Q507" s="43">
        <v>12</v>
      </c>
      <c r="R507" s="43">
        <v>2</v>
      </c>
      <c r="S507" s="45"/>
      <c r="T507" t="b">
        <f>(S506+S507+S508)=Q4</f>
        <v>0</v>
      </c>
      <c r="X507" s="1">
        <f t="shared" si="44"/>
        <v>0</v>
      </c>
      <c r="Y507" s="48">
        <v>0</v>
      </c>
      <c r="AA507" s="1">
        <v>10</v>
      </c>
      <c r="AB507" s="1" t="s">
        <v>15</v>
      </c>
      <c r="AC507" s="1" t="s">
        <v>21</v>
      </c>
      <c r="AD507" s="1">
        <v>18</v>
      </c>
      <c r="AE507" s="1">
        <v>13</v>
      </c>
      <c r="AF507" s="1">
        <v>0.76</v>
      </c>
      <c r="AG507" s="1">
        <v>0.84</v>
      </c>
      <c r="AH507" s="1">
        <v>0</v>
      </c>
      <c r="AI507" s="1">
        <v>0</v>
      </c>
      <c r="AJ507" s="1">
        <f t="shared" si="40"/>
        <v>0</v>
      </c>
      <c r="AK507" s="1">
        <f>D48</f>
        <v>0</v>
      </c>
      <c r="AL507" s="1">
        <f>D54</f>
        <v>0</v>
      </c>
      <c r="AM507" s="1">
        <f t="shared" si="41"/>
        <v>0</v>
      </c>
      <c r="AN507" s="1">
        <f t="shared" si="42"/>
        <v>0</v>
      </c>
      <c r="AO507" s="1">
        <f t="shared" si="43"/>
        <v>0</v>
      </c>
      <c r="AP507" t="b" cm="1">
        <f t="array" ref="AP507">INDEX($AU$8:$BB$25,6*(R507-1)+MATCH(AB507,$AS$8:$AS$13,0),MATCH(O507,$AU$7:$BB$7,0))</f>
        <v>1</v>
      </c>
    </row>
    <row r="508" spans="15:42" ht="14.25" x14ac:dyDescent="0.45">
      <c r="O508" s="43" t="s">
        <v>32</v>
      </c>
      <c r="P508" s="43">
        <v>3</v>
      </c>
      <c r="Q508" s="43">
        <v>12</v>
      </c>
      <c r="R508" s="43">
        <v>3</v>
      </c>
      <c r="S508" s="45"/>
      <c r="T508" t="b">
        <f>(S506+S507+S508)=Q4</f>
        <v>0</v>
      </c>
      <c r="X508" s="1">
        <f t="shared" si="44"/>
        <v>0</v>
      </c>
      <c r="Y508" s="48">
        <v>0</v>
      </c>
      <c r="AA508" s="1">
        <v>10</v>
      </c>
      <c r="AB508" s="1" t="s">
        <v>15</v>
      </c>
      <c r="AC508" s="1" t="s">
        <v>21</v>
      </c>
      <c r="AD508" s="1">
        <v>18</v>
      </c>
      <c r="AE508" s="1">
        <v>13</v>
      </c>
      <c r="AF508" s="1">
        <v>0.76</v>
      </c>
      <c r="AG508" s="1">
        <v>0.84</v>
      </c>
      <c r="AH508" s="1">
        <v>0</v>
      </c>
      <c r="AI508" s="1">
        <v>0</v>
      </c>
      <c r="AJ508" s="1">
        <f t="shared" si="40"/>
        <v>0</v>
      </c>
      <c r="AK508" s="1">
        <f>E48</f>
        <v>0</v>
      </c>
      <c r="AL508" s="1">
        <f>E54</f>
        <v>0</v>
      </c>
      <c r="AM508" s="1">
        <f t="shared" si="41"/>
        <v>0</v>
      </c>
      <c r="AN508" s="1">
        <f t="shared" si="42"/>
        <v>0</v>
      </c>
      <c r="AO508" s="1">
        <f t="shared" si="43"/>
        <v>0</v>
      </c>
      <c r="AP508" t="b" cm="1">
        <f t="array" ref="AP508">INDEX($AU$8:$BB$25,6*(R508-1)+MATCH(AB508,$AS$8:$AS$13,0),MATCH(O508,$AU$7:$BB$7,0))</f>
        <v>1</v>
      </c>
    </row>
    <row r="509" spans="15:42" ht="14.25" x14ac:dyDescent="0.45">
      <c r="O509" s="43" t="s">
        <v>32</v>
      </c>
      <c r="P509" s="43">
        <v>3</v>
      </c>
      <c r="Q509" s="43">
        <v>13</v>
      </c>
      <c r="R509" s="43">
        <v>1</v>
      </c>
      <c r="S509" s="45"/>
      <c r="T509" t="b">
        <f>(S509+S510+S511)=Q4</f>
        <v>0</v>
      </c>
      <c r="X509" s="1">
        <f t="shared" si="44"/>
        <v>0</v>
      </c>
      <c r="Y509" s="48">
        <v>0</v>
      </c>
      <c r="AA509" s="1">
        <v>2</v>
      </c>
      <c r="AB509" s="1" t="s">
        <v>16</v>
      </c>
      <c r="AC509" s="1" t="s">
        <v>22</v>
      </c>
      <c r="AD509" s="1">
        <v>20</v>
      </c>
      <c r="AE509" s="1">
        <v>18</v>
      </c>
      <c r="AF509" s="1">
        <v>0.8</v>
      </c>
      <c r="AG509" s="1">
        <v>0.9</v>
      </c>
      <c r="AH509" s="1">
        <v>0</v>
      </c>
      <c r="AI509" s="1">
        <v>0</v>
      </c>
      <c r="AJ509" s="1">
        <f t="shared" si="40"/>
        <v>0</v>
      </c>
      <c r="AK509" s="1">
        <f>C49</f>
        <v>0</v>
      </c>
      <c r="AL509" s="1">
        <f>C55</f>
        <v>0</v>
      </c>
      <c r="AM509" s="1">
        <f t="shared" si="41"/>
        <v>0</v>
      </c>
      <c r="AN509" s="1">
        <f t="shared" si="42"/>
        <v>0</v>
      </c>
      <c r="AO509" s="1">
        <f t="shared" si="43"/>
        <v>0</v>
      </c>
      <c r="AP509" t="b" cm="1">
        <f t="array" ref="AP509">INDEX($AU$8:$BB$25,6*(R509-1)+MATCH(AB509,$AS$8:$AS$13,0),MATCH(O509,$AU$7:$BB$7,0))</f>
        <v>1</v>
      </c>
    </row>
    <row r="510" spans="15:42" ht="14.25" x14ac:dyDescent="0.45">
      <c r="O510" s="43" t="s">
        <v>32</v>
      </c>
      <c r="P510" s="43">
        <v>3</v>
      </c>
      <c r="Q510" s="43">
        <v>13</v>
      </c>
      <c r="R510" s="43">
        <v>2</v>
      </c>
      <c r="S510" s="45"/>
      <c r="T510" t="b">
        <f>(S509+S510+S511)=Q4</f>
        <v>0</v>
      </c>
      <c r="X510" s="1">
        <f t="shared" si="44"/>
        <v>0</v>
      </c>
      <c r="Y510" s="48">
        <v>0</v>
      </c>
      <c r="AA510" s="1">
        <v>2</v>
      </c>
      <c r="AB510" s="1" t="s">
        <v>16</v>
      </c>
      <c r="AC510" s="1" t="s">
        <v>22</v>
      </c>
      <c r="AD510" s="1">
        <v>20</v>
      </c>
      <c r="AE510" s="1">
        <v>18</v>
      </c>
      <c r="AF510" s="1">
        <v>0.8</v>
      </c>
      <c r="AG510" s="1">
        <v>0.9</v>
      </c>
      <c r="AH510" s="1">
        <v>0</v>
      </c>
      <c r="AI510" s="1">
        <v>0</v>
      </c>
      <c r="AJ510" s="1">
        <f t="shared" si="40"/>
        <v>0</v>
      </c>
      <c r="AK510" s="1">
        <f>D49</f>
        <v>0</v>
      </c>
      <c r="AL510" s="1">
        <f>D55</f>
        <v>0</v>
      </c>
      <c r="AM510" s="1">
        <f t="shared" si="41"/>
        <v>0</v>
      </c>
      <c r="AN510" s="1">
        <f t="shared" si="42"/>
        <v>0</v>
      </c>
      <c r="AO510" s="1">
        <f t="shared" si="43"/>
        <v>0</v>
      </c>
      <c r="AP510" t="b" cm="1">
        <f t="array" ref="AP510">INDEX($AU$8:$BB$25,6*(R510-1)+MATCH(AB510,$AS$8:$AS$13,0),MATCH(O510,$AU$7:$BB$7,0))</f>
        <v>1</v>
      </c>
    </row>
    <row r="511" spans="15:42" ht="14.25" x14ac:dyDescent="0.45">
      <c r="O511" s="43" t="s">
        <v>32</v>
      </c>
      <c r="P511" s="43">
        <v>3</v>
      </c>
      <c r="Q511" s="43">
        <v>13</v>
      </c>
      <c r="R511" s="43">
        <v>3</v>
      </c>
      <c r="S511" s="45"/>
      <c r="T511" t="b">
        <f>(S509+S510+S511)=Q4</f>
        <v>0</v>
      </c>
      <c r="X511" s="1">
        <f t="shared" si="44"/>
        <v>0</v>
      </c>
      <c r="Y511" s="48">
        <v>0</v>
      </c>
      <c r="AA511" s="1">
        <v>2</v>
      </c>
      <c r="AB511" s="1" t="s">
        <v>16</v>
      </c>
      <c r="AC511" s="1" t="s">
        <v>22</v>
      </c>
      <c r="AD511" s="1">
        <v>20</v>
      </c>
      <c r="AE511" s="1">
        <v>18</v>
      </c>
      <c r="AF511" s="1">
        <v>0.8</v>
      </c>
      <c r="AG511" s="1">
        <v>0.9</v>
      </c>
      <c r="AH511" s="1">
        <v>0</v>
      </c>
      <c r="AI511" s="1">
        <v>0</v>
      </c>
      <c r="AJ511" s="1">
        <f t="shared" si="40"/>
        <v>0</v>
      </c>
      <c r="AK511" s="1">
        <f>E49</f>
        <v>0</v>
      </c>
      <c r="AL511" s="1">
        <f>E55</f>
        <v>0</v>
      </c>
      <c r="AM511" s="1">
        <f t="shared" si="41"/>
        <v>0</v>
      </c>
      <c r="AN511" s="1">
        <f t="shared" si="42"/>
        <v>0</v>
      </c>
      <c r="AO511" s="1">
        <f t="shared" si="43"/>
        <v>0</v>
      </c>
      <c r="AP511" t="b" cm="1">
        <f t="array" ref="AP511">INDEX($AU$8:$BB$25,6*(R511-1)+MATCH(AB511,$AS$8:$AS$13,0),MATCH(O511,$AU$7:$BB$7,0))</f>
        <v>1</v>
      </c>
    </row>
    <row r="512" spans="15:42" ht="14.25" x14ac:dyDescent="0.45">
      <c r="O512" s="43" t="s">
        <v>32</v>
      </c>
      <c r="P512" s="43">
        <v>3</v>
      </c>
      <c r="Q512" s="43">
        <v>14</v>
      </c>
      <c r="R512" s="43">
        <v>1</v>
      </c>
      <c r="S512" s="45"/>
      <c r="T512" t="b">
        <f>(S512+S513+S514)=Q4</f>
        <v>0</v>
      </c>
      <c r="X512" s="1">
        <f t="shared" si="44"/>
        <v>0</v>
      </c>
      <c r="Y512" s="48">
        <v>0</v>
      </c>
      <c r="AA512" s="1">
        <v>2</v>
      </c>
      <c r="AB512" s="1" t="s">
        <v>13</v>
      </c>
      <c r="AC512" s="1" t="s">
        <v>19</v>
      </c>
      <c r="AD512" s="1">
        <v>12</v>
      </c>
      <c r="AE512" s="1">
        <v>11</v>
      </c>
      <c r="AF512" s="1">
        <v>0.8</v>
      </c>
      <c r="AG512" s="1">
        <v>0.86</v>
      </c>
      <c r="AH512" s="1">
        <v>0</v>
      </c>
      <c r="AI512" s="1">
        <v>0</v>
      </c>
      <c r="AJ512" s="1">
        <f t="shared" si="40"/>
        <v>0</v>
      </c>
      <c r="AK512" s="1">
        <f>C46</f>
        <v>0</v>
      </c>
      <c r="AL512" s="1">
        <f>C52</f>
        <v>0</v>
      </c>
      <c r="AM512" s="1">
        <f t="shared" si="41"/>
        <v>0</v>
      </c>
      <c r="AN512" s="1">
        <f t="shared" si="42"/>
        <v>0</v>
      </c>
      <c r="AO512" s="1">
        <f t="shared" si="43"/>
        <v>0</v>
      </c>
      <c r="AP512" t="b" cm="1">
        <f t="array" ref="AP512">INDEX($AU$8:$BB$25,6*(R512-1)+MATCH(AB512,$AS$8:$AS$13,0),MATCH(O512,$AU$7:$BB$7,0))</f>
        <v>1</v>
      </c>
    </row>
    <row r="513" spans="15:42" ht="14.25" x14ac:dyDescent="0.45">
      <c r="O513" s="43" t="s">
        <v>32</v>
      </c>
      <c r="P513" s="43">
        <v>3</v>
      </c>
      <c r="Q513" s="43">
        <v>14</v>
      </c>
      <c r="R513" s="43">
        <v>2</v>
      </c>
      <c r="S513" s="45"/>
      <c r="T513" t="b">
        <f>(S512+S513+S514)=Q4</f>
        <v>0</v>
      </c>
      <c r="X513" s="1">
        <f t="shared" si="44"/>
        <v>0</v>
      </c>
      <c r="Y513" s="48">
        <v>0</v>
      </c>
      <c r="AA513" s="1">
        <v>2</v>
      </c>
      <c r="AB513" s="1" t="s">
        <v>13</v>
      </c>
      <c r="AC513" s="1" t="s">
        <v>19</v>
      </c>
      <c r="AD513" s="1">
        <v>12</v>
      </c>
      <c r="AE513" s="1">
        <v>11</v>
      </c>
      <c r="AF513" s="1">
        <v>0.8</v>
      </c>
      <c r="AG513" s="1">
        <v>0.86</v>
      </c>
      <c r="AH513" s="1">
        <v>0</v>
      </c>
      <c r="AI513" s="1">
        <v>0</v>
      </c>
      <c r="AJ513" s="1">
        <f t="shared" si="40"/>
        <v>0</v>
      </c>
      <c r="AK513" s="1">
        <f>D46</f>
        <v>0</v>
      </c>
      <c r="AL513" s="1">
        <f>D52</f>
        <v>0</v>
      </c>
      <c r="AM513" s="1">
        <f t="shared" si="41"/>
        <v>0</v>
      </c>
      <c r="AN513" s="1">
        <f t="shared" si="42"/>
        <v>0</v>
      </c>
      <c r="AO513" s="1">
        <f t="shared" si="43"/>
        <v>0</v>
      </c>
      <c r="AP513" t="b" cm="1">
        <f t="array" ref="AP513">INDEX($AU$8:$BB$25,6*(R513-1)+MATCH(AB513,$AS$8:$AS$13,0),MATCH(O513,$AU$7:$BB$7,0))</f>
        <v>1</v>
      </c>
    </row>
    <row r="514" spans="15:42" ht="14.25" x14ac:dyDescent="0.45">
      <c r="O514" s="43" t="s">
        <v>32</v>
      </c>
      <c r="P514" s="43">
        <v>3</v>
      </c>
      <c r="Q514" s="43">
        <v>14</v>
      </c>
      <c r="R514" s="43">
        <v>3</v>
      </c>
      <c r="S514" s="45"/>
      <c r="T514" t="b">
        <f>(S512+S513+S514)=Q4</f>
        <v>0</v>
      </c>
      <c r="X514" s="1">
        <f t="shared" si="44"/>
        <v>0</v>
      </c>
      <c r="Y514" s="48">
        <v>0</v>
      </c>
      <c r="AA514" s="1">
        <v>2</v>
      </c>
      <c r="AB514" s="1" t="s">
        <v>13</v>
      </c>
      <c r="AC514" s="1" t="s">
        <v>19</v>
      </c>
      <c r="AD514" s="1">
        <v>12</v>
      </c>
      <c r="AE514" s="1">
        <v>11</v>
      </c>
      <c r="AF514" s="1">
        <v>0.8</v>
      </c>
      <c r="AG514" s="1">
        <v>0.86</v>
      </c>
      <c r="AH514" s="1">
        <v>0</v>
      </c>
      <c r="AI514" s="1">
        <v>0</v>
      </c>
      <c r="AJ514" s="1">
        <f t="shared" si="40"/>
        <v>0</v>
      </c>
      <c r="AK514" s="1">
        <f>E46</f>
        <v>0</v>
      </c>
      <c r="AL514" s="1">
        <f>E52</f>
        <v>0</v>
      </c>
      <c r="AM514" s="1">
        <f t="shared" si="41"/>
        <v>0</v>
      </c>
      <c r="AN514" s="1">
        <f t="shared" si="42"/>
        <v>0</v>
      </c>
      <c r="AO514" s="1">
        <f t="shared" si="43"/>
        <v>0</v>
      </c>
      <c r="AP514" t="b" cm="1">
        <f t="array" ref="AP514">INDEX($AU$8:$BB$25,6*(R514-1)+MATCH(AB514,$AS$8:$AS$13,0),MATCH(O514,$AU$7:$BB$7,0))</f>
        <v>1</v>
      </c>
    </row>
    <row r="515" spans="15:42" ht="14.25" x14ac:dyDescent="0.45">
      <c r="O515" s="43" t="s">
        <v>32</v>
      </c>
      <c r="P515" s="43">
        <v>3</v>
      </c>
      <c r="Q515" s="43">
        <v>15</v>
      </c>
      <c r="R515" s="43">
        <v>1</v>
      </c>
      <c r="S515" s="45"/>
      <c r="T515" t="b">
        <f>(S515+S516+S517)=Q4</f>
        <v>0</v>
      </c>
      <c r="X515" s="1">
        <f t="shared" si="44"/>
        <v>0</v>
      </c>
      <c r="Y515" s="48">
        <v>0</v>
      </c>
      <c r="AA515" s="1">
        <v>2</v>
      </c>
      <c r="AB515" s="1" t="s">
        <v>14</v>
      </c>
      <c r="AC515" s="1" t="s">
        <v>20</v>
      </c>
      <c r="AD515" s="1">
        <v>11</v>
      </c>
      <c r="AE515" s="1">
        <v>10</v>
      </c>
      <c r="AF515" s="1">
        <v>0.8</v>
      </c>
      <c r="AG515" s="1">
        <v>0.88</v>
      </c>
      <c r="AH515" s="1">
        <v>0</v>
      </c>
      <c r="AI515" s="1">
        <v>0</v>
      </c>
      <c r="AJ515" s="1">
        <f t="shared" si="40"/>
        <v>0</v>
      </c>
      <c r="AK515" s="1">
        <f>C47</f>
        <v>0</v>
      </c>
      <c r="AL515" s="1">
        <f>C53</f>
        <v>0</v>
      </c>
      <c r="AM515" s="1">
        <f t="shared" si="41"/>
        <v>0</v>
      </c>
      <c r="AN515" s="1">
        <f t="shared" si="42"/>
        <v>0</v>
      </c>
      <c r="AO515" s="1">
        <f t="shared" si="43"/>
        <v>0</v>
      </c>
      <c r="AP515" t="b" cm="1">
        <f t="array" ref="AP515">INDEX($AU$8:$BB$25,6*(R515-1)+MATCH(AB515,$AS$8:$AS$13,0),MATCH(O515,$AU$7:$BB$7,0))</f>
        <v>1</v>
      </c>
    </row>
    <row r="516" spans="15:42" ht="14.25" x14ac:dyDescent="0.45">
      <c r="O516" s="43" t="s">
        <v>32</v>
      </c>
      <c r="P516" s="43">
        <v>3</v>
      </c>
      <c r="Q516" s="43">
        <v>15</v>
      </c>
      <c r="R516" s="43">
        <v>2</v>
      </c>
      <c r="S516" s="45"/>
      <c r="T516" t="b">
        <f>(S515+S516+S517)=Q4</f>
        <v>0</v>
      </c>
      <c r="X516" s="1">
        <f t="shared" si="44"/>
        <v>0</v>
      </c>
      <c r="Y516" s="48">
        <v>0</v>
      </c>
      <c r="AA516" s="1">
        <v>2</v>
      </c>
      <c r="AB516" s="1" t="s">
        <v>14</v>
      </c>
      <c r="AC516" s="1" t="s">
        <v>20</v>
      </c>
      <c r="AD516" s="1">
        <v>11</v>
      </c>
      <c r="AE516" s="1">
        <v>10</v>
      </c>
      <c r="AF516" s="1">
        <v>0.8</v>
      </c>
      <c r="AG516" s="1">
        <v>0.88</v>
      </c>
      <c r="AH516" s="1">
        <v>0</v>
      </c>
      <c r="AI516" s="1">
        <v>0</v>
      </c>
      <c r="AJ516" s="1">
        <f t="shared" si="40"/>
        <v>0</v>
      </c>
      <c r="AK516" s="1">
        <f>D47</f>
        <v>0</v>
      </c>
      <c r="AL516" s="1">
        <f>D53</f>
        <v>0</v>
      </c>
      <c r="AM516" s="1">
        <f t="shared" si="41"/>
        <v>0</v>
      </c>
      <c r="AN516" s="1">
        <f t="shared" si="42"/>
        <v>0</v>
      </c>
      <c r="AO516" s="1">
        <f t="shared" si="43"/>
        <v>0</v>
      </c>
      <c r="AP516" t="b" cm="1">
        <f t="array" ref="AP516">INDEX($AU$8:$BB$25,6*(R516-1)+MATCH(AB516,$AS$8:$AS$13,0),MATCH(O516,$AU$7:$BB$7,0))</f>
        <v>1</v>
      </c>
    </row>
    <row r="517" spans="15:42" ht="14.25" x14ac:dyDescent="0.45">
      <c r="O517" s="43" t="s">
        <v>32</v>
      </c>
      <c r="P517" s="43">
        <v>3</v>
      </c>
      <c r="Q517" s="43">
        <v>15</v>
      </c>
      <c r="R517" s="43">
        <v>3</v>
      </c>
      <c r="S517" s="45"/>
      <c r="T517" t="b">
        <f>(S515+S516+S517)=Q4</f>
        <v>0</v>
      </c>
      <c r="X517" s="1">
        <f t="shared" si="44"/>
        <v>0</v>
      </c>
      <c r="Y517" s="48">
        <v>0</v>
      </c>
      <c r="AA517" s="1">
        <v>2</v>
      </c>
      <c r="AB517" s="1" t="s">
        <v>14</v>
      </c>
      <c r="AC517" s="1" t="s">
        <v>20</v>
      </c>
      <c r="AD517" s="1">
        <v>11</v>
      </c>
      <c r="AE517" s="1">
        <v>10</v>
      </c>
      <c r="AF517" s="1">
        <v>0.8</v>
      </c>
      <c r="AG517" s="1">
        <v>0.88</v>
      </c>
      <c r="AH517" s="1">
        <v>0</v>
      </c>
      <c r="AI517" s="1">
        <v>0</v>
      </c>
      <c r="AJ517" s="1">
        <f t="shared" si="40"/>
        <v>0</v>
      </c>
      <c r="AK517" s="1">
        <f>E47</f>
        <v>0</v>
      </c>
      <c r="AL517" s="1">
        <f>E53</f>
        <v>0</v>
      </c>
      <c r="AM517" s="1">
        <f t="shared" si="41"/>
        <v>0</v>
      </c>
      <c r="AN517" s="1">
        <f t="shared" si="42"/>
        <v>0</v>
      </c>
      <c r="AO517" s="1">
        <f t="shared" si="43"/>
        <v>0</v>
      </c>
      <c r="AP517" t="b" cm="1">
        <f t="array" ref="AP517">INDEX($AU$8:$BB$25,6*(R517-1)+MATCH(AB517,$AS$8:$AS$13,0),MATCH(O517,$AU$7:$BB$7,0))</f>
        <v>1</v>
      </c>
    </row>
    <row r="518" spans="15:42" ht="14.25" x14ac:dyDescent="0.45">
      <c r="O518" s="43" t="s">
        <v>32</v>
      </c>
      <c r="P518" s="43">
        <v>3</v>
      </c>
      <c r="Q518" s="43">
        <v>16</v>
      </c>
      <c r="R518" s="43">
        <v>1</v>
      </c>
      <c r="S518" s="45"/>
      <c r="T518" t="b">
        <f>(S518+S519+S520)=Q4</f>
        <v>0</v>
      </c>
      <c r="X518" s="1">
        <f t="shared" si="44"/>
        <v>0</v>
      </c>
      <c r="Y518" s="48">
        <v>0</v>
      </c>
      <c r="AA518" s="1">
        <v>4</v>
      </c>
      <c r="AB518" s="1" t="s">
        <v>13</v>
      </c>
      <c r="AC518" s="1" t="s">
        <v>19</v>
      </c>
      <c r="AD518" s="1">
        <v>25</v>
      </c>
      <c r="AE518" s="1">
        <v>20</v>
      </c>
      <c r="AF518" s="1">
        <v>0.8</v>
      </c>
      <c r="AG518" s="1">
        <v>0.86</v>
      </c>
      <c r="AH518" s="1">
        <v>0</v>
      </c>
      <c r="AI518" s="1">
        <v>0</v>
      </c>
      <c r="AJ518" s="1">
        <f t="shared" si="40"/>
        <v>0</v>
      </c>
      <c r="AK518" s="1">
        <f>C46</f>
        <v>0</v>
      </c>
      <c r="AL518" s="1">
        <f>C52</f>
        <v>0</v>
      </c>
      <c r="AM518" s="1">
        <f t="shared" si="41"/>
        <v>0</v>
      </c>
      <c r="AN518" s="1">
        <f t="shared" si="42"/>
        <v>0</v>
      </c>
      <c r="AO518" s="1">
        <f t="shared" si="43"/>
        <v>0</v>
      </c>
      <c r="AP518" t="b" cm="1">
        <f t="array" ref="AP518">INDEX($AU$8:$BB$25,6*(R518-1)+MATCH(AB518,$AS$8:$AS$13,0),MATCH(O518,$AU$7:$BB$7,0))</f>
        <v>1</v>
      </c>
    </row>
    <row r="519" spans="15:42" ht="14.25" x14ac:dyDescent="0.45">
      <c r="O519" s="43" t="s">
        <v>32</v>
      </c>
      <c r="P519" s="43">
        <v>3</v>
      </c>
      <c r="Q519" s="43">
        <v>16</v>
      </c>
      <c r="R519" s="43">
        <v>2</v>
      </c>
      <c r="S519" s="45"/>
      <c r="T519" t="b">
        <f>(S518+S519+S520)=Q4</f>
        <v>0</v>
      </c>
      <c r="X519" s="1">
        <f t="shared" si="44"/>
        <v>0</v>
      </c>
      <c r="Y519" s="48">
        <v>0</v>
      </c>
      <c r="AA519" s="1">
        <v>4</v>
      </c>
      <c r="AB519" s="1" t="s">
        <v>13</v>
      </c>
      <c r="AC519" s="1" t="s">
        <v>19</v>
      </c>
      <c r="AD519" s="1">
        <v>25</v>
      </c>
      <c r="AE519" s="1">
        <v>20</v>
      </c>
      <c r="AF519" s="1">
        <v>0.8</v>
      </c>
      <c r="AG519" s="1">
        <v>0.86</v>
      </c>
      <c r="AH519" s="1">
        <v>0</v>
      </c>
      <c r="AI519" s="1">
        <v>0</v>
      </c>
      <c r="AJ519" s="1">
        <f t="shared" si="40"/>
        <v>0</v>
      </c>
      <c r="AK519" s="1">
        <f>D46</f>
        <v>0</v>
      </c>
      <c r="AL519" s="1">
        <f>D52</f>
        <v>0</v>
      </c>
      <c r="AM519" s="1">
        <f t="shared" si="41"/>
        <v>0</v>
      </c>
      <c r="AN519" s="1">
        <f t="shared" si="42"/>
        <v>0</v>
      </c>
      <c r="AO519" s="1">
        <f t="shared" si="43"/>
        <v>0</v>
      </c>
      <c r="AP519" t="b" cm="1">
        <f t="array" ref="AP519">INDEX($AU$8:$BB$25,6*(R519-1)+MATCH(AB519,$AS$8:$AS$13,0),MATCH(O519,$AU$7:$BB$7,0))</f>
        <v>1</v>
      </c>
    </row>
    <row r="520" spans="15:42" ht="14.25" x14ac:dyDescent="0.45">
      <c r="O520" s="43" t="s">
        <v>32</v>
      </c>
      <c r="P520" s="43">
        <v>3</v>
      </c>
      <c r="Q520" s="43">
        <v>16</v>
      </c>
      <c r="R520" s="43">
        <v>3</v>
      </c>
      <c r="S520" s="45"/>
      <c r="T520" t="b">
        <f>(S518+S519+S520)=Q4</f>
        <v>0</v>
      </c>
      <c r="X520" s="1">
        <f t="shared" si="44"/>
        <v>0</v>
      </c>
      <c r="Y520" s="48">
        <v>0</v>
      </c>
      <c r="AA520" s="1">
        <v>4</v>
      </c>
      <c r="AB520" s="1" t="s">
        <v>13</v>
      </c>
      <c r="AC520" s="1" t="s">
        <v>19</v>
      </c>
      <c r="AD520" s="1">
        <v>25</v>
      </c>
      <c r="AE520" s="1">
        <v>20</v>
      </c>
      <c r="AF520" s="1">
        <v>0.8</v>
      </c>
      <c r="AG520" s="1">
        <v>0.86</v>
      </c>
      <c r="AH520" s="1">
        <v>0</v>
      </c>
      <c r="AI520" s="1">
        <v>0</v>
      </c>
      <c r="AJ520" s="1">
        <f t="shared" si="40"/>
        <v>0</v>
      </c>
      <c r="AK520" s="1">
        <f>E46</f>
        <v>0</v>
      </c>
      <c r="AL520" s="1">
        <f>E52</f>
        <v>0</v>
      </c>
      <c r="AM520" s="1">
        <f t="shared" si="41"/>
        <v>0</v>
      </c>
      <c r="AN520" s="1">
        <f t="shared" si="42"/>
        <v>0</v>
      </c>
      <c r="AO520" s="1">
        <f t="shared" si="43"/>
        <v>0</v>
      </c>
      <c r="AP520" t="b" cm="1">
        <f t="array" ref="AP520">INDEX($AU$8:$BB$25,6*(R520-1)+MATCH(AB520,$AS$8:$AS$13,0),MATCH(O520,$AU$7:$BB$7,0))</f>
        <v>1</v>
      </c>
    </row>
    <row r="521" spans="15:42" ht="14.25" x14ac:dyDescent="0.45">
      <c r="O521" s="43" t="s">
        <v>32</v>
      </c>
      <c r="P521" s="43">
        <v>3</v>
      </c>
      <c r="Q521" s="43">
        <v>17</v>
      </c>
      <c r="R521" s="43">
        <v>1</v>
      </c>
      <c r="S521" s="45"/>
      <c r="T521" t="b">
        <f>(S521+S522+S523)=Q4</f>
        <v>0</v>
      </c>
      <c r="X521" s="1">
        <f t="shared" si="44"/>
        <v>0</v>
      </c>
      <c r="Y521" s="48">
        <v>0</v>
      </c>
      <c r="AA521" s="1">
        <v>1</v>
      </c>
      <c r="AB521" s="1" t="s">
        <v>16</v>
      </c>
      <c r="AC521" s="1" t="s">
        <v>22</v>
      </c>
      <c r="AD521" s="1">
        <v>14</v>
      </c>
      <c r="AE521" s="1">
        <v>13</v>
      </c>
      <c r="AF521" s="1">
        <v>0.8</v>
      </c>
      <c r="AG521" s="1">
        <v>0.9</v>
      </c>
      <c r="AH521" s="1">
        <v>0</v>
      </c>
      <c r="AI521" s="1">
        <v>0</v>
      </c>
      <c r="AJ521" s="1">
        <f t="shared" ref="AJ521:AJ584" si="45">SUMIFS(AH$8:AH$1039,$O$8:$O$1039,O521,$AB$8:$AB$1039,AB521,$R$8:$R$1039,R521,$AA$8:$AA$1039,"&lt;="&amp;AA521)</f>
        <v>0</v>
      </c>
      <c r="AK521" s="1">
        <f>C49</f>
        <v>0</v>
      </c>
      <c r="AL521" s="1">
        <f>C55</f>
        <v>0</v>
      </c>
      <c r="AM521" s="1">
        <f t="shared" ref="AM521:AM584" si="46">MAX(0,AJ521-AK521)</f>
        <v>0</v>
      </c>
      <c r="AN521" s="1">
        <f t="shared" ref="AN521:AN584" si="47">IF(AM521=0,AH521,IF(AM521&gt;=AH521,0,AH521-AM521))</f>
        <v>0</v>
      </c>
      <c r="AO521" s="1">
        <f t="shared" ref="AO521:AO584" si="48">IF(AM521&gt;=AH521,AI521,AI521*AM521/AH521)</f>
        <v>0</v>
      </c>
      <c r="AP521" t="b" cm="1">
        <f t="array" ref="AP521">INDEX($AU$8:$BB$25,6*(R521-1)+MATCH(AB521,$AS$8:$AS$13,0),MATCH(O521,$AU$7:$BB$7,0))</f>
        <v>1</v>
      </c>
    </row>
    <row r="522" spans="15:42" ht="14.25" x14ac:dyDescent="0.45">
      <c r="O522" s="43" t="s">
        <v>32</v>
      </c>
      <c r="P522" s="43">
        <v>3</v>
      </c>
      <c r="Q522" s="43">
        <v>17</v>
      </c>
      <c r="R522" s="43">
        <v>2</v>
      </c>
      <c r="S522" s="45"/>
      <c r="T522" t="b">
        <f>(S521+S522+S523)=Q4</f>
        <v>0</v>
      </c>
      <c r="X522" s="1">
        <f t="shared" si="44"/>
        <v>0</v>
      </c>
      <c r="Y522" s="48">
        <v>0</v>
      </c>
      <c r="AA522" s="1">
        <v>1</v>
      </c>
      <c r="AB522" s="1" t="s">
        <v>16</v>
      </c>
      <c r="AC522" s="1" t="s">
        <v>22</v>
      </c>
      <c r="AD522" s="1">
        <v>14</v>
      </c>
      <c r="AE522" s="1">
        <v>13</v>
      </c>
      <c r="AF522" s="1">
        <v>0.8</v>
      </c>
      <c r="AG522" s="1">
        <v>0.9</v>
      </c>
      <c r="AH522" s="1">
        <v>0</v>
      </c>
      <c r="AI522" s="1">
        <v>0</v>
      </c>
      <c r="AJ522" s="1">
        <f t="shared" si="45"/>
        <v>0</v>
      </c>
      <c r="AK522" s="1">
        <f>D49</f>
        <v>0</v>
      </c>
      <c r="AL522" s="1">
        <f>D55</f>
        <v>0</v>
      </c>
      <c r="AM522" s="1">
        <f t="shared" si="46"/>
        <v>0</v>
      </c>
      <c r="AN522" s="1">
        <f t="shared" si="47"/>
        <v>0</v>
      </c>
      <c r="AO522" s="1">
        <f t="shared" si="48"/>
        <v>0</v>
      </c>
      <c r="AP522" t="b" cm="1">
        <f t="array" ref="AP522">INDEX($AU$8:$BB$25,6*(R522-1)+MATCH(AB522,$AS$8:$AS$13,0),MATCH(O522,$AU$7:$BB$7,0))</f>
        <v>1</v>
      </c>
    </row>
    <row r="523" spans="15:42" ht="14.25" x14ac:dyDescent="0.45">
      <c r="O523" s="43" t="s">
        <v>32</v>
      </c>
      <c r="P523" s="43">
        <v>3</v>
      </c>
      <c r="Q523" s="43">
        <v>17</v>
      </c>
      <c r="R523" s="43">
        <v>3</v>
      </c>
      <c r="S523" s="45"/>
      <c r="T523" t="b">
        <f>(S521+S522+S523)=Q4</f>
        <v>0</v>
      </c>
      <c r="X523" s="1">
        <f t="shared" si="44"/>
        <v>0</v>
      </c>
      <c r="Y523" s="48">
        <v>0</v>
      </c>
      <c r="AA523" s="1">
        <v>1</v>
      </c>
      <c r="AB523" s="1" t="s">
        <v>16</v>
      </c>
      <c r="AC523" s="1" t="s">
        <v>22</v>
      </c>
      <c r="AD523" s="1">
        <v>14</v>
      </c>
      <c r="AE523" s="1">
        <v>13</v>
      </c>
      <c r="AF523" s="1">
        <v>0.8</v>
      </c>
      <c r="AG523" s="1">
        <v>0.9</v>
      </c>
      <c r="AH523" s="1">
        <v>0</v>
      </c>
      <c r="AI523" s="1">
        <v>0</v>
      </c>
      <c r="AJ523" s="1">
        <f t="shared" si="45"/>
        <v>0</v>
      </c>
      <c r="AK523" s="1">
        <f>E49</f>
        <v>0</v>
      </c>
      <c r="AL523" s="1">
        <f>E55</f>
        <v>0</v>
      </c>
      <c r="AM523" s="1">
        <f t="shared" si="46"/>
        <v>0</v>
      </c>
      <c r="AN523" s="1">
        <f t="shared" si="47"/>
        <v>0</v>
      </c>
      <c r="AO523" s="1">
        <f t="shared" si="48"/>
        <v>0</v>
      </c>
      <c r="AP523" t="b" cm="1">
        <f t="array" ref="AP523">INDEX($AU$8:$BB$25,6*(R523-1)+MATCH(AB523,$AS$8:$AS$13,0),MATCH(O523,$AU$7:$BB$7,0))</f>
        <v>1</v>
      </c>
    </row>
    <row r="524" spans="15:42" ht="14.25" x14ac:dyDescent="0.45">
      <c r="O524" s="43" t="s">
        <v>33</v>
      </c>
      <c r="P524" s="43">
        <v>1</v>
      </c>
      <c r="Q524" s="43">
        <v>1</v>
      </c>
      <c r="R524" s="43">
        <v>1</v>
      </c>
      <c r="S524" s="45"/>
      <c r="T524" t="b">
        <f>(S524+S525+S526)=R2</f>
        <v>0</v>
      </c>
      <c r="X524" s="1">
        <v>0</v>
      </c>
      <c r="Y524" s="48">
        <v>0</v>
      </c>
      <c r="AA524" s="1">
        <v>4</v>
      </c>
      <c r="AB524" s="1" t="s">
        <v>14</v>
      </c>
      <c r="AC524" s="1" t="s">
        <v>20</v>
      </c>
      <c r="AD524" s="1">
        <v>14</v>
      </c>
      <c r="AE524" s="1">
        <v>12</v>
      </c>
      <c r="AF524" s="1">
        <v>0.8</v>
      </c>
      <c r="AG524" s="1">
        <v>0.88</v>
      </c>
      <c r="AH524" s="1">
        <v>0</v>
      </c>
      <c r="AI524" s="1">
        <v>0</v>
      </c>
      <c r="AJ524" s="1">
        <f t="shared" si="45"/>
        <v>0</v>
      </c>
      <c r="AK524" s="1">
        <f>C59</f>
        <v>0</v>
      </c>
      <c r="AL524" s="1">
        <f>C65</f>
        <v>0</v>
      </c>
      <c r="AM524" s="1">
        <f t="shared" si="46"/>
        <v>0</v>
      </c>
      <c r="AN524" s="1">
        <f t="shared" si="47"/>
        <v>0</v>
      </c>
      <c r="AO524" s="1">
        <f t="shared" si="48"/>
        <v>0</v>
      </c>
      <c r="AP524" t="b" cm="1">
        <f t="array" ref="AP524">INDEX($AU$8:$BB$25,6*(R524-1)+MATCH(AB524,$AS$8:$AS$13,0),MATCH(O524,$AU$7:$BB$7,0))</f>
        <v>1</v>
      </c>
    </row>
    <row r="525" spans="15:42" ht="14.25" x14ac:dyDescent="0.45">
      <c r="O525" s="43" t="s">
        <v>33</v>
      </c>
      <c r="P525" s="43">
        <v>1</v>
      </c>
      <c r="Q525" s="43">
        <v>1</v>
      </c>
      <c r="R525" s="43">
        <v>2</v>
      </c>
      <c r="S525" s="45"/>
      <c r="T525" t="b">
        <f>(S524+S525+S526)=R2</f>
        <v>0</v>
      </c>
      <c r="X525" s="1">
        <v>0</v>
      </c>
      <c r="Y525" s="48">
        <v>0</v>
      </c>
      <c r="AA525" s="1">
        <v>4</v>
      </c>
      <c r="AB525" s="1" t="s">
        <v>14</v>
      </c>
      <c r="AC525" s="1" t="s">
        <v>20</v>
      </c>
      <c r="AD525" s="1">
        <v>14</v>
      </c>
      <c r="AE525" s="1">
        <v>12</v>
      </c>
      <c r="AF525" s="1">
        <v>0.8</v>
      </c>
      <c r="AG525" s="1">
        <v>0.88</v>
      </c>
      <c r="AH525" s="1">
        <v>0</v>
      </c>
      <c r="AI525" s="1">
        <v>0</v>
      </c>
      <c r="AJ525" s="1">
        <f t="shared" si="45"/>
        <v>0</v>
      </c>
      <c r="AK525" s="1">
        <f>D59</f>
        <v>0</v>
      </c>
      <c r="AL525" s="1">
        <f>D65</f>
        <v>0</v>
      </c>
      <c r="AM525" s="1">
        <f t="shared" si="46"/>
        <v>0</v>
      </c>
      <c r="AN525" s="1">
        <f t="shared" si="47"/>
        <v>0</v>
      </c>
      <c r="AO525" s="1">
        <f t="shared" si="48"/>
        <v>0</v>
      </c>
      <c r="AP525" t="b" cm="1">
        <f t="array" ref="AP525">INDEX($AU$8:$BB$25,6*(R525-1)+MATCH(AB525,$AS$8:$AS$13,0),MATCH(O525,$AU$7:$BB$7,0))</f>
        <v>1</v>
      </c>
    </row>
    <row r="526" spans="15:42" ht="14.25" x14ac:dyDescent="0.45">
      <c r="O526" s="43" t="s">
        <v>33</v>
      </c>
      <c r="P526" s="43">
        <v>1</v>
      </c>
      <c r="Q526" s="43">
        <v>1</v>
      </c>
      <c r="R526" s="43">
        <v>3</v>
      </c>
      <c r="S526" s="45"/>
      <c r="T526" t="b">
        <f>(S524+S525+S526)=R2</f>
        <v>0</v>
      </c>
      <c r="X526" s="1">
        <v>0</v>
      </c>
      <c r="Y526" s="48">
        <v>0</v>
      </c>
      <c r="AA526" s="1">
        <v>4</v>
      </c>
      <c r="AB526" s="1" t="s">
        <v>14</v>
      </c>
      <c r="AC526" s="1" t="s">
        <v>20</v>
      </c>
      <c r="AD526" s="1">
        <v>14</v>
      </c>
      <c r="AE526" s="1">
        <v>12</v>
      </c>
      <c r="AF526" s="1">
        <v>0.8</v>
      </c>
      <c r="AG526" s="1">
        <v>0.88</v>
      </c>
      <c r="AH526" s="1">
        <v>0</v>
      </c>
      <c r="AI526" s="1">
        <v>0</v>
      </c>
      <c r="AJ526" s="1">
        <f t="shared" si="45"/>
        <v>0</v>
      </c>
      <c r="AK526" s="1">
        <f>E59</f>
        <v>0</v>
      </c>
      <c r="AL526" s="1">
        <f>E65</f>
        <v>0</v>
      </c>
      <c r="AM526" s="1">
        <f t="shared" si="46"/>
        <v>0</v>
      </c>
      <c r="AN526" s="1">
        <f t="shared" si="47"/>
        <v>0</v>
      </c>
      <c r="AO526" s="1">
        <f t="shared" si="48"/>
        <v>0</v>
      </c>
      <c r="AP526" t="b" cm="1">
        <f t="array" ref="AP526">INDEX($AU$8:$BB$25,6*(R526-1)+MATCH(AB526,$AS$8:$AS$13,0),MATCH(O526,$AU$7:$BB$7,0))</f>
        <v>1</v>
      </c>
    </row>
    <row r="527" spans="15:42" ht="14.25" x14ac:dyDescent="0.45">
      <c r="O527" s="43" t="s">
        <v>33</v>
      </c>
      <c r="P527" s="43">
        <v>1</v>
      </c>
      <c r="Q527" s="43">
        <v>2</v>
      </c>
      <c r="R527" s="43">
        <v>1</v>
      </c>
      <c r="S527" s="45"/>
      <c r="T527" t="b">
        <f>(S527+S528+S529)=R2</f>
        <v>0</v>
      </c>
      <c r="X527" s="1">
        <f>MAX(S524-S527,0)</f>
        <v>0</v>
      </c>
      <c r="Y527" s="48">
        <v>0</v>
      </c>
      <c r="AA527" s="1">
        <v>10</v>
      </c>
      <c r="AB527" s="1" t="s">
        <v>16</v>
      </c>
      <c r="AC527" s="1" t="s">
        <v>22</v>
      </c>
      <c r="AD527" s="1">
        <v>25</v>
      </c>
      <c r="AE527" s="1">
        <v>21</v>
      </c>
      <c r="AF527" s="1">
        <v>0.8</v>
      </c>
      <c r="AG527" s="1">
        <v>0.9</v>
      </c>
      <c r="AH527" s="1">
        <v>0</v>
      </c>
      <c r="AI527" s="1">
        <v>0</v>
      </c>
      <c r="AJ527" s="1">
        <f t="shared" si="45"/>
        <v>0</v>
      </c>
      <c r="AK527" s="1">
        <f>C61</f>
        <v>0</v>
      </c>
      <c r="AL527" s="1">
        <f>C67</f>
        <v>0</v>
      </c>
      <c r="AM527" s="1">
        <f t="shared" si="46"/>
        <v>0</v>
      </c>
      <c r="AN527" s="1">
        <f t="shared" si="47"/>
        <v>0</v>
      </c>
      <c r="AO527" s="1">
        <f t="shared" si="48"/>
        <v>0</v>
      </c>
      <c r="AP527" t="b" cm="1">
        <f t="array" ref="AP527">INDEX($AU$8:$BB$25,6*(R527-1)+MATCH(AB527,$AS$8:$AS$13,0),MATCH(O527,$AU$7:$BB$7,0))</f>
        <v>1</v>
      </c>
    </row>
    <row r="528" spans="15:42" ht="14.25" x14ac:dyDescent="0.45">
      <c r="O528" s="43" t="s">
        <v>33</v>
      </c>
      <c r="P528" s="43">
        <v>1</v>
      </c>
      <c r="Q528" s="43">
        <v>2</v>
      </c>
      <c r="R528" s="43">
        <v>2</v>
      </c>
      <c r="S528" s="45"/>
      <c r="T528" t="b">
        <f>(S527+S528+S529)=R2</f>
        <v>0</v>
      </c>
      <c r="X528" s="1">
        <f t="shared" ref="X528:X556" si="49">MAX(S525-S528,0)</f>
        <v>0</v>
      </c>
      <c r="Y528" s="48">
        <v>0</v>
      </c>
      <c r="AA528" s="1">
        <v>10</v>
      </c>
      <c r="AB528" s="1" t="s">
        <v>16</v>
      </c>
      <c r="AC528" s="1" t="s">
        <v>22</v>
      </c>
      <c r="AD528" s="1">
        <v>25</v>
      </c>
      <c r="AE528" s="1">
        <v>21</v>
      </c>
      <c r="AF528" s="1">
        <v>0.8</v>
      </c>
      <c r="AG528" s="1">
        <v>0.9</v>
      </c>
      <c r="AH528" s="1">
        <v>0</v>
      </c>
      <c r="AI528" s="1">
        <v>0</v>
      </c>
      <c r="AJ528" s="1">
        <f t="shared" si="45"/>
        <v>0</v>
      </c>
      <c r="AK528" s="1">
        <f>D61</f>
        <v>0</v>
      </c>
      <c r="AL528" s="1">
        <f>D67</f>
        <v>0</v>
      </c>
      <c r="AM528" s="1">
        <f t="shared" si="46"/>
        <v>0</v>
      </c>
      <c r="AN528" s="1">
        <f t="shared" si="47"/>
        <v>0</v>
      </c>
      <c r="AO528" s="1">
        <f t="shared" si="48"/>
        <v>0</v>
      </c>
      <c r="AP528" t="b" cm="1">
        <f t="array" ref="AP528">INDEX($AU$8:$BB$25,6*(R528-1)+MATCH(AB528,$AS$8:$AS$13,0),MATCH(O528,$AU$7:$BB$7,0))</f>
        <v>1</v>
      </c>
    </row>
    <row r="529" spans="15:42" ht="14.25" x14ac:dyDescent="0.45">
      <c r="O529" s="43" t="s">
        <v>33</v>
      </c>
      <c r="P529" s="43">
        <v>1</v>
      </c>
      <c r="Q529" s="43">
        <v>2</v>
      </c>
      <c r="R529" s="43">
        <v>3</v>
      </c>
      <c r="S529" s="45"/>
      <c r="T529" t="b">
        <f>(S527+S528+S529)=R2</f>
        <v>0</v>
      </c>
      <c r="X529" s="1">
        <f t="shared" si="49"/>
        <v>0</v>
      </c>
      <c r="Y529" s="48">
        <v>0</v>
      </c>
      <c r="AA529" s="1">
        <v>10</v>
      </c>
      <c r="AB529" s="1" t="s">
        <v>16</v>
      </c>
      <c r="AC529" s="1" t="s">
        <v>22</v>
      </c>
      <c r="AD529" s="1">
        <v>25</v>
      </c>
      <c r="AE529" s="1">
        <v>21</v>
      </c>
      <c r="AF529" s="1">
        <v>0.8</v>
      </c>
      <c r="AG529" s="1">
        <v>0.9</v>
      </c>
      <c r="AH529" s="1">
        <v>0</v>
      </c>
      <c r="AI529" s="1">
        <v>0</v>
      </c>
      <c r="AJ529" s="1">
        <f t="shared" si="45"/>
        <v>0</v>
      </c>
      <c r="AK529" s="1">
        <f>E61</f>
        <v>0</v>
      </c>
      <c r="AL529" s="1">
        <f>E67</f>
        <v>0</v>
      </c>
      <c r="AM529" s="1">
        <f t="shared" si="46"/>
        <v>0</v>
      </c>
      <c r="AN529" s="1">
        <f t="shared" si="47"/>
        <v>0</v>
      </c>
      <c r="AO529" s="1">
        <f t="shared" si="48"/>
        <v>0</v>
      </c>
      <c r="AP529" t="b" cm="1">
        <f t="array" ref="AP529">INDEX($AU$8:$BB$25,6*(R529-1)+MATCH(AB529,$AS$8:$AS$13,0),MATCH(O529,$AU$7:$BB$7,0))</f>
        <v>1</v>
      </c>
    </row>
    <row r="530" spans="15:42" ht="14.25" x14ac:dyDescent="0.45">
      <c r="O530" s="43" t="s">
        <v>33</v>
      </c>
      <c r="P530" s="43">
        <v>1</v>
      </c>
      <c r="Q530" s="43">
        <v>3</v>
      </c>
      <c r="R530" s="43">
        <v>1</v>
      </c>
      <c r="S530" s="45"/>
      <c r="T530" t="b">
        <f>(S530+S531+S532)=R2</f>
        <v>0</v>
      </c>
      <c r="X530" s="1">
        <f t="shared" si="49"/>
        <v>0</v>
      </c>
      <c r="Y530" s="48">
        <v>0</v>
      </c>
      <c r="AA530" s="1">
        <v>8</v>
      </c>
      <c r="AB530" s="1" t="s">
        <v>16</v>
      </c>
      <c r="AC530" s="1" t="s">
        <v>22</v>
      </c>
      <c r="AD530" s="1">
        <v>27</v>
      </c>
      <c r="AE530" s="1">
        <v>23</v>
      </c>
      <c r="AF530" s="1">
        <v>0.8</v>
      </c>
      <c r="AG530" s="1">
        <v>0.9</v>
      </c>
      <c r="AH530" s="1">
        <v>0</v>
      </c>
      <c r="AI530" s="1">
        <v>0</v>
      </c>
      <c r="AJ530" s="1">
        <f t="shared" si="45"/>
        <v>0</v>
      </c>
      <c r="AK530" s="1">
        <f>C61</f>
        <v>0</v>
      </c>
      <c r="AL530" s="1">
        <f>C67</f>
        <v>0</v>
      </c>
      <c r="AM530" s="1">
        <f t="shared" si="46"/>
        <v>0</v>
      </c>
      <c r="AN530" s="1">
        <f t="shared" si="47"/>
        <v>0</v>
      </c>
      <c r="AO530" s="1">
        <f t="shared" si="48"/>
        <v>0</v>
      </c>
      <c r="AP530" t="b" cm="1">
        <f t="array" ref="AP530">INDEX($AU$8:$BB$25,6*(R530-1)+MATCH(AB530,$AS$8:$AS$13,0),MATCH(O530,$AU$7:$BB$7,0))</f>
        <v>1</v>
      </c>
    </row>
    <row r="531" spans="15:42" ht="14.25" x14ac:dyDescent="0.45">
      <c r="O531" s="43" t="s">
        <v>33</v>
      </c>
      <c r="P531" s="43">
        <v>1</v>
      </c>
      <c r="Q531" s="43">
        <v>3</v>
      </c>
      <c r="R531" s="43">
        <v>2</v>
      </c>
      <c r="S531" s="45"/>
      <c r="T531" t="b">
        <f>(S530+S531+S532)=R2</f>
        <v>0</v>
      </c>
      <c r="X531" s="1">
        <f t="shared" si="49"/>
        <v>0</v>
      </c>
      <c r="Y531" s="48">
        <v>0</v>
      </c>
      <c r="AA531" s="1">
        <v>8</v>
      </c>
      <c r="AB531" s="1" t="s">
        <v>16</v>
      </c>
      <c r="AC531" s="1" t="s">
        <v>22</v>
      </c>
      <c r="AD531" s="1">
        <v>27</v>
      </c>
      <c r="AE531" s="1">
        <v>23</v>
      </c>
      <c r="AF531" s="1">
        <v>0.8</v>
      </c>
      <c r="AG531" s="1">
        <v>0.9</v>
      </c>
      <c r="AH531" s="1">
        <v>0</v>
      </c>
      <c r="AI531" s="1">
        <v>0</v>
      </c>
      <c r="AJ531" s="1">
        <f t="shared" si="45"/>
        <v>0</v>
      </c>
      <c r="AK531" s="1">
        <f>D61</f>
        <v>0</v>
      </c>
      <c r="AL531" s="1">
        <f>D67</f>
        <v>0</v>
      </c>
      <c r="AM531" s="1">
        <f t="shared" si="46"/>
        <v>0</v>
      </c>
      <c r="AN531" s="1">
        <f t="shared" si="47"/>
        <v>0</v>
      </c>
      <c r="AO531" s="1">
        <f t="shared" si="48"/>
        <v>0</v>
      </c>
      <c r="AP531" t="b" cm="1">
        <f t="array" ref="AP531">INDEX($AU$8:$BB$25,6*(R531-1)+MATCH(AB531,$AS$8:$AS$13,0),MATCH(O531,$AU$7:$BB$7,0))</f>
        <v>1</v>
      </c>
    </row>
    <row r="532" spans="15:42" ht="14.25" x14ac:dyDescent="0.45">
      <c r="O532" s="43" t="s">
        <v>33</v>
      </c>
      <c r="P532" s="43">
        <v>1</v>
      </c>
      <c r="Q532" s="43">
        <v>3</v>
      </c>
      <c r="R532" s="43">
        <v>3</v>
      </c>
      <c r="S532" s="45"/>
      <c r="T532" t="b">
        <f>(S530+S531+S532)=R2</f>
        <v>0</v>
      </c>
      <c r="X532" s="1">
        <f t="shared" si="49"/>
        <v>0</v>
      </c>
      <c r="Y532" s="48">
        <v>0</v>
      </c>
      <c r="AA532" s="1">
        <v>8</v>
      </c>
      <c r="AB532" s="1" t="s">
        <v>16</v>
      </c>
      <c r="AC532" s="1" t="s">
        <v>22</v>
      </c>
      <c r="AD532" s="1">
        <v>27</v>
      </c>
      <c r="AE532" s="1">
        <v>23</v>
      </c>
      <c r="AF532" s="1">
        <v>0.8</v>
      </c>
      <c r="AG532" s="1">
        <v>0.9</v>
      </c>
      <c r="AH532" s="1">
        <v>0</v>
      </c>
      <c r="AI532" s="1">
        <v>0</v>
      </c>
      <c r="AJ532" s="1">
        <f t="shared" si="45"/>
        <v>0</v>
      </c>
      <c r="AK532" s="1">
        <f>E61</f>
        <v>0</v>
      </c>
      <c r="AL532" s="1">
        <f>E67</f>
        <v>0</v>
      </c>
      <c r="AM532" s="1">
        <f t="shared" si="46"/>
        <v>0</v>
      </c>
      <c r="AN532" s="1">
        <f t="shared" si="47"/>
        <v>0</v>
      </c>
      <c r="AO532" s="1">
        <f t="shared" si="48"/>
        <v>0</v>
      </c>
      <c r="AP532" t="b" cm="1">
        <f t="array" ref="AP532">INDEX($AU$8:$BB$25,6*(R532-1)+MATCH(AB532,$AS$8:$AS$13,0),MATCH(O532,$AU$7:$BB$7,0))</f>
        <v>1</v>
      </c>
    </row>
    <row r="533" spans="15:42" ht="14.25" x14ac:dyDescent="0.45">
      <c r="O533" s="43" t="s">
        <v>33</v>
      </c>
      <c r="P533" s="43">
        <v>1</v>
      </c>
      <c r="Q533" s="43">
        <v>4</v>
      </c>
      <c r="R533" s="43">
        <v>1</v>
      </c>
      <c r="S533" s="45"/>
      <c r="T533" t="b">
        <f>(S533+S534+S535)=R2</f>
        <v>0</v>
      </c>
      <c r="X533" s="1">
        <f t="shared" si="49"/>
        <v>0</v>
      </c>
      <c r="Y533" s="48">
        <v>0</v>
      </c>
      <c r="AA533" s="1">
        <v>3</v>
      </c>
      <c r="AB533" s="1" t="s">
        <v>10</v>
      </c>
      <c r="AC533" s="1" t="s">
        <v>17</v>
      </c>
      <c r="AD533" s="1">
        <v>20</v>
      </c>
      <c r="AE533" s="1">
        <v>16</v>
      </c>
      <c r="AF533" s="1">
        <v>0.78</v>
      </c>
      <c r="AG533" s="1">
        <v>0.84</v>
      </c>
      <c r="AH533" s="1">
        <v>0</v>
      </c>
      <c r="AI533" s="1">
        <v>0</v>
      </c>
      <c r="AJ533" s="1">
        <f t="shared" si="45"/>
        <v>0</v>
      </c>
      <c r="AK533" s="1">
        <f>C56</f>
        <v>0</v>
      </c>
      <c r="AL533" s="1">
        <f>C62</f>
        <v>0</v>
      </c>
      <c r="AM533" s="1">
        <f t="shared" si="46"/>
        <v>0</v>
      </c>
      <c r="AN533" s="1">
        <f t="shared" si="47"/>
        <v>0</v>
      </c>
      <c r="AO533" s="1">
        <f t="shared" si="48"/>
        <v>0</v>
      </c>
      <c r="AP533" t="b" cm="1">
        <f t="array" ref="AP533">INDEX($AU$8:$BB$25,6*(R533-1)+MATCH(AB533,$AS$8:$AS$13,0),MATCH(O533,$AU$7:$BB$7,0))</f>
        <v>1</v>
      </c>
    </row>
    <row r="534" spans="15:42" ht="14.25" x14ac:dyDescent="0.45">
      <c r="O534" s="43" t="s">
        <v>33</v>
      </c>
      <c r="P534" s="43">
        <v>1</v>
      </c>
      <c r="Q534" s="43">
        <v>4</v>
      </c>
      <c r="R534" s="43">
        <v>2</v>
      </c>
      <c r="S534" s="45"/>
      <c r="T534" t="b">
        <f>(S533+S534+S535)=R2</f>
        <v>0</v>
      </c>
      <c r="X534" s="1">
        <f t="shared" si="49"/>
        <v>0</v>
      </c>
      <c r="Y534" s="48">
        <v>0</v>
      </c>
      <c r="AA534" s="1">
        <v>3</v>
      </c>
      <c r="AB534" s="1" t="s">
        <v>10</v>
      </c>
      <c r="AC534" s="1" t="s">
        <v>17</v>
      </c>
      <c r="AD534" s="1">
        <v>20</v>
      </c>
      <c r="AE534" s="1">
        <v>16</v>
      </c>
      <c r="AF534" s="1">
        <v>0.78</v>
      </c>
      <c r="AG534" s="1">
        <v>0.84</v>
      </c>
      <c r="AH534" s="1">
        <v>0</v>
      </c>
      <c r="AI534" s="1">
        <v>0</v>
      </c>
      <c r="AJ534" s="1">
        <f t="shared" si="45"/>
        <v>0</v>
      </c>
      <c r="AK534" s="1">
        <f>D56</f>
        <v>0</v>
      </c>
      <c r="AL534" s="1">
        <f>D62</f>
        <v>0</v>
      </c>
      <c r="AM534" s="1">
        <f t="shared" si="46"/>
        <v>0</v>
      </c>
      <c r="AN534" s="1">
        <f t="shared" si="47"/>
        <v>0</v>
      </c>
      <c r="AO534" s="1">
        <f t="shared" si="48"/>
        <v>0</v>
      </c>
      <c r="AP534" t="b" cm="1">
        <f t="array" ref="AP534">INDEX($AU$8:$BB$25,6*(R534-1)+MATCH(AB534,$AS$8:$AS$13,0),MATCH(O534,$AU$7:$BB$7,0))</f>
        <v>1</v>
      </c>
    </row>
    <row r="535" spans="15:42" ht="14.25" x14ac:dyDescent="0.45">
      <c r="O535" s="43" t="s">
        <v>33</v>
      </c>
      <c r="P535" s="43">
        <v>1</v>
      </c>
      <c r="Q535" s="43">
        <v>4</v>
      </c>
      <c r="R535" s="43">
        <v>3</v>
      </c>
      <c r="S535" s="45"/>
      <c r="T535" t="b">
        <f>(S533+S534+S535)=R2</f>
        <v>0</v>
      </c>
      <c r="X535" s="1">
        <f t="shared" si="49"/>
        <v>0</v>
      </c>
      <c r="Y535" s="48">
        <v>0</v>
      </c>
      <c r="AA535" s="1">
        <v>3</v>
      </c>
      <c r="AB535" s="1" t="s">
        <v>10</v>
      </c>
      <c r="AC535" s="1" t="s">
        <v>17</v>
      </c>
      <c r="AD535" s="1">
        <v>20</v>
      </c>
      <c r="AE535" s="1">
        <v>16</v>
      </c>
      <c r="AF535" s="1">
        <v>0.78</v>
      </c>
      <c r="AG535" s="1">
        <v>0.84</v>
      </c>
      <c r="AH535" s="1">
        <v>0</v>
      </c>
      <c r="AI535" s="1">
        <v>0</v>
      </c>
      <c r="AJ535" s="1">
        <f t="shared" si="45"/>
        <v>0</v>
      </c>
      <c r="AK535" s="1">
        <f>E56</f>
        <v>0</v>
      </c>
      <c r="AL535" s="1">
        <f>E62</f>
        <v>0</v>
      </c>
      <c r="AM535" s="1">
        <f t="shared" si="46"/>
        <v>0</v>
      </c>
      <c r="AN535" s="1">
        <f t="shared" si="47"/>
        <v>0</v>
      </c>
      <c r="AO535" s="1">
        <f t="shared" si="48"/>
        <v>0</v>
      </c>
      <c r="AP535" t="b" cm="1">
        <f t="array" ref="AP535">INDEX($AU$8:$BB$25,6*(R535-1)+MATCH(AB535,$AS$8:$AS$13,0),MATCH(O535,$AU$7:$BB$7,0))</f>
        <v>1</v>
      </c>
    </row>
    <row r="536" spans="15:42" ht="14.25" x14ac:dyDescent="0.45">
      <c r="O536" s="43" t="s">
        <v>33</v>
      </c>
      <c r="P536" s="43">
        <v>1</v>
      </c>
      <c r="Q536" s="43">
        <v>5</v>
      </c>
      <c r="R536" s="43">
        <v>1</v>
      </c>
      <c r="S536" s="45"/>
      <c r="T536" t="b">
        <f>(S536+S537+S538)=R2</f>
        <v>0</v>
      </c>
      <c r="X536" s="1">
        <f t="shared" si="49"/>
        <v>0</v>
      </c>
      <c r="Y536" s="48">
        <v>0</v>
      </c>
      <c r="AA536" s="1">
        <v>11</v>
      </c>
      <c r="AB536" s="1" t="s">
        <v>16</v>
      </c>
      <c r="AC536" s="1" t="s">
        <v>22</v>
      </c>
      <c r="AD536" s="1">
        <v>12</v>
      </c>
      <c r="AE536" s="1">
        <v>9</v>
      </c>
      <c r="AF536" s="1">
        <v>0.8</v>
      </c>
      <c r="AG536" s="1">
        <v>0.9</v>
      </c>
      <c r="AH536" s="1">
        <v>0</v>
      </c>
      <c r="AI536" s="1">
        <v>0</v>
      </c>
      <c r="AJ536" s="1">
        <f t="shared" si="45"/>
        <v>0</v>
      </c>
      <c r="AK536" s="1">
        <f>C61</f>
        <v>0</v>
      </c>
      <c r="AL536" s="1">
        <f>C67</f>
        <v>0</v>
      </c>
      <c r="AM536" s="1">
        <f t="shared" si="46"/>
        <v>0</v>
      </c>
      <c r="AN536" s="1">
        <f t="shared" si="47"/>
        <v>0</v>
      </c>
      <c r="AO536" s="1">
        <f t="shared" si="48"/>
        <v>0</v>
      </c>
      <c r="AP536" t="b" cm="1">
        <f t="array" ref="AP536">INDEX($AU$8:$BB$25,6*(R536-1)+MATCH(AB536,$AS$8:$AS$13,0),MATCH(O536,$AU$7:$BB$7,0))</f>
        <v>1</v>
      </c>
    </row>
    <row r="537" spans="15:42" ht="14.25" x14ac:dyDescent="0.45">
      <c r="O537" s="43" t="s">
        <v>33</v>
      </c>
      <c r="P537" s="43">
        <v>1</v>
      </c>
      <c r="Q537" s="43">
        <v>5</v>
      </c>
      <c r="R537" s="43">
        <v>2</v>
      </c>
      <c r="S537" s="45"/>
      <c r="T537" t="b">
        <f>(S536+S537+S538)=R2</f>
        <v>0</v>
      </c>
      <c r="X537" s="1">
        <f t="shared" si="49"/>
        <v>0</v>
      </c>
      <c r="Y537" s="48">
        <v>0</v>
      </c>
      <c r="AA537" s="1">
        <v>11</v>
      </c>
      <c r="AB537" s="1" t="s">
        <v>16</v>
      </c>
      <c r="AC537" s="1" t="s">
        <v>22</v>
      </c>
      <c r="AD537" s="1">
        <v>12</v>
      </c>
      <c r="AE537" s="1">
        <v>9</v>
      </c>
      <c r="AF537" s="1">
        <v>0.8</v>
      </c>
      <c r="AG537" s="1">
        <v>0.9</v>
      </c>
      <c r="AH537" s="1">
        <v>0</v>
      </c>
      <c r="AI537" s="1">
        <v>0</v>
      </c>
      <c r="AJ537" s="1">
        <f t="shared" si="45"/>
        <v>0</v>
      </c>
      <c r="AK537" s="1">
        <f>D61</f>
        <v>0</v>
      </c>
      <c r="AL537" s="1">
        <f>D67</f>
        <v>0</v>
      </c>
      <c r="AM537" s="1">
        <f t="shared" si="46"/>
        <v>0</v>
      </c>
      <c r="AN537" s="1">
        <f t="shared" si="47"/>
        <v>0</v>
      </c>
      <c r="AO537" s="1">
        <f t="shared" si="48"/>
        <v>0</v>
      </c>
      <c r="AP537" t="b" cm="1">
        <f t="array" ref="AP537">INDEX($AU$8:$BB$25,6*(R537-1)+MATCH(AB537,$AS$8:$AS$13,0),MATCH(O537,$AU$7:$BB$7,0))</f>
        <v>1</v>
      </c>
    </row>
    <row r="538" spans="15:42" ht="14.25" x14ac:dyDescent="0.45">
      <c r="O538" s="43" t="s">
        <v>33</v>
      </c>
      <c r="P538" s="43">
        <v>1</v>
      </c>
      <c r="Q538" s="43">
        <v>5</v>
      </c>
      <c r="R538" s="43">
        <v>3</v>
      </c>
      <c r="S538" s="45"/>
      <c r="T538" t="b">
        <f>(S536+S537+S538)=R2</f>
        <v>0</v>
      </c>
      <c r="X538" s="1">
        <f t="shared" si="49"/>
        <v>0</v>
      </c>
      <c r="Y538" s="48">
        <v>0</v>
      </c>
      <c r="AA538" s="1">
        <v>11</v>
      </c>
      <c r="AB538" s="1" t="s">
        <v>16</v>
      </c>
      <c r="AC538" s="1" t="s">
        <v>22</v>
      </c>
      <c r="AD538" s="1">
        <v>12</v>
      </c>
      <c r="AE538" s="1">
        <v>9</v>
      </c>
      <c r="AF538" s="1">
        <v>0.8</v>
      </c>
      <c r="AG538" s="1">
        <v>0.9</v>
      </c>
      <c r="AH538" s="1">
        <v>0</v>
      </c>
      <c r="AI538" s="1">
        <v>0</v>
      </c>
      <c r="AJ538" s="1">
        <f t="shared" si="45"/>
        <v>0</v>
      </c>
      <c r="AK538" s="1">
        <f>E61</f>
        <v>0</v>
      </c>
      <c r="AL538" s="1">
        <f>E67</f>
        <v>0</v>
      </c>
      <c r="AM538" s="1">
        <f t="shared" si="46"/>
        <v>0</v>
      </c>
      <c r="AN538" s="1">
        <f t="shared" si="47"/>
        <v>0</v>
      </c>
      <c r="AO538" s="1">
        <f t="shared" si="48"/>
        <v>0</v>
      </c>
      <c r="AP538" t="b" cm="1">
        <f t="array" ref="AP538">INDEX($AU$8:$BB$25,6*(R538-1)+MATCH(AB538,$AS$8:$AS$13,0),MATCH(O538,$AU$7:$BB$7,0))</f>
        <v>1</v>
      </c>
    </row>
    <row r="539" spans="15:42" ht="14.25" x14ac:dyDescent="0.45">
      <c r="O539" s="43" t="s">
        <v>33</v>
      </c>
      <c r="P539" s="43">
        <v>1</v>
      </c>
      <c r="Q539" s="43">
        <v>6</v>
      </c>
      <c r="R539" s="43">
        <v>1</v>
      </c>
      <c r="S539" s="45"/>
      <c r="T539" t="b">
        <f>(S539+S540+S541)=R2</f>
        <v>0</v>
      </c>
      <c r="X539" s="1">
        <f t="shared" si="49"/>
        <v>0</v>
      </c>
      <c r="Y539" s="48">
        <v>0</v>
      </c>
      <c r="AA539" s="1">
        <v>7</v>
      </c>
      <c r="AB539" s="1" t="s">
        <v>14</v>
      </c>
      <c r="AC539" s="1" t="s">
        <v>20</v>
      </c>
      <c r="AD539" s="1">
        <v>27</v>
      </c>
      <c r="AE539" s="1">
        <v>21</v>
      </c>
      <c r="AF539" s="1">
        <v>0.8</v>
      </c>
      <c r="AG539" s="1">
        <v>0.88</v>
      </c>
      <c r="AH539" s="1">
        <v>0</v>
      </c>
      <c r="AI539" s="1">
        <v>0</v>
      </c>
      <c r="AJ539" s="1">
        <f t="shared" si="45"/>
        <v>0</v>
      </c>
      <c r="AK539" s="1">
        <f>C59</f>
        <v>0</v>
      </c>
      <c r="AL539" s="1">
        <f>C65</f>
        <v>0</v>
      </c>
      <c r="AM539" s="1">
        <f t="shared" si="46"/>
        <v>0</v>
      </c>
      <c r="AN539" s="1">
        <f t="shared" si="47"/>
        <v>0</v>
      </c>
      <c r="AO539" s="1">
        <f t="shared" si="48"/>
        <v>0</v>
      </c>
      <c r="AP539" t="b" cm="1">
        <f t="array" ref="AP539">INDEX($AU$8:$BB$25,6*(R539-1)+MATCH(AB539,$AS$8:$AS$13,0),MATCH(O539,$AU$7:$BB$7,0))</f>
        <v>1</v>
      </c>
    </row>
    <row r="540" spans="15:42" ht="14.25" x14ac:dyDescent="0.45">
      <c r="O540" s="43" t="s">
        <v>33</v>
      </c>
      <c r="P540" s="43">
        <v>1</v>
      </c>
      <c r="Q540" s="43">
        <v>6</v>
      </c>
      <c r="R540" s="43">
        <v>2</v>
      </c>
      <c r="S540" s="45"/>
      <c r="T540" t="b">
        <f>(S539+S540+S541)=R2</f>
        <v>0</v>
      </c>
      <c r="X540" s="1">
        <f t="shared" si="49"/>
        <v>0</v>
      </c>
      <c r="Y540" s="48">
        <v>0</v>
      </c>
      <c r="AA540" s="1">
        <v>7</v>
      </c>
      <c r="AB540" s="1" t="s">
        <v>14</v>
      </c>
      <c r="AC540" s="1" t="s">
        <v>20</v>
      </c>
      <c r="AD540" s="1">
        <v>27</v>
      </c>
      <c r="AE540" s="1">
        <v>21</v>
      </c>
      <c r="AF540" s="1">
        <v>0.8</v>
      </c>
      <c r="AG540" s="1">
        <v>0.88</v>
      </c>
      <c r="AH540" s="1">
        <v>0</v>
      </c>
      <c r="AI540" s="1">
        <v>0</v>
      </c>
      <c r="AJ540" s="1">
        <f t="shared" si="45"/>
        <v>0</v>
      </c>
      <c r="AK540" s="1">
        <f>D59</f>
        <v>0</v>
      </c>
      <c r="AL540" s="1">
        <f>D65</f>
        <v>0</v>
      </c>
      <c r="AM540" s="1">
        <f t="shared" si="46"/>
        <v>0</v>
      </c>
      <c r="AN540" s="1">
        <f t="shared" si="47"/>
        <v>0</v>
      </c>
      <c r="AO540" s="1">
        <f t="shared" si="48"/>
        <v>0</v>
      </c>
      <c r="AP540" t="b" cm="1">
        <f t="array" ref="AP540">INDEX($AU$8:$BB$25,6*(R540-1)+MATCH(AB540,$AS$8:$AS$13,0),MATCH(O540,$AU$7:$BB$7,0))</f>
        <v>1</v>
      </c>
    </row>
    <row r="541" spans="15:42" ht="14.25" x14ac:dyDescent="0.45">
      <c r="O541" s="43" t="s">
        <v>33</v>
      </c>
      <c r="P541" s="43">
        <v>1</v>
      </c>
      <c r="Q541" s="43">
        <v>6</v>
      </c>
      <c r="R541" s="43">
        <v>3</v>
      </c>
      <c r="S541" s="45"/>
      <c r="T541" t="b">
        <f>(S539+S540+S541)=R2</f>
        <v>0</v>
      </c>
      <c r="X541" s="1">
        <f t="shared" si="49"/>
        <v>0</v>
      </c>
      <c r="Y541" s="48">
        <v>0</v>
      </c>
      <c r="AA541" s="1">
        <v>7</v>
      </c>
      <c r="AB541" s="1" t="s">
        <v>14</v>
      </c>
      <c r="AC541" s="1" t="s">
        <v>20</v>
      </c>
      <c r="AD541" s="1">
        <v>27</v>
      </c>
      <c r="AE541" s="1">
        <v>21</v>
      </c>
      <c r="AF541" s="1">
        <v>0.8</v>
      </c>
      <c r="AG541" s="1">
        <v>0.88</v>
      </c>
      <c r="AH541" s="1">
        <v>0</v>
      </c>
      <c r="AI541" s="1">
        <v>0</v>
      </c>
      <c r="AJ541" s="1">
        <f t="shared" si="45"/>
        <v>0</v>
      </c>
      <c r="AK541" s="1">
        <f>E59</f>
        <v>0</v>
      </c>
      <c r="AL541" s="1">
        <f>E65</f>
        <v>0</v>
      </c>
      <c r="AM541" s="1">
        <f t="shared" si="46"/>
        <v>0</v>
      </c>
      <c r="AN541" s="1">
        <f t="shared" si="47"/>
        <v>0</v>
      </c>
      <c r="AO541" s="1">
        <f t="shared" si="48"/>
        <v>0</v>
      </c>
      <c r="AP541" t="b" cm="1">
        <f t="array" ref="AP541">INDEX($AU$8:$BB$25,6*(R541-1)+MATCH(AB541,$AS$8:$AS$13,0),MATCH(O541,$AU$7:$BB$7,0))</f>
        <v>1</v>
      </c>
    </row>
    <row r="542" spans="15:42" ht="14.25" x14ac:dyDescent="0.45">
      <c r="O542" s="43" t="s">
        <v>33</v>
      </c>
      <c r="P542" s="43">
        <v>1</v>
      </c>
      <c r="Q542" s="43">
        <v>7</v>
      </c>
      <c r="R542" s="43">
        <v>1</v>
      </c>
      <c r="S542" s="45"/>
      <c r="T542" t="b">
        <f>(S542+S543+S544)=R2</f>
        <v>0</v>
      </c>
      <c r="X542" s="1">
        <f t="shared" si="49"/>
        <v>0</v>
      </c>
      <c r="Y542" s="48">
        <v>0</v>
      </c>
      <c r="AA542" s="1">
        <v>9</v>
      </c>
      <c r="AB542" s="1" t="s">
        <v>14</v>
      </c>
      <c r="AC542" s="1" t="s">
        <v>20</v>
      </c>
      <c r="AD542" s="1">
        <v>17</v>
      </c>
      <c r="AE542" s="1">
        <v>13</v>
      </c>
      <c r="AF542" s="1">
        <v>0.8</v>
      </c>
      <c r="AG542" s="1">
        <v>0.88</v>
      </c>
      <c r="AH542" s="1">
        <v>0</v>
      </c>
      <c r="AI542" s="1">
        <v>0</v>
      </c>
      <c r="AJ542" s="1">
        <f t="shared" si="45"/>
        <v>0</v>
      </c>
      <c r="AK542" s="1">
        <f>C59</f>
        <v>0</v>
      </c>
      <c r="AL542" s="1">
        <f>C65</f>
        <v>0</v>
      </c>
      <c r="AM542" s="1">
        <f t="shared" si="46"/>
        <v>0</v>
      </c>
      <c r="AN542" s="1">
        <f t="shared" si="47"/>
        <v>0</v>
      </c>
      <c r="AO542" s="1">
        <f t="shared" si="48"/>
        <v>0</v>
      </c>
      <c r="AP542" t="b" cm="1">
        <f t="array" ref="AP542">INDEX($AU$8:$BB$25,6*(R542-1)+MATCH(AB542,$AS$8:$AS$13,0),MATCH(O542,$AU$7:$BB$7,0))</f>
        <v>1</v>
      </c>
    </row>
    <row r="543" spans="15:42" ht="14.25" x14ac:dyDescent="0.45">
      <c r="O543" s="43" t="s">
        <v>33</v>
      </c>
      <c r="P543" s="43">
        <v>1</v>
      </c>
      <c r="Q543" s="43">
        <v>7</v>
      </c>
      <c r="R543" s="43">
        <v>2</v>
      </c>
      <c r="S543" s="45"/>
      <c r="T543" t="b">
        <f>(S542+S543+S544)=R2</f>
        <v>0</v>
      </c>
      <c r="X543" s="1">
        <f t="shared" si="49"/>
        <v>0</v>
      </c>
      <c r="Y543" s="48">
        <v>0</v>
      </c>
      <c r="AA543" s="1">
        <v>9</v>
      </c>
      <c r="AB543" s="1" t="s">
        <v>14</v>
      </c>
      <c r="AC543" s="1" t="s">
        <v>20</v>
      </c>
      <c r="AD543" s="1">
        <v>17</v>
      </c>
      <c r="AE543" s="1">
        <v>13</v>
      </c>
      <c r="AF543" s="1">
        <v>0.8</v>
      </c>
      <c r="AG543" s="1">
        <v>0.88</v>
      </c>
      <c r="AH543" s="1">
        <v>0</v>
      </c>
      <c r="AI543" s="1">
        <v>0</v>
      </c>
      <c r="AJ543" s="1">
        <f t="shared" si="45"/>
        <v>0</v>
      </c>
      <c r="AK543" s="1">
        <f>D59</f>
        <v>0</v>
      </c>
      <c r="AL543" s="1">
        <f>D65</f>
        <v>0</v>
      </c>
      <c r="AM543" s="1">
        <f t="shared" si="46"/>
        <v>0</v>
      </c>
      <c r="AN543" s="1">
        <f t="shared" si="47"/>
        <v>0</v>
      </c>
      <c r="AO543" s="1">
        <f t="shared" si="48"/>
        <v>0</v>
      </c>
      <c r="AP543" t="b" cm="1">
        <f t="array" ref="AP543">INDEX($AU$8:$BB$25,6*(R543-1)+MATCH(AB543,$AS$8:$AS$13,0),MATCH(O543,$AU$7:$BB$7,0))</f>
        <v>1</v>
      </c>
    </row>
    <row r="544" spans="15:42" ht="14.25" x14ac:dyDescent="0.45">
      <c r="O544" s="43" t="s">
        <v>33</v>
      </c>
      <c r="P544" s="43">
        <v>1</v>
      </c>
      <c r="Q544" s="43">
        <v>7</v>
      </c>
      <c r="R544" s="43">
        <v>3</v>
      </c>
      <c r="S544" s="45"/>
      <c r="T544" t="b">
        <f>(S542+S543+S544)=R2</f>
        <v>0</v>
      </c>
      <c r="X544" s="1">
        <f t="shared" si="49"/>
        <v>0</v>
      </c>
      <c r="Y544" s="48">
        <v>0</v>
      </c>
      <c r="AA544" s="1">
        <v>9</v>
      </c>
      <c r="AB544" s="1" t="s">
        <v>14</v>
      </c>
      <c r="AC544" s="1" t="s">
        <v>20</v>
      </c>
      <c r="AD544" s="1">
        <v>17</v>
      </c>
      <c r="AE544" s="1">
        <v>13</v>
      </c>
      <c r="AF544" s="1">
        <v>0.8</v>
      </c>
      <c r="AG544" s="1">
        <v>0.88</v>
      </c>
      <c r="AH544" s="1">
        <v>0</v>
      </c>
      <c r="AI544" s="1">
        <v>0</v>
      </c>
      <c r="AJ544" s="1">
        <f t="shared" si="45"/>
        <v>0</v>
      </c>
      <c r="AK544" s="1">
        <f>E59</f>
        <v>0</v>
      </c>
      <c r="AL544" s="1">
        <f>E65</f>
        <v>0</v>
      </c>
      <c r="AM544" s="1">
        <f t="shared" si="46"/>
        <v>0</v>
      </c>
      <c r="AN544" s="1">
        <f t="shared" si="47"/>
        <v>0</v>
      </c>
      <c r="AO544" s="1">
        <f t="shared" si="48"/>
        <v>0</v>
      </c>
      <c r="AP544" t="b" cm="1">
        <f t="array" ref="AP544">INDEX($AU$8:$BB$25,6*(R544-1)+MATCH(AB544,$AS$8:$AS$13,0),MATCH(O544,$AU$7:$BB$7,0))</f>
        <v>1</v>
      </c>
    </row>
    <row r="545" spans="15:42" ht="14.25" x14ac:dyDescent="0.45">
      <c r="O545" s="43" t="s">
        <v>33</v>
      </c>
      <c r="P545" s="43">
        <v>1</v>
      </c>
      <c r="Q545" s="43">
        <v>8</v>
      </c>
      <c r="R545" s="43">
        <v>1</v>
      </c>
      <c r="S545" s="45"/>
      <c r="T545" t="b">
        <f>(S545+S546+S547)=R2</f>
        <v>0</v>
      </c>
      <c r="X545" s="1">
        <f t="shared" si="49"/>
        <v>0</v>
      </c>
      <c r="Y545" s="48">
        <v>0</v>
      </c>
      <c r="AA545" s="1">
        <v>1</v>
      </c>
      <c r="AB545" s="1" t="s">
        <v>10</v>
      </c>
      <c r="AC545" s="1" t="s">
        <v>17</v>
      </c>
      <c r="AD545" s="1">
        <v>18</v>
      </c>
      <c r="AE545" s="1">
        <v>16</v>
      </c>
      <c r="AF545" s="1">
        <v>0.78</v>
      </c>
      <c r="AG545" s="1">
        <v>0.84</v>
      </c>
      <c r="AH545" s="1">
        <v>0</v>
      </c>
      <c r="AI545" s="1">
        <v>0</v>
      </c>
      <c r="AJ545" s="1">
        <f t="shared" si="45"/>
        <v>0</v>
      </c>
      <c r="AK545" s="1">
        <f>C56</f>
        <v>0</v>
      </c>
      <c r="AL545" s="1">
        <f>C62</f>
        <v>0</v>
      </c>
      <c r="AM545" s="1">
        <f t="shared" si="46"/>
        <v>0</v>
      </c>
      <c r="AN545" s="1">
        <f t="shared" si="47"/>
        <v>0</v>
      </c>
      <c r="AO545" s="1">
        <f t="shared" si="48"/>
        <v>0</v>
      </c>
      <c r="AP545" t="b" cm="1">
        <f t="array" ref="AP545">INDEX($AU$8:$BB$25,6*(R545-1)+MATCH(AB545,$AS$8:$AS$13,0),MATCH(O545,$AU$7:$BB$7,0))</f>
        <v>1</v>
      </c>
    </row>
    <row r="546" spans="15:42" ht="14.25" x14ac:dyDescent="0.45">
      <c r="O546" s="43" t="s">
        <v>33</v>
      </c>
      <c r="P546" s="43">
        <v>1</v>
      </c>
      <c r="Q546" s="43">
        <v>8</v>
      </c>
      <c r="R546" s="43">
        <v>2</v>
      </c>
      <c r="S546" s="45"/>
      <c r="T546" t="b">
        <f>(S545+S546+S547)=R2</f>
        <v>0</v>
      </c>
      <c r="X546" s="1">
        <f t="shared" si="49"/>
        <v>0</v>
      </c>
      <c r="Y546" s="48">
        <v>0</v>
      </c>
      <c r="AA546" s="1">
        <v>1</v>
      </c>
      <c r="AB546" s="1" t="s">
        <v>10</v>
      </c>
      <c r="AC546" s="1" t="s">
        <v>17</v>
      </c>
      <c r="AD546" s="1">
        <v>18</v>
      </c>
      <c r="AE546" s="1">
        <v>16</v>
      </c>
      <c r="AF546" s="1">
        <v>0.78</v>
      </c>
      <c r="AG546" s="1">
        <v>0.84</v>
      </c>
      <c r="AH546" s="1">
        <v>0</v>
      </c>
      <c r="AI546" s="1">
        <v>0</v>
      </c>
      <c r="AJ546" s="1">
        <f t="shared" si="45"/>
        <v>0</v>
      </c>
      <c r="AK546" s="1">
        <f>D56</f>
        <v>0</v>
      </c>
      <c r="AL546" s="1">
        <f>D62</f>
        <v>0</v>
      </c>
      <c r="AM546" s="1">
        <f t="shared" si="46"/>
        <v>0</v>
      </c>
      <c r="AN546" s="1">
        <f t="shared" si="47"/>
        <v>0</v>
      </c>
      <c r="AO546" s="1">
        <f t="shared" si="48"/>
        <v>0</v>
      </c>
      <c r="AP546" t="b" cm="1">
        <f t="array" ref="AP546">INDEX($AU$8:$BB$25,6*(R546-1)+MATCH(AB546,$AS$8:$AS$13,0),MATCH(O546,$AU$7:$BB$7,0))</f>
        <v>1</v>
      </c>
    </row>
    <row r="547" spans="15:42" ht="14.25" x14ac:dyDescent="0.45">
      <c r="O547" s="43" t="s">
        <v>33</v>
      </c>
      <c r="P547" s="43">
        <v>1</v>
      </c>
      <c r="Q547" s="43">
        <v>8</v>
      </c>
      <c r="R547" s="43">
        <v>3</v>
      </c>
      <c r="S547" s="45"/>
      <c r="T547" t="b">
        <f>(S545+S546+S547)=R2</f>
        <v>0</v>
      </c>
      <c r="X547" s="1">
        <f t="shared" si="49"/>
        <v>0</v>
      </c>
      <c r="Y547" s="48">
        <v>0</v>
      </c>
      <c r="AA547" s="1">
        <v>1</v>
      </c>
      <c r="AB547" s="1" t="s">
        <v>10</v>
      </c>
      <c r="AC547" s="1" t="s">
        <v>17</v>
      </c>
      <c r="AD547" s="1">
        <v>18</v>
      </c>
      <c r="AE547" s="1">
        <v>16</v>
      </c>
      <c r="AF547" s="1">
        <v>0.78</v>
      </c>
      <c r="AG547" s="1">
        <v>0.84</v>
      </c>
      <c r="AH547" s="1">
        <v>0</v>
      </c>
      <c r="AI547" s="1">
        <v>0</v>
      </c>
      <c r="AJ547" s="1">
        <f t="shared" si="45"/>
        <v>0</v>
      </c>
      <c r="AK547" s="1">
        <f>E56</f>
        <v>0</v>
      </c>
      <c r="AL547" s="1">
        <f>E62</f>
        <v>0</v>
      </c>
      <c r="AM547" s="1">
        <f t="shared" si="46"/>
        <v>0</v>
      </c>
      <c r="AN547" s="1">
        <f t="shared" si="47"/>
        <v>0</v>
      </c>
      <c r="AO547" s="1">
        <f t="shared" si="48"/>
        <v>0</v>
      </c>
      <c r="AP547" t="b" cm="1">
        <f t="array" ref="AP547">INDEX($AU$8:$BB$25,6*(R547-1)+MATCH(AB547,$AS$8:$AS$13,0),MATCH(O547,$AU$7:$BB$7,0))</f>
        <v>1</v>
      </c>
    </row>
    <row r="548" spans="15:42" ht="14.25" x14ac:dyDescent="0.45">
      <c r="O548" s="43" t="s">
        <v>33</v>
      </c>
      <c r="P548" s="43">
        <v>1</v>
      </c>
      <c r="Q548" s="43">
        <v>9</v>
      </c>
      <c r="R548" s="43">
        <v>1</v>
      </c>
      <c r="S548" s="45"/>
      <c r="T548" t="b">
        <f>(S548+S549+S550)=R2</f>
        <v>0</v>
      </c>
      <c r="X548" s="1">
        <f t="shared" si="49"/>
        <v>0</v>
      </c>
      <c r="Y548" s="48">
        <v>0</v>
      </c>
      <c r="AA548" s="1">
        <v>2</v>
      </c>
      <c r="AB548" s="1" t="s">
        <v>10</v>
      </c>
      <c r="AC548" s="1" t="s">
        <v>17</v>
      </c>
      <c r="AD548" s="1">
        <v>16</v>
      </c>
      <c r="AE548" s="1">
        <v>13</v>
      </c>
      <c r="AF548" s="1">
        <v>0.78</v>
      </c>
      <c r="AG548" s="1">
        <v>0.84</v>
      </c>
      <c r="AH548" s="1">
        <v>0</v>
      </c>
      <c r="AI548" s="1">
        <v>0</v>
      </c>
      <c r="AJ548" s="1">
        <f t="shared" si="45"/>
        <v>0</v>
      </c>
      <c r="AK548" s="1">
        <f>C56</f>
        <v>0</v>
      </c>
      <c r="AL548" s="1">
        <f>C62</f>
        <v>0</v>
      </c>
      <c r="AM548" s="1">
        <f t="shared" si="46"/>
        <v>0</v>
      </c>
      <c r="AN548" s="1">
        <f t="shared" si="47"/>
        <v>0</v>
      </c>
      <c r="AO548" s="1">
        <f t="shared" si="48"/>
        <v>0</v>
      </c>
      <c r="AP548" t="b" cm="1">
        <f t="array" ref="AP548">INDEX($AU$8:$BB$25,6*(R548-1)+MATCH(AB548,$AS$8:$AS$13,0),MATCH(O548,$AU$7:$BB$7,0))</f>
        <v>1</v>
      </c>
    </row>
    <row r="549" spans="15:42" ht="14.25" x14ac:dyDescent="0.45">
      <c r="O549" s="43" t="s">
        <v>33</v>
      </c>
      <c r="P549" s="43">
        <v>1</v>
      </c>
      <c r="Q549" s="43">
        <v>9</v>
      </c>
      <c r="R549" s="43">
        <v>2</v>
      </c>
      <c r="S549" s="45"/>
      <c r="T549" t="b">
        <f>(S548+S549+S550)=R2</f>
        <v>0</v>
      </c>
      <c r="X549" s="1">
        <f t="shared" si="49"/>
        <v>0</v>
      </c>
      <c r="Y549" s="48">
        <v>0</v>
      </c>
      <c r="AA549" s="1">
        <v>2</v>
      </c>
      <c r="AB549" s="1" t="s">
        <v>10</v>
      </c>
      <c r="AC549" s="1" t="s">
        <v>17</v>
      </c>
      <c r="AD549" s="1">
        <v>16</v>
      </c>
      <c r="AE549" s="1">
        <v>13</v>
      </c>
      <c r="AF549" s="1">
        <v>0.78</v>
      </c>
      <c r="AG549" s="1">
        <v>0.84</v>
      </c>
      <c r="AH549" s="1">
        <v>0</v>
      </c>
      <c r="AI549" s="1">
        <v>0</v>
      </c>
      <c r="AJ549" s="1">
        <f t="shared" si="45"/>
        <v>0</v>
      </c>
      <c r="AK549" s="1">
        <f>D56</f>
        <v>0</v>
      </c>
      <c r="AL549" s="1">
        <f>D62</f>
        <v>0</v>
      </c>
      <c r="AM549" s="1">
        <f t="shared" si="46"/>
        <v>0</v>
      </c>
      <c r="AN549" s="1">
        <f t="shared" si="47"/>
        <v>0</v>
      </c>
      <c r="AO549" s="1">
        <f t="shared" si="48"/>
        <v>0</v>
      </c>
      <c r="AP549" t="b" cm="1">
        <f t="array" ref="AP549">INDEX($AU$8:$BB$25,6*(R549-1)+MATCH(AB549,$AS$8:$AS$13,0),MATCH(O549,$AU$7:$BB$7,0))</f>
        <v>1</v>
      </c>
    </row>
    <row r="550" spans="15:42" ht="14.25" x14ac:dyDescent="0.45">
      <c r="O550" s="43" t="s">
        <v>33</v>
      </c>
      <c r="P550" s="43">
        <v>1</v>
      </c>
      <c r="Q550" s="43">
        <v>9</v>
      </c>
      <c r="R550" s="43">
        <v>3</v>
      </c>
      <c r="S550" s="45"/>
      <c r="T550" t="b">
        <f>(S548+S549+S550)=R2</f>
        <v>0</v>
      </c>
      <c r="X550" s="1">
        <f t="shared" si="49"/>
        <v>0</v>
      </c>
      <c r="Y550" s="48">
        <v>0</v>
      </c>
      <c r="AA550" s="1">
        <v>2</v>
      </c>
      <c r="AB550" s="1" t="s">
        <v>10</v>
      </c>
      <c r="AC550" s="1" t="s">
        <v>17</v>
      </c>
      <c r="AD550" s="1">
        <v>16</v>
      </c>
      <c r="AE550" s="1">
        <v>13</v>
      </c>
      <c r="AF550" s="1">
        <v>0.78</v>
      </c>
      <c r="AG550" s="1">
        <v>0.84</v>
      </c>
      <c r="AH550" s="1">
        <v>0</v>
      </c>
      <c r="AI550" s="1">
        <v>0</v>
      </c>
      <c r="AJ550" s="1">
        <f t="shared" si="45"/>
        <v>0</v>
      </c>
      <c r="AK550" s="1">
        <f>E56</f>
        <v>0</v>
      </c>
      <c r="AL550" s="1">
        <f>E62</f>
        <v>0</v>
      </c>
      <c r="AM550" s="1">
        <f t="shared" si="46"/>
        <v>0</v>
      </c>
      <c r="AN550" s="1">
        <f t="shared" si="47"/>
        <v>0</v>
      </c>
      <c r="AO550" s="1">
        <f t="shared" si="48"/>
        <v>0</v>
      </c>
      <c r="AP550" t="b" cm="1">
        <f t="array" ref="AP550">INDEX($AU$8:$BB$25,6*(R550-1)+MATCH(AB550,$AS$8:$AS$13,0),MATCH(O550,$AU$7:$BB$7,0))</f>
        <v>1</v>
      </c>
    </row>
    <row r="551" spans="15:42" ht="14.25" x14ac:dyDescent="0.45">
      <c r="O551" s="43" t="s">
        <v>33</v>
      </c>
      <c r="P551" s="43">
        <v>1</v>
      </c>
      <c r="Q551" s="43">
        <v>10</v>
      </c>
      <c r="R551" s="43">
        <v>1</v>
      </c>
      <c r="S551" s="45"/>
      <c r="T551" t="b">
        <f>(S551+S552+S553)=R2</f>
        <v>0</v>
      </c>
      <c r="X551" s="1">
        <f t="shared" si="49"/>
        <v>0</v>
      </c>
      <c r="Y551" s="48">
        <v>0</v>
      </c>
      <c r="AA551" s="1">
        <v>6</v>
      </c>
      <c r="AB551" s="1" t="s">
        <v>14</v>
      </c>
      <c r="AC551" s="1" t="s">
        <v>20</v>
      </c>
      <c r="AD551" s="1">
        <v>14</v>
      </c>
      <c r="AE551" s="1">
        <v>11</v>
      </c>
      <c r="AF551" s="1">
        <v>0.8</v>
      </c>
      <c r="AG551" s="1">
        <v>0.88</v>
      </c>
      <c r="AH551" s="1">
        <v>0</v>
      </c>
      <c r="AI551" s="1">
        <v>0</v>
      </c>
      <c r="AJ551" s="1">
        <f t="shared" si="45"/>
        <v>0</v>
      </c>
      <c r="AK551" s="1">
        <f>C59</f>
        <v>0</v>
      </c>
      <c r="AL551" s="1">
        <f>C65</f>
        <v>0</v>
      </c>
      <c r="AM551" s="1">
        <f t="shared" si="46"/>
        <v>0</v>
      </c>
      <c r="AN551" s="1">
        <f t="shared" si="47"/>
        <v>0</v>
      </c>
      <c r="AO551" s="1">
        <f t="shared" si="48"/>
        <v>0</v>
      </c>
      <c r="AP551" t="b" cm="1">
        <f t="array" ref="AP551">INDEX($AU$8:$BB$25,6*(R551-1)+MATCH(AB551,$AS$8:$AS$13,0),MATCH(O551,$AU$7:$BB$7,0))</f>
        <v>1</v>
      </c>
    </row>
    <row r="552" spans="15:42" ht="14.25" x14ac:dyDescent="0.45">
      <c r="O552" s="43" t="s">
        <v>33</v>
      </c>
      <c r="P552" s="43">
        <v>1</v>
      </c>
      <c r="Q552" s="43">
        <v>10</v>
      </c>
      <c r="R552" s="43">
        <v>2</v>
      </c>
      <c r="S552" s="45"/>
      <c r="T552" t="b">
        <f>(S551+S552+S553)=R2</f>
        <v>0</v>
      </c>
      <c r="X552" s="1">
        <f t="shared" si="49"/>
        <v>0</v>
      </c>
      <c r="Y552" s="48">
        <v>0</v>
      </c>
      <c r="AA552" s="1">
        <v>6</v>
      </c>
      <c r="AB552" s="1" t="s">
        <v>14</v>
      </c>
      <c r="AC552" s="1" t="s">
        <v>20</v>
      </c>
      <c r="AD552" s="1">
        <v>14</v>
      </c>
      <c r="AE552" s="1">
        <v>11</v>
      </c>
      <c r="AF552" s="1">
        <v>0.8</v>
      </c>
      <c r="AG552" s="1">
        <v>0.88</v>
      </c>
      <c r="AH552" s="1">
        <v>0</v>
      </c>
      <c r="AI552" s="1">
        <v>0</v>
      </c>
      <c r="AJ552" s="1">
        <f t="shared" si="45"/>
        <v>0</v>
      </c>
      <c r="AK552" s="1">
        <f>D59</f>
        <v>0</v>
      </c>
      <c r="AL552" s="1">
        <f>D65</f>
        <v>0</v>
      </c>
      <c r="AM552" s="1">
        <f t="shared" si="46"/>
        <v>0</v>
      </c>
      <c r="AN552" s="1">
        <f t="shared" si="47"/>
        <v>0</v>
      </c>
      <c r="AO552" s="1">
        <f t="shared" si="48"/>
        <v>0</v>
      </c>
      <c r="AP552" t="b" cm="1">
        <f t="array" ref="AP552">INDEX($AU$8:$BB$25,6*(R552-1)+MATCH(AB552,$AS$8:$AS$13,0),MATCH(O552,$AU$7:$BB$7,0))</f>
        <v>1</v>
      </c>
    </row>
    <row r="553" spans="15:42" ht="14.25" x14ac:dyDescent="0.45">
      <c r="O553" s="43" t="s">
        <v>33</v>
      </c>
      <c r="P553" s="43">
        <v>1</v>
      </c>
      <c r="Q553" s="43">
        <v>10</v>
      </c>
      <c r="R553" s="43">
        <v>3</v>
      </c>
      <c r="S553" s="45"/>
      <c r="T553" t="b">
        <f>(S551+S552+S553)=R2</f>
        <v>0</v>
      </c>
      <c r="X553" s="1">
        <f t="shared" si="49"/>
        <v>0</v>
      </c>
      <c r="Y553" s="48">
        <v>0</v>
      </c>
      <c r="AA553" s="1">
        <v>6</v>
      </c>
      <c r="AB553" s="1" t="s">
        <v>14</v>
      </c>
      <c r="AC553" s="1" t="s">
        <v>20</v>
      </c>
      <c r="AD553" s="1">
        <v>14</v>
      </c>
      <c r="AE553" s="1">
        <v>11</v>
      </c>
      <c r="AF553" s="1">
        <v>0.8</v>
      </c>
      <c r="AG553" s="1">
        <v>0.88</v>
      </c>
      <c r="AH553" s="1">
        <v>0</v>
      </c>
      <c r="AI553" s="1">
        <v>0</v>
      </c>
      <c r="AJ553" s="1">
        <f t="shared" si="45"/>
        <v>0</v>
      </c>
      <c r="AK553" s="1">
        <f>E59</f>
        <v>0</v>
      </c>
      <c r="AL553" s="1">
        <f>E65</f>
        <v>0</v>
      </c>
      <c r="AM553" s="1">
        <f t="shared" si="46"/>
        <v>0</v>
      </c>
      <c r="AN553" s="1">
        <f t="shared" si="47"/>
        <v>0</v>
      </c>
      <c r="AO553" s="1">
        <f t="shared" si="48"/>
        <v>0</v>
      </c>
      <c r="AP553" t="b" cm="1">
        <f t="array" ref="AP553">INDEX($AU$8:$BB$25,6*(R553-1)+MATCH(AB553,$AS$8:$AS$13,0),MATCH(O553,$AU$7:$BB$7,0))</f>
        <v>1</v>
      </c>
    </row>
    <row r="554" spans="15:42" ht="14.25" x14ac:dyDescent="0.45">
      <c r="O554" s="43" t="s">
        <v>33</v>
      </c>
      <c r="P554" s="43">
        <v>1</v>
      </c>
      <c r="Q554" s="43">
        <v>11</v>
      </c>
      <c r="R554" s="43">
        <v>1</v>
      </c>
      <c r="S554" s="45"/>
      <c r="T554" t="b">
        <f>(S554+S555+S556)=R2</f>
        <v>0</v>
      </c>
      <c r="X554" s="1">
        <f t="shared" si="49"/>
        <v>0</v>
      </c>
      <c r="Y554" s="48">
        <v>0</v>
      </c>
      <c r="AA554" s="1">
        <v>3</v>
      </c>
      <c r="AB554" s="1" t="s">
        <v>16</v>
      </c>
      <c r="AC554" s="1" t="s">
        <v>22</v>
      </c>
      <c r="AD554" s="1">
        <v>18</v>
      </c>
      <c r="AE554" s="1">
        <v>16</v>
      </c>
      <c r="AF554" s="1">
        <v>0.8</v>
      </c>
      <c r="AG554" s="1">
        <v>0.9</v>
      </c>
      <c r="AH554" s="1">
        <v>0</v>
      </c>
      <c r="AI554" s="1">
        <v>0</v>
      </c>
      <c r="AJ554" s="1">
        <f t="shared" si="45"/>
        <v>0</v>
      </c>
      <c r="AK554" s="1">
        <f>C61</f>
        <v>0</v>
      </c>
      <c r="AL554" s="1">
        <f>C67</f>
        <v>0</v>
      </c>
      <c r="AM554" s="1">
        <f t="shared" si="46"/>
        <v>0</v>
      </c>
      <c r="AN554" s="1">
        <f t="shared" si="47"/>
        <v>0</v>
      </c>
      <c r="AO554" s="1">
        <f t="shared" si="48"/>
        <v>0</v>
      </c>
      <c r="AP554" t="b" cm="1">
        <f t="array" ref="AP554">INDEX($AU$8:$BB$25,6*(R554-1)+MATCH(AB554,$AS$8:$AS$13,0),MATCH(O554,$AU$7:$BB$7,0))</f>
        <v>1</v>
      </c>
    </row>
    <row r="555" spans="15:42" ht="14.25" x14ac:dyDescent="0.45">
      <c r="O555" s="43" t="s">
        <v>33</v>
      </c>
      <c r="P555" s="43">
        <v>1</v>
      </c>
      <c r="Q555" s="43">
        <v>11</v>
      </c>
      <c r="R555" s="43">
        <v>2</v>
      </c>
      <c r="S555" s="45"/>
      <c r="T555" t="b">
        <f>(S554+S555+S556)=R2</f>
        <v>0</v>
      </c>
      <c r="X555" s="1">
        <f t="shared" si="49"/>
        <v>0</v>
      </c>
      <c r="Y555" s="48">
        <v>0</v>
      </c>
      <c r="AA555" s="1">
        <v>3</v>
      </c>
      <c r="AB555" s="1" t="s">
        <v>16</v>
      </c>
      <c r="AC555" s="1" t="s">
        <v>22</v>
      </c>
      <c r="AD555" s="1">
        <v>18</v>
      </c>
      <c r="AE555" s="1">
        <v>16</v>
      </c>
      <c r="AF555" s="1">
        <v>0.8</v>
      </c>
      <c r="AG555" s="1">
        <v>0.9</v>
      </c>
      <c r="AH555" s="1">
        <v>0</v>
      </c>
      <c r="AI555" s="1">
        <v>0</v>
      </c>
      <c r="AJ555" s="1">
        <f t="shared" si="45"/>
        <v>0</v>
      </c>
      <c r="AK555" s="1">
        <f>D61</f>
        <v>0</v>
      </c>
      <c r="AL555" s="1">
        <f>D67</f>
        <v>0</v>
      </c>
      <c r="AM555" s="1">
        <f t="shared" si="46"/>
        <v>0</v>
      </c>
      <c r="AN555" s="1">
        <f t="shared" si="47"/>
        <v>0</v>
      </c>
      <c r="AO555" s="1">
        <f t="shared" si="48"/>
        <v>0</v>
      </c>
      <c r="AP555" t="b" cm="1">
        <f t="array" ref="AP555">INDEX($AU$8:$BB$25,6*(R555-1)+MATCH(AB555,$AS$8:$AS$13,0),MATCH(O555,$AU$7:$BB$7,0))</f>
        <v>1</v>
      </c>
    </row>
    <row r="556" spans="15:42" ht="14.25" x14ac:dyDescent="0.45">
      <c r="O556" s="43" t="s">
        <v>33</v>
      </c>
      <c r="P556" s="43">
        <v>1</v>
      </c>
      <c r="Q556" s="43">
        <v>11</v>
      </c>
      <c r="R556" s="43">
        <v>3</v>
      </c>
      <c r="S556" s="45"/>
      <c r="T556" t="b">
        <f>(S554+S555+S556)=R2</f>
        <v>0</v>
      </c>
      <c r="X556" s="1">
        <f t="shared" si="49"/>
        <v>0</v>
      </c>
      <c r="Y556" s="48">
        <v>0</v>
      </c>
      <c r="AA556" s="1">
        <v>3</v>
      </c>
      <c r="AB556" s="1" t="s">
        <v>16</v>
      </c>
      <c r="AC556" s="1" t="s">
        <v>22</v>
      </c>
      <c r="AD556" s="1">
        <v>18</v>
      </c>
      <c r="AE556" s="1">
        <v>16</v>
      </c>
      <c r="AF556" s="1">
        <v>0.8</v>
      </c>
      <c r="AG556" s="1">
        <v>0.9</v>
      </c>
      <c r="AH556" s="1">
        <v>0</v>
      </c>
      <c r="AI556" s="1">
        <v>0</v>
      </c>
      <c r="AJ556" s="1">
        <f t="shared" si="45"/>
        <v>0</v>
      </c>
      <c r="AK556" s="1">
        <f>E61</f>
        <v>0</v>
      </c>
      <c r="AL556" s="1">
        <f>E67</f>
        <v>0</v>
      </c>
      <c r="AM556" s="1">
        <f t="shared" si="46"/>
        <v>0</v>
      </c>
      <c r="AN556" s="1">
        <f t="shared" si="47"/>
        <v>0</v>
      </c>
      <c r="AO556" s="1">
        <f t="shared" si="48"/>
        <v>0</v>
      </c>
      <c r="AP556" t="b" cm="1">
        <f t="array" ref="AP556">INDEX($AU$8:$BB$25,6*(R556-1)+MATCH(AB556,$AS$8:$AS$13,0),MATCH(O556,$AU$7:$BB$7,0))</f>
        <v>1</v>
      </c>
    </row>
    <row r="557" spans="15:42" ht="14.25" x14ac:dyDescent="0.45">
      <c r="O557" s="43" t="s">
        <v>33</v>
      </c>
      <c r="P557" s="43">
        <v>2</v>
      </c>
      <c r="Q557" s="43">
        <v>1</v>
      </c>
      <c r="R557" s="43">
        <v>1</v>
      </c>
      <c r="S557" s="45"/>
      <c r="T557" t="b">
        <f>(S557+S558+S559)=R3</f>
        <v>0</v>
      </c>
      <c r="X557" s="1">
        <v>0</v>
      </c>
      <c r="Y557" s="48">
        <v>0</v>
      </c>
      <c r="AA557" s="1">
        <v>9</v>
      </c>
      <c r="AB557" s="1" t="s">
        <v>16</v>
      </c>
      <c r="AC557" s="1" t="s">
        <v>22</v>
      </c>
      <c r="AD557" s="1">
        <v>19</v>
      </c>
      <c r="AE557" s="1">
        <v>16</v>
      </c>
      <c r="AF557" s="1">
        <v>0.8</v>
      </c>
      <c r="AG557" s="1">
        <v>0.9</v>
      </c>
      <c r="AH557" s="1">
        <v>0</v>
      </c>
      <c r="AI557" s="1">
        <v>0</v>
      </c>
      <c r="AJ557" s="1">
        <f t="shared" si="45"/>
        <v>0</v>
      </c>
      <c r="AK557" s="1">
        <f>C61</f>
        <v>0</v>
      </c>
      <c r="AL557" s="1">
        <f>C67</f>
        <v>0</v>
      </c>
      <c r="AM557" s="1">
        <f t="shared" si="46"/>
        <v>0</v>
      </c>
      <c r="AN557" s="1">
        <f t="shared" si="47"/>
        <v>0</v>
      </c>
      <c r="AO557" s="1">
        <f t="shared" si="48"/>
        <v>0</v>
      </c>
      <c r="AP557" t="b" cm="1">
        <f t="array" ref="AP557">INDEX($AU$8:$BB$25,6*(R557-1)+MATCH(AB557,$AS$8:$AS$13,0),MATCH(O557,$AU$7:$BB$7,0))</f>
        <v>1</v>
      </c>
    </row>
    <row r="558" spans="15:42" ht="14.25" x14ac:dyDescent="0.45">
      <c r="O558" s="43" t="s">
        <v>33</v>
      </c>
      <c r="P558" s="43">
        <v>2</v>
      </c>
      <c r="Q558" s="43">
        <v>1</v>
      </c>
      <c r="R558" s="43">
        <v>2</v>
      </c>
      <c r="S558" s="45"/>
      <c r="T558" t="b">
        <f>(S557+S558+S559)=R3</f>
        <v>0</v>
      </c>
      <c r="X558" s="1">
        <v>0</v>
      </c>
      <c r="Y558" s="48">
        <v>0</v>
      </c>
      <c r="AA558" s="1">
        <v>9</v>
      </c>
      <c r="AB558" s="1" t="s">
        <v>16</v>
      </c>
      <c r="AC558" s="1" t="s">
        <v>22</v>
      </c>
      <c r="AD558" s="1">
        <v>19</v>
      </c>
      <c r="AE558" s="1">
        <v>16</v>
      </c>
      <c r="AF558" s="1">
        <v>0.8</v>
      </c>
      <c r="AG558" s="1">
        <v>0.9</v>
      </c>
      <c r="AH558" s="1">
        <v>0</v>
      </c>
      <c r="AI558" s="1">
        <v>0</v>
      </c>
      <c r="AJ558" s="1">
        <f t="shared" si="45"/>
        <v>0</v>
      </c>
      <c r="AK558" s="1">
        <f>D61</f>
        <v>0</v>
      </c>
      <c r="AL558" s="1">
        <f>D67</f>
        <v>0</v>
      </c>
      <c r="AM558" s="1">
        <f t="shared" si="46"/>
        <v>0</v>
      </c>
      <c r="AN558" s="1">
        <f t="shared" si="47"/>
        <v>0</v>
      </c>
      <c r="AO558" s="1">
        <f t="shared" si="48"/>
        <v>0</v>
      </c>
      <c r="AP558" t="b" cm="1">
        <f t="array" ref="AP558">INDEX($AU$8:$BB$25,6*(R558-1)+MATCH(AB558,$AS$8:$AS$13,0),MATCH(O558,$AU$7:$BB$7,0))</f>
        <v>1</v>
      </c>
    </row>
    <row r="559" spans="15:42" ht="14.25" x14ac:dyDescent="0.45">
      <c r="O559" s="43" t="s">
        <v>33</v>
      </c>
      <c r="P559" s="43">
        <v>2</v>
      </c>
      <c r="Q559" s="43">
        <v>1</v>
      </c>
      <c r="R559" s="43">
        <v>3</v>
      </c>
      <c r="S559" s="45"/>
      <c r="T559" t="b">
        <f>(S557+S558+S559)=R3</f>
        <v>0</v>
      </c>
      <c r="X559" s="1">
        <v>0</v>
      </c>
      <c r="Y559" s="48">
        <v>0</v>
      </c>
      <c r="AA559" s="1">
        <v>9</v>
      </c>
      <c r="AB559" s="1" t="s">
        <v>16</v>
      </c>
      <c r="AC559" s="1" t="s">
        <v>22</v>
      </c>
      <c r="AD559" s="1">
        <v>19</v>
      </c>
      <c r="AE559" s="1">
        <v>16</v>
      </c>
      <c r="AF559" s="1">
        <v>0.8</v>
      </c>
      <c r="AG559" s="1">
        <v>0.9</v>
      </c>
      <c r="AH559" s="1">
        <v>0</v>
      </c>
      <c r="AI559" s="1">
        <v>0</v>
      </c>
      <c r="AJ559" s="1">
        <f t="shared" si="45"/>
        <v>0</v>
      </c>
      <c r="AK559" s="1">
        <f>E61</f>
        <v>0</v>
      </c>
      <c r="AL559" s="1">
        <f>E67</f>
        <v>0</v>
      </c>
      <c r="AM559" s="1">
        <f t="shared" si="46"/>
        <v>0</v>
      </c>
      <c r="AN559" s="1">
        <f t="shared" si="47"/>
        <v>0</v>
      </c>
      <c r="AO559" s="1">
        <f t="shared" si="48"/>
        <v>0</v>
      </c>
      <c r="AP559" t="b" cm="1">
        <f t="array" ref="AP559">INDEX($AU$8:$BB$25,6*(R559-1)+MATCH(AB559,$AS$8:$AS$13,0),MATCH(O559,$AU$7:$BB$7,0))</f>
        <v>1</v>
      </c>
    </row>
    <row r="560" spans="15:42" ht="14.25" x14ac:dyDescent="0.45">
      <c r="O560" s="43" t="s">
        <v>33</v>
      </c>
      <c r="P560" s="43">
        <v>2</v>
      </c>
      <c r="Q560" s="43">
        <v>2</v>
      </c>
      <c r="R560" s="43">
        <v>1</v>
      </c>
      <c r="S560" s="45"/>
      <c r="T560" t="b">
        <f>(S560+S561+S562)=R3</f>
        <v>0</v>
      </c>
      <c r="X560" s="1">
        <f t="shared" ref="X560:X601" si="50">MAX(S557-S560,0)</f>
        <v>0</v>
      </c>
      <c r="Y560" s="48">
        <v>0</v>
      </c>
      <c r="AA560" s="1">
        <v>1</v>
      </c>
      <c r="AB560" s="1" t="s">
        <v>12</v>
      </c>
      <c r="AC560" s="1" t="s">
        <v>18</v>
      </c>
      <c r="AD560" s="1">
        <v>20</v>
      </c>
      <c r="AE560" s="1">
        <v>18</v>
      </c>
      <c r="AF560" s="1">
        <v>0.76</v>
      </c>
      <c r="AG560" s="1">
        <v>0.81</v>
      </c>
      <c r="AH560" s="1">
        <v>0</v>
      </c>
      <c r="AI560" s="1">
        <v>0</v>
      </c>
      <c r="AJ560" s="1">
        <f t="shared" si="45"/>
        <v>0</v>
      </c>
      <c r="AK560" s="1">
        <f>C57</f>
        <v>0</v>
      </c>
      <c r="AL560" s="1">
        <f>C63</f>
        <v>0</v>
      </c>
      <c r="AM560" s="1">
        <f t="shared" si="46"/>
        <v>0</v>
      </c>
      <c r="AN560" s="1">
        <f t="shared" si="47"/>
        <v>0</v>
      </c>
      <c r="AO560" s="1">
        <f t="shared" si="48"/>
        <v>0</v>
      </c>
      <c r="AP560" t="b" cm="1">
        <f t="array" ref="AP560">INDEX($AU$8:$BB$25,6*(R560-1)+MATCH(AB560,$AS$8:$AS$13,0),MATCH(O560,$AU$7:$BB$7,0))</f>
        <v>1</v>
      </c>
    </row>
    <row r="561" spans="15:42" ht="14.25" x14ac:dyDescent="0.45">
      <c r="O561" s="43" t="s">
        <v>33</v>
      </c>
      <c r="P561" s="43">
        <v>2</v>
      </c>
      <c r="Q561" s="43">
        <v>2</v>
      </c>
      <c r="R561" s="43">
        <v>2</v>
      </c>
      <c r="S561" s="45"/>
      <c r="T561" t="b">
        <f>(S560+S561+S562)=R3</f>
        <v>0</v>
      </c>
      <c r="X561" s="1">
        <f t="shared" si="50"/>
        <v>0</v>
      </c>
      <c r="Y561" s="48">
        <v>0</v>
      </c>
      <c r="AA561" s="1">
        <v>1</v>
      </c>
      <c r="AB561" s="1" t="s">
        <v>12</v>
      </c>
      <c r="AC561" s="1" t="s">
        <v>18</v>
      </c>
      <c r="AD561" s="1">
        <v>20</v>
      </c>
      <c r="AE561" s="1">
        <v>18</v>
      </c>
      <c r="AF561" s="1">
        <v>0.76</v>
      </c>
      <c r="AG561" s="1">
        <v>0.81</v>
      </c>
      <c r="AH561" s="1">
        <v>0</v>
      </c>
      <c r="AI561" s="1">
        <v>0</v>
      </c>
      <c r="AJ561" s="1">
        <f t="shared" si="45"/>
        <v>0</v>
      </c>
      <c r="AK561" s="1">
        <f>D57</f>
        <v>0</v>
      </c>
      <c r="AL561" s="1">
        <f>D63</f>
        <v>0</v>
      </c>
      <c r="AM561" s="1">
        <f t="shared" si="46"/>
        <v>0</v>
      </c>
      <c r="AN561" s="1">
        <f t="shared" si="47"/>
        <v>0</v>
      </c>
      <c r="AO561" s="1">
        <f t="shared" si="48"/>
        <v>0</v>
      </c>
      <c r="AP561" t="b" cm="1">
        <f t="array" ref="AP561">INDEX($AU$8:$BB$25,6*(R561-1)+MATCH(AB561,$AS$8:$AS$13,0),MATCH(O561,$AU$7:$BB$7,0))</f>
        <v>1</v>
      </c>
    </row>
    <row r="562" spans="15:42" ht="14.25" x14ac:dyDescent="0.45">
      <c r="O562" s="43" t="s">
        <v>33</v>
      </c>
      <c r="P562" s="43">
        <v>2</v>
      </c>
      <c r="Q562" s="43">
        <v>2</v>
      </c>
      <c r="R562" s="43">
        <v>3</v>
      </c>
      <c r="S562" s="45"/>
      <c r="T562" t="b">
        <f>(S560+S561+S562)=R3</f>
        <v>0</v>
      </c>
      <c r="X562" s="1">
        <f t="shared" si="50"/>
        <v>0</v>
      </c>
      <c r="Y562" s="48">
        <v>0</v>
      </c>
      <c r="AA562" s="1">
        <v>1</v>
      </c>
      <c r="AB562" s="1" t="s">
        <v>12</v>
      </c>
      <c r="AC562" s="1" t="s">
        <v>18</v>
      </c>
      <c r="AD562" s="1">
        <v>20</v>
      </c>
      <c r="AE562" s="1">
        <v>18</v>
      </c>
      <c r="AF562" s="1">
        <v>0.76</v>
      </c>
      <c r="AG562" s="1">
        <v>0.81</v>
      </c>
      <c r="AH562" s="1">
        <v>0</v>
      </c>
      <c r="AI562" s="1">
        <v>0</v>
      </c>
      <c r="AJ562" s="1">
        <f t="shared" si="45"/>
        <v>0</v>
      </c>
      <c r="AK562" s="1">
        <f>E57</f>
        <v>0</v>
      </c>
      <c r="AL562" s="1">
        <f>E63</f>
        <v>0</v>
      </c>
      <c r="AM562" s="1">
        <f t="shared" si="46"/>
        <v>0</v>
      </c>
      <c r="AN562" s="1">
        <f t="shared" si="47"/>
        <v>0</v>
      </c>
      <c r="AO562" s="1">
        <f t="shared" si="48"/>
        <v>0</v>
      </c>
      <c r="AP562" t="b" cm="1">
        <f t="array" ref="AP562">INDEX($AU$8:$BB$25,6*(R562-1)+MATCH(AB562,$AS$8:$AS$13,0),MATCH(O562,$AU$7:$BB$7,0))</f>
        <v>1</v>
      </c>
    </row>
    <row r="563" spans="15:42" ht="14.25" x14ac:dyDescent="0.45">
      <c r="O563" s="43" t="s">
        <v>33</v>
      </c>
      <c r="P563" s="43">
        <v>2</v>
      </c>
      <c r="Q563" s="43">
        <v>3</v>
      </c>
      <c r="R563" s="43">
        <v>1</v>
      </c>
      <c r="S563" s="45"/>
      <c r="T563" t="b">
        <f>(S563+S564+S565)=R3</f>
        <v>0</v>
      </c>
      <c r="X563" s="1">
        <f t="shared" si="50"/>
        <v>0</v>
      </c>
      <c r="Y563" s="48">
        <v>0</v>
      </c>
      <c r="AA563" s="1">
        <v>11</v>
      </c>
      <c r="AB563" s="1" t="s">
        <v>15</v>
      </c>
      <c r="AC563" s="1" t="s">
        <v>21</v>
      </c>
      <c r="AD563" s="1">
        <v>10</v>
      </c>
      <c r="AE563" s="1">
        <v>7</v>
      </c>
      <c r="AF563" s="1">
        <v>0.76</v>
      </c>
      <c r="AG563" s="1">
        <v>0.84</v>
      </c>
      <c r="AH563" s="1">
        <v>0</v>
      </c>
      <c r="AI563" s="1">
        <v>0</v>
      </c>
      <c r="AJ563" s="1">
        <f t="shared" si="45"/>
        <v>0</v>
      </c>
      <c r="AK563" s="1">
        <f>C60</f>
        <v>0</v>
      </c>
      <c r="AL563" s="1">
        <f>C66</f>
        <v>0</v>
      </c>
      <c r="AM563" s="1">
        <f t="shared" si="46"/>
        <v>0</v>
      </c>
      <c r="AN563" s="1">
        <f t="shared" si="47"/>
        <v>0</v>
      </c>
      <c r="AO563" s="1">
        <f t="shared" si="48"/>
        <v>0</v>
      </c>
      <c r="AP563" t="b" cm="1">
        <f t="array" ref="AP563">INDEX($AU$8:$BB$25,6*(R563-1)+MATCH(AB563,$AS$8:$AS$13,0),MATCH(O563,$AU$7:$BB$7,0))</f>
        <v>1</v>
      </c>
    </row>
    <row r="564" spans="15:42" ht="14.25" x14ac:dyDescent="0.45">
      <c r="O564" s="43" t="s">
        <v>33</v>
      </c>
      <c r="P564" s="43">
        <v>2</v>
      </c>
      <c r="Q564" s="43">
        <v>3</v>
      </c>
      <c r="R564" s="43">
        <v>2</v>
      </c>
      <c r="S564" s="45"/>
      <c r="T564" t="b">
        <f>(S563+S564+S565)=R3</f>
        <v>0</v>
      </c>
      <c r="X564" s="1">
        <f t="shared" si="50"/>
        <v>0</v>
      </c>
      <c r="Y564" s="48">
        <v>0</v>
      </c>
      <c r="AA564" s="1">
        <v>11</v>
      </c>
      <c r="AB564" s="1" t="s">
        <v>15</v>
      </c>
      <c r="AC564" s="1" t="s">
        <v>21</v>
      </c>
      <c r="AD564" s="1">
        <v>10</v>
      </c>
      <c r="AE564" s="1">
        <v>7</v>
      </c>
      <c r="AF564" s="1">
        <v>0.76</v>
      </c>
      <c r="AG564" s="1">
        <v>0.84</v>
      </c>
      <c r="AH564" s="1">
        <v>0</v>
      </c>
      <c r="AI564" s="1">
        <v>0</v>
      </c>
      <c r="AJ564" s="1">
        <f t="shared" si="45"/>
        <v>0</v>
      </c>
      <c r="AK564" s="1">
        <f>D60</f>
        <v>0</v>
      </c>
      <c r="AL564" s="1">
        <f>D66</f>
        <v>0</v>
      </c>
      <c r="AM564" s="1">
        <f t="shared" si="46"/>
        <v>0</v>
      </c>
      <c r="AN564" s="1">
        <f t="shared" si="47"/>
        <v>0</v>
      </c>
      <c r="AO564" s="1">
        <f t="shared" si="48"/>
        <v>0</v>
      </c>
      <c r="AP564" t="b" cm="1">
        <f t="array" ref="AP564">INDEX($AU$8:$BB$25,6*(R564-1)+MATCH(AB564,$AS$8:$AS$13,0),MATCH(O564,$AU$7:$BB$7,0))</f>
        <v>1</v>
      </c>
    </row>
    <row r="565" spans="15:42" ht="14.25" x14ac:dyDescent="0.45">
      <c r="O565" s="43" t="s">
        <v>33</v>
      </c>
      <c r="P565" s="43">
        <v>2</v>
      </c>
      <c r="Q565" s="43">
        <v>3</v>
      </c>
      <c r="R565" s="43">
        <v>3</v>
      </c>
      <c r="S565" s="45"/>
      <c r="T565" t="b">
        <f>(S563+S564+S565)=R3</f>
        <v>0</v>
      </c>
      <c r="X565" s="1">
        <f t="shared" si="50"/>
        <v>0</v>
      </c>
      <c r="Y565" s="48">
        <v>0</v>
      </c>
      <c r="AA565" s="1">
        <v>11</v>
      </c>
      <c r="AB565" s="1" t="s">
        <v>15</v>
      </c>
      <c r="AC565" s="1" t="s">
        <v>21</v>
      </c>
      <c r="AD565" s="1">
        <v>10</v>
      </c>
      <c r="AE565" s="1">
        <v>7</v>
      </c>
      <c r="AF565" s="1">
        <v>0.76</v>
      </c>
      <c r="AG565" s="1">
        <v>0.84</v>
      </c>
      <c r="AH565" s="1">
        <v>0</v>
      </c>
      <c r="AI565" s="1">
        <v>0</v>
      </c>
      <c r="AJ565" s="1">
        <f t="shared" si="45"/>
        <v>0</v>
      </c>
      <c r="AK565" s="1">
        <f>E60</f>
        <v>0</v>
      </c>
      <c r="AL565" s="1">
        <f>E66</f>
        <v>0</v>
      </c>
      <c r="AM565" s="1">
        <f t="shared" si="46"/>
        <v>0</v>
      </c>
      <c r="AN565" s="1">
        <f t="shared" si="47"/>
        <v>0</v>
      </c>
      <c r="AO565" s="1">
        <f t="shared" si="48"/>
        <v>0</v>
      </c>
      <c r="AP565" t="b" cm="1">
        <f t="array" ref="AP565">INDEX($AU$8:$BB$25,6*(R565-1)+MATCH(AB565,$AS$8:$AS$13,0),MATCH(O565,$AU$7:$BB$7,0))</f>
        <v>1</v>
      </c>
    </row>
    <row r="566" spans="15:42" ht="14.25" x14ac:dyDescent="0.45">
      <c r="O566" s="43" t="s">
        <v>33</v>
      </c>
      <c r="P566" s="43">
        <v>2</v>
      </c>
      <c r="Q566" s="43">
        <v>4</v>
      </c>
      <c r="R566" s="43">
        <v>1</v>
      </c>
      <c r="S566" s="45"/>
      <c r="T566" t="b">
        <f>(S566+S567+S568)=R3</f>
        <v>0</v>
      </c>
      <c r="X566" s="1">
        <f t="shared" si="50"/>
        <v>0</v>
      </c>
      <c r="Y566" s="48">
        <v>0</v>
      </c>
      <c r="AA566" s="1">
        <v>2</v>
      </c>
      <c r="AB566" s="1" t="s">
        <v>12</v>
      </c>
      <c r="AC566" s="1" t="s">
        <v>18</v>
      </c>
      <c r="AD566" s="1">
        <v>25</v>
      </c>
      <c r="AE566" s="1">
        <v>19</v>
      </c>
      <c r="AF566" s="1">
        <v>0.76</v>
      </c>
      <c r="AG566" s="1">
        <v>0.81</v>
      </c>
      <c r="AH566" s="1">
        <v>0</v>
      </c>
      <c r="AI566" s="1">
        <v>0</v>
      </c>
      <c r="AJ566" s="1">
        <f t="shared" si="45"/>
        <v>0</v>
      </c>
      <c r="AK566" s="1">
        <f>C57</f>
        <v>0</v>
      </c>
      <c r="AL566" s="1">
        <f>C63</f>
        <v>0</v>
      </c>
      <c r="AM566" s="1">
        <f t="shared" si="46"/>
        <v>0</v>
      </c>
      <c r="AN566" s="1">
        <f t="shared" si="47"/>
        <v>0</v>
      </c>
      <c r="AO566" s="1">
        <f t="shared" si="48"/>
        <v>0</v>
      </c>
      <c r="AP566" t="b" cm="1">
        <f t="array" ref="AP566">INDEX($AU$8:$BB$25,6*(R566-1)+MATCH(AB566,$AS$8:$AS$13,0),MATCH(O566,$AU$7:$BB$7,0))</f>
        <v>1</v>
      </c>
    </row>
    <row r="567" spans="15:42" ht="14.25" x14ac:dyDescent="0.45">
      <c r="O567" s="43" t="s">
        <v>33</v>
      </c>
      <c r="P567" s="43">
        <v>2</v>
      </c>
      <c r="Q567" s="43">
        <v>4</v>
      </c>
      <c r="R567" s="43">
        <v>2</v>
      </c>
      <c r="S567" s="45"/>
      <c r="T567" t="b">
        <f>(S566+S567+S568)=R3</f>
        <v>0</v>
      </c>
      <c r="X567" s="1">
        <f t="shared" si="50"/>
        <v>0</v>
      </c>
      <c r="Y567" s="48">
        <v>0</v>
      </c>
      <c r="AA567" s="1">
        <v>2</v>
      </c>
      <c r="AB567" s="1" t="s">
        <v>12</v>
      </c>
      <c r="AC567" s="1" t="s">
        <v>18</v>
      </c>
      <c r="AD567" s="1">
        <v>25</v>
      </c>
      <c r="AE567" s="1">
        <v>19</v>
      </c>
      <c r="AF567" s="1">
        <v>0.76</v>
      </c>
      <c r="AG567" s="1">
        <v>0.81</v>
      </c>
      <c r="AH567" s="1">
        <v>0</v>
      </c>
      <c r="AI567" s="1">
        <v>0</v>
      </c>
      <c r="AJ567" s="1">
        <f t="shared" si="45"/>
        <v>0</v>
      </c>
      <c r="AK567" s="1">
        <f>D57</f>
        <v>0</v>
      </c>
      <c r="AL567" s="1">
        <f>D63</f>
        <v>0</v>
      </c>
      <c r="AM567" s="1">
        <f t="shared" si="46"/>
        <v>0</v>
      </c>
      <c r="AN567" s="1">
        <f t="shared" si="47"/>
        <v>0</v>
      </c>
      <c r="AO567" s="1">
        <f t="shared" si="48"/>
        <v>0</v>
      </c>
      <c r="AP567" t="b" cm="1">
        <f t="array" ref="AP567">INDEX($AU$8:$BB$25,6*(R567-1)+MATCH(AB567,$AS$8:$AS$13,0),MATCH(O567,$AU$7:$BB$7,0))</f>
        <v>1</v>
      </c>
    </row>
    <row r="568" spans="15:42" ht="14.25" x14ac:dyDescent="0.45">
      <c r="O568" s="43" t="s">
        <v>33</v>
      </c>
      <c r="P568" s="43">
        <v>2</v>
      </c>
      <c r="Q568" s="43">
        <v>4</v>
      </c>
      <c r="R568" s="43">
        <v>3</v>
      </c>
      <c r="S568" s="45"/>
      <c r="T568" t="b">
        <f>(S566+S567+S568)=R3</f>
        <v>0</v>
      </c>
      <c r="X568" s="1">
        <f t="shared" si="50"/>
        <v>0</v>
      </c>
      <c r="Y568" s="48">
        <v>0</v>
      </c>
      <c r="AA568" s="1">
        <v>2</v>
      </c>
      <c r="AB568" s="1" t="s">
        <v>12</v>
      </c>
      <c r="AC568" s="1" t="s">
        <v>18</v>
      </c>
      <c r="AD568" s="1">
        <v>25</v>
      </c>
      <c r="AE568" s="1">
        <v>19</v>
      </c>
      <c r="AF568" s="1">
        <v>0.76</v>
      </c>
      <c r="AG568" s="1">
        <v>0.81</v>
      </c>
      <c r="AH568" s="1">
        <v>0</v>
      </c>
      <c r="AI568" s="1">
        <v>0</v>
      </c>
      <c r="AJ568" s="1">
        <f t="shared" si="45"/>
        <v>0</v>
      </c>
      <c r="AK568" s="1">
        <f>E57</f>
        <v>0</v>
      </c>
      <c r="AL568" s="1">
        <f>E63</f>
        <v>0</v>
      </c>
      <c r="AM568" s="1">
        <f t="shared" si="46"/>
        <v>0</v>
      </c>
      <c r="AN568" s="1">
        <f t="shared" si="47"/>
        <v>0</v>
      </c>
      <c r="AO568" s="1">
        <f t="shared" si="48"/>
        <v>0</v>
      </c>
      <c r="AP568" t="b" cm="1">
        <f t="array" ref="AP568">INDEX($AU$8:$BB$25,6*(R568-1)+MATCH(AB568,$AS$8:$AS$13,0),MATCH(O568,$AU$7:$BB$7,0))</f>
        <v>1</v>
      </c>
    </row>
    <row r="569" spans="15:42" ht="14.25" x14ac:dyDescent="0.45">
      <c r="O569" s="43" t="s">
        <v>33</v>
      </c>
      <c r="P569" s="43">
        <v>2</v>
      </c>
      <c r="Q569" s="43">
        <v>5</v>
      </c>
      <c r="R569" s="43">
        <v>1</v>
      </c>
      <c r="S569" s="45"/>
      <c r="T569" t="b">
        <f>(S569+S570+S571)=R3</f>
        <v>0</v>
      </c>
      <c r="X569" s="1">
        <f t="shared" si="50"/>
        <v>0</v>
      </c>
      <c r="Y569" s="48">
        <v>0</v>
      </c>
      <c r="AA569" s="1">
        <v>3</v>
      </c>
      <c r="AB569" s="1" t="s">
        <v>12</v>
      </c>
      <c r="AC569" s="1" t="s">
        <v>18</v>
      </c>
      <c r="AD569" s="1">
        <v>15</v>
      </c>
      <c r="AE569" s="1">
        <v>11</v>
      </c>
      <c r="AF569" s="1">
        <v>0.76</v>
      </c>
      <c r="AG569" s="1">
        <v>0.81</v>
      </c>
      <c r="AH569" s="1">
        <v>0</v>
      </c>
      <c r="AI569" s="1">
        <v>0</v>
      </c>
      <c r="AJ569" s="1">
        <f t="shared" si="45"/>
        <v>0</v>
      </c>
      <c r="AK569" s="1">
        <f>C57</f>
        <v>0</v>
      </c>
      <c r="AL569" s="1">
        <f>C63</f>
        <v>0</v>
      </c>
      <c r="AM569" s="1">
        <f t="shared" si="46"/>
        <v>0</v>
      </c>
      <c r="AN569" s="1">
        <f t="shared" si="47"/>
        <v>0</v>
      </c>
      <c r="AO569" s="1">
        <f t="shared" si="48"/>
        <v>0</v>
      </c>
      <c r="AP569" t="b" cm="1">
        <f t="array" ref="AP569">INDEX($AU$8:$BB$25,6*(R569-1)+MATCH(AB569,$AS$8:$AS$13,0),MATCH(O569,$AU$7:$BB$7,0))</f>
        <v>1</v>
      </c>
    </row>
    <row r="570" spans="15:42" ht="14.25" x14ac:dyDescent="0.45">
      <c r="O570" s="43" t="s">
        <v>33</v>
      </c>
      <c r="P570" s="43">
        <v>2</v>
      </c>
      <c r="Q570" s="43">
        <v>5</v>
      </c>
      <c r="R570" s="43">
        <v>2</v>
      </c>
      <c r="S570" s="45"/>
      <c r="T570" t="b">
        <f>(S569+S570+S571)=R3</f>
        <v>0</v>
      </c>
      <c r="X570" s="1">
        <f t="shared" si="50"/>
        <v>0</v>
      </c>
      <c r="Y570" s="48">
        <v>0</v>
      </c>
      <c r="AA570" s="1">
        <v>3</v>
      </c>
      <c r="AB570" s="1" t="s">
        <v>12</v>
      </c>
      <c r="AC570" s="1" t="s">
        <v>18</v>
      </c>
      <c r="AD570" s="1">
        <v>15</v>
      </c>
      <c r="AE570" s="1">
        <v>11</v>
      </c>
      <c r="AF570" s="1">
        <v>0.76</v>
      </c>
      <c r="AG570" s="1">
        <v>0.81</v>
      </c>
      <c r="AH570" s="1">
        <v>0</v>
      </c>
      <c r="AI570" s="1">
        <v>0</v>
      </c>
      <c r="AJ570" s="1">
        <f t="shared" si="45"/>
        <v>0</v>
      </c>
      <c r="AK570" s="1">
        <f>D57</f>
        <v>0</v>
      </c>
      <c r="AL570" s="1">
        <f>D63</f>
        <v>0</v>
      </c>
      <c r="AM570" s="1">
        <f t="shared" si="46"/>
        <v>0</v>
      </c>
      <c r="AN570" s="1">
        <f t="shared" si="47"/>
        <v>0</v>
      </c>
      <c r="AO570" s="1">
        <f t="shared" si="48"/>
        <v>0</v>
      </c>
      <c r="AP570" t="b" cm="1">
        <f t="array" ref="AP570">INDEX($AU$8:$BB$25,6*(R570-1)+MATCH(AB570,$AS$8:$AS$13,0),MATCH(O570,$AU$7:$BB$7,0))</f>
        <v>1</v>
      </c>
    </row>
    <row r="571" spans="15:42" ht="14.25" x14ac:dyDescent="0.45">
      <c r="O571" s="43" t="s">
        <v>33</v>
      </c>
      <c r="P571" s="43">
        <v>2</v>
      </c>
      <c r="Q571" s="43">
        <v>5</v>
      </c>
      <c r="R571" s="43">
        <v>3</v>
      </c>
      <c r="S571" s="45"/>
      <c r="T571" t="b">
        <f>(S569+S570+S571)=R3</f>
        <v>0</v>
      </c>
      <c r="X571" s="1">
        <f t="shared" si="50"/>
        <v>0</v>
      </c>
      <c r="Y571" s="48">
        <v>0</v>
      </c>
      <c r="AA571" s="1">
        <v>3</v>
      </c>
      <c r="AB571" s="1" t="s">
        <v>12</v>
      </c>
      <c r="AC571" s="1" t="s">
        <v>18</v>
      </c>
      <c r="AD571" s="1">
        <v>15</v>
      </c>
      <c r="AE571" s="1">
        <v>11</v>
      </c>
      <c r="AF571" s="1">
        <v>0.76</v>
      </c>
      <c r="AG571" s="1">
        <v>0.81</v>
      </c>
      <c r="AH571" s="1">
        <v>0</v>
      </c>
      <c r="AI571" s="1">
        <v>0</v>
      </c>
      <c r="AJ571" s="1">
        <f t="shared" si="45"/>
        <v>0</v>
      </c>
      <c r="AK571" s="1">
        <f>E57</f>
        <v>0</v>
      </c>
      <c r="AL571" s="1">
        <f>E63</f>
        <v>0</v>
      </c>
      <c r="AM571" s="1">
        <f t="shared" si="46"/>
        <v>0</v>
      </c>
      <c r="AN571" s="1">
        <f t="shared" si="47"/>
        <v>0</v>
      </c>
      <c r="AO571" s="1">
        <f t="shared" si="48"/>
        <v>0</v>
      </c>
      <c r="AP571" t="b" cm="1">
        <f t="array" ref="AP571">INDEX($AU$8:$BB$25,6*(R571-1)+MATCH(AB571,$AS$8:$AS$13,0),MATCH(O571,$AU$7:$BB$7,0))</f>
        <v>1</v>
      </c>
    </row>
    <row r="572" spans="15:42" ht="14.25" x14ac:dyDescent="0.45">
      <c r="O572" s="43" t="s">
        <v>33</v>
      </c>
      <c r="P572" s="43">
        <v>2</v>
      </c>
      <c r="Q572" s="43">
        <v>6</v>
      </c>
      <c r="R572" s="43">
        <v>1</v>
      </c>
      <c r="S572" s="45"/>
      <c r="T572" t="b">
        <f>(S572+S573+S574)=R3</f>
        <v>0</v>
      </c>
      <c r="X572" s="1">
        <f t="shared" si="50"/>
        <v>0</v>
      </c>
      <c r="Y572" s="48">
        <v>0</v>
      </c>
      <c r="AA572" s="1">
        <v>5</v>
      </c>
      <c r="AB572" s="1" t="s">
        <v>16</v>
      </c>
      <c r="AC572" s="1" t="s">
        <v>22</v>
      </c>
      <c r="AD572" s="1">
        <v>16</v>
      </c>
      <c r="AE572" s="1">
        <v>14</v>
      </c>
      <c r="AF572" s="1">
        <v>0.8</v>
      </c>
      <c r="AG572" s="1">
        <v>0.9</v>
      </c>
      <c r="AH572" s="1">
        <v>0</v>
      </c>
      <c r="AI572" s="1">
        <v>0</v>
      </c>
      <c r="AJ572" s="1">
        <f t="shared" si="45"/>
        <v>0</v>
      </c>
      <c r="AK572" s="1">
        <f>C61</f>
        <v>0</v>
      </c>
      <c r="AL572" s="1">
        <f>C67</f>
        <v>0</v>
      </c>
      <c r="AM572" s="1">
        <f t="shared" si="46"/>
        <v>0</v>
      </c>
      <c r="AN572" s="1">
        <f t="shared" si="47"/>
        <v>0</v>
      </c>
      <c r="AO572" s="1">
        <f t="shared" si="48"/>
        <v>0</v>
      </c>
      <c r="AP572" t="b" cm="1">
        <f t="array" ref="AP572">INDEX($AU$8:$BB$25,6*(R572-1)+MATCH(AB572,$AS$8:$AS$13,0),MATCH(O572,$AU$7:$BB$7,0))</f>
        <v>1</v>
      </c>
    </row>
    <row r="573" spans="15:42" ht="14.25" x14ac:dyDescent="0.45">
      <c r="O573" s="43" t="s">
        <v>33</v>
      </c>
      <c r="P573" s="43">
        <v>2</v>
      </c>
      <c r="Q573" s="43">
        <v>6</v>
      </c>
      <c r="R573" s="43">
        <v>2</v>
      </c>
      <c r="S573" s="45"/>
      <c r="T573" t="b">
        <f>(S572+S573+S574)=R3</f>
        <v>0</v>
      </c>
      <c r="X573" s="1">
        <f t="shared" si="50"/>
        <v>0</v>
      </c>
      <c r="Y573" s="48">
        <v>0</v>
      </c>
      <c r="AA573" s="1">
        <v>5</v>
      </c>
      <c r="AB573" s="1" t="s">
        <v>16</v>
      </c>
      <c r="AC573" s="1" t="s">
        <v>22</v>
      </c>
      <c r="AD573" s="1">
        <v>16</v>
      </c>
      <c r="AE573" s="1">
        <v>14</v>
      </c>
      <c r="AF573" s="1">
        <v>0.8</v>
      </c>
      <c r="AG573" s="1">
        <v>0.9</v>
      </c>
      <c r="AH573" s="1">
        <v>0</v>
      </c>
      <c r="AI573" s="1">
        <v>0</v>
      </c>
      <c r="AJ573" s="1">
        <f t="shared" si="45"/>
        <v>0</v>
      </c>
      <c r="AK573" s="1">
        <f>D61</f>
        <v>0</v>
      </c>
      <c r="AL573" s="1">
        <f>D67</f>
        <v>0</v>
      </c>
      <c r="AM573" s="1">
        <f t="shared" si="46"/>
        <v>0</v>
      </c>
      <c r="AN573" s="1">
        <f t="shared" si="47"/>
        <v>0</v>
      </c>
      <c r="AO573" s="1">
        <f t="shared" si="48"/>
        <v>0</v>
      </c>
      <c r="AP573" t="b" cm="1">
        <f t="array" ref="AP573">INDEX($AU$8:$BB$25,6*(R573-1)+MATCH(AB573,$AS$8:$AS$13,0),MATCH(O573,$AU$7:$BB$7,0))</f>
        <v>1</v>
      </c>
    </row>
    <row r="574" spans="15:42" ht="14.25" x14ac:dyDescent="0.45">
      <c r="O574" s="43" t="s">
        <v>33</v>
      </c>
      <c r="P574" s="43">
        <v>2</v>
      </c>
      <c r="Q574" s="43">
        <v>6</v>
      </c>
      <c r="R574" s="43">
        <v>3</v>
      </c>
      <c r="S574" s="45"/>
      <c r="T574" t="b">
        <f>(S572+S573+S574)=R3</f>
        <v>0</v>
      </c>
      <c r="X574" s="1">
        <f t="shared" si="50"/>
        <v>0</v>
      </c>
      <c r="Y574" s="48">
        <v>0</v>
      </c>
      <c r="AA574" s="1">
        <v>5</v>
      </c>
      <c r="AB574" s="1" t="s">
        <v>16</v>
      </c>
      <c r="AC574" s="1" t="s">
        <v>22</v>
      </c>
      <c r="AD574" s="1">
        <v>16</v>
      </c>
      <c r="AE574" s="1">
        <v>14</v>
      </c>
      <c r="AF574" s="1">
        <v>0.8</v>
      </c>
      <c r="AG574" s="1">
        <v>0.9</v>
      </c>
      <c r="AH574" s="1">
        <v>0</v>
      </c>
      <c r="AI574" s="1">
        <v>0</v>
      </c>
      <c r="AJ574" s="1">
        <f t="shared" si="45"/>
        <v>0</v>
      </c>
      <c r="AK574" s="1">
        <f>E61</f>
        <v>0</v>
      </c>
      <c r="AL574" s="1">
        <f>E67</f>
        <v>0</v>
      </c>
      <c r="AM574" s="1">
        <f t="shared" si="46"/>
        <v>0</v>
      </c>
      <c r="AN574" s="1">
        <f t="shared" si="47"/>
        <v>0</v>
      </c>
      <c r="AO574" s="1">
        <f t="shared" si="48"/>
        <v>0</v>
      </c>
      <c r="AP574" t="b" cm="1">
        <f t="array" ref="AP574">INDEX($AU$8:$BB$25,6*(R574-1)+MATCH(AB574,$AS$8:$AS$13,0),MATCH(O574,$AU$7:$BB$7,0))</f>
        <v>1</v>
      </c>
    </row>
    <row r="575" spans="15:42" ht="14.25" x14ac:dyDescent="0.45">
      <c r="O575" s="43" t="s">
        <v>33</v>
      </c>
      <c r="P575" s="43">
        <v>2</v>
      </c>
      <c r="Q575" s="43">
        <v>7</v>
      </c>
      <c r="R575" s="43">
        <v>1</v>
      </c>
      <c r="S575" s="45"/>
      <c r="T575" t="b">
        <f>(S575+S576+S577)=R3</f>
        <v>0</v>
      </c>
      <c r="X575" s="1">
        <f t="shared" si="50"/>
        <v>0</v>
      </c>
      <c r="Y575" s="48">
        <v>0</v>
      </c>
      <c r="AA575" s="1">
        <v>4</v>
      </c>
      <c r="AB575" s="1" t="s">
        <v>16</v>
      </c>
      <c r="AC575" s="1" t="s">
        <v>22</v>
      </c>
      <c r="AD575" s="1">
        <v>17</v>
      </c>
      <c r="AE575" s="1">
        <v>15</v>
      </c>
      <c r="AF575" s="1">
        <v>0.8</v>
      </c>
      <c r="AG575" s="1">
        <v>0.9</v>
      </c>
      <c r="AH575" s="1">
        <v>0</v>
      </c>
      <c r="AI575" s="1">
        <v>0</v>
      </c>
      <c r="AJ575" s="1">
        <f t="shared" si="45"/>
        <v>0</v>
      </c>
      <c r="AK575" s="1">
        <f>C61</f>
        <v>0</v>
      </c>
      <c r="AL575" s="1">
        <f>C67</f>
        <v>0</v>
      </c>
      <c r="AM575" s="1">
        <f t="shared" si="46"/>
        <v>0</v>
      </c>
      <c r="AN575" s="1">
        <f t="shared" si="47"/>
        <v>0</v>
      </c>
      <c r="AO575" s="1">
        <f t="shared" si="48"/>
        <v>0</v>
      </c>
      <c r="AP575" t="b" cm="1">
        <f t="array" ref="AP575">INDEX($AU$8:$BB$25,6*(R575-1)+MATCH(AB575,$AS$8:$AS$13,0),MATCH(O575,$AU$7:$BB$7,0))</f>
        <v>1</v>
      </c>
    </row>
    <row r="576" spans="15:42" ht="14.25" x14ac:dyDescent="0.45">
      <c r="O576" s="43" t="s">
        <v>33</v>
      </c>
      <c r="P576" s="43">
        <v>2</v>
      </c>
      <c r="Q576" s="43">
        <v>7</v>
      </c>
      <c r="R576" s="43">
        <v>2</v>
      </c>
      <c r="S576" s="45"/>
      <c r="T576" t="b">
        <f>(S575+S576+S577)=R3</f>
        <v>0</v>
      </c>
      <c r="X576" s="1">
        <f t="shared" si="50"/>
        <v>0</v>
      </c>
      <c r="Y576" s="48">
        <v>0</v>
      </c>
      <c r="AA576" s="1">
        <v>4</v>
      </c>
      <c r="AB576" s="1" t="s">
        <v>16</v>
      </c>
      <c r="AC576" s="1" t="s">
        <v>22</v>
      </c>
      <c r="AD576" s="1">
        <v>17</v>
      </c>
      <c r="AE576" s="1">
        <v>15</v>
      </c>
      <c r="AF576" s="1">
        <v>0.8</v>
      </c>
      <c r="AG576" s="1">
        <v>0.9</v>
      </c>
      <c r="AH576" s="1">
        <v>0</v>
      </c>
      <c r="AI576" s="1">
        <v>0</v>
      </c>
      <c r="AJ576" s="1">
        <f t="shared" si="45"/>
        <v>0</v>
      </c>
      <c r="AK576" s="1">
        <f>D61</f>
        <v>0</v>
      </c>
      <c r="AL576" s="1">
        <f>D67</f>
        <v>0</v>
      </c>
      <c r="AM576" s="1">
        <f t="shared" si="46"/>
        <v>0</v>
      </c>
      <c r="AN576" s="1">
        <f t="shared" si="47"/>
        <v>0</v>
      </c>
      <c r="AO576" s="1">
        <f t="shared" si="48"/>
        <v>0</v>
      </c>
      <c r="AP576" t="b" cm="1">
        <f t="array" ref="AP576">INDEX($AU$8:$BB$25,6*(R576-1)+MATCH(AB576,$AS$8:$AS$13,0),MATCH(O576,$AU$7:$BB$7,0))</f>
        <v>1</v>
      </c>
    </row>
    <row r="577" spans="15:42" ht="14.25" x14ac:dyDescent="0.45">
      <c r="O577" s="43" t="s">
        <v>33</v>
      </c>
      <c r="P577" s="43">
        <v>2</v>
      </c>
      <c r="Q577" s="43">
        <v>7</v>
      </c>
      <c r="R577" s="43">
        <v>3</v>
      </c>
      <c r="S577" s="45"/>
      <c r="T577" t="b">
        <f>(S575+S576+S577)=R3</f>
        <v>0</v>
      </c>
      <c r="X577" s="1">
        <f t="shared" si="50"/>
        <v>0</v>
      </c>
      <c r="Y577" s="48">
        <v>0</v>
      </c>
      <c r="AA577" s="1">
        <v>4</v>
      </c>
      <c r="AB577" s="1" t="s">
        <v>16</v>
      </c>
      <c r="AC577" s="1" t="s">
        <v>22</v>
      </c>
      <c r="AD577" s="1">
        <v>17</v>
      </c>
      <c r="AE577" s="1">
        <v>15</v>
      </c>
      <c r="AF577" s="1">
        <v>0.8</v>
      </c>
      <c r="AG577" s="1">
        <v>0.9</v>
      </c>
      <c r="AH577" s="1">
        <v>0</v>
      </c>
      <c r="AI577" s="1">
        <v>0</v>
      </c>
      <c r="AJ577" s="1">
        <f t="shared" si="45"/>
        <v>0</v>
      </c>
      <c r="AK577" s="1">
        <f>E61</f>
        <v>0</v>
      </c>
      <c r="AL577" s="1">
        <f>E67</f>
        <v>0</v>
      </c>
      <c r="AM577" s="1">
        <f t="shared" si="46"/>
        <v>0</v>
      </c>
      <c r="AN577" s="1">
        <f t="shared" si="47"/>
        <v>0</v>
      </c>
      <c r="AO577" s="1">
        <f t="shared" si="48"/>
        <v>0</v>
      </c>
      <c r="AP577" t="b" cm="1">
        <f t="array" ref="AP577">INDEX($AU$8:$BB$25,6*(R577-1)+MATCH(AB577,$AS$8:$AS$13,0),MATCH(O577,$AU$7:$BB$7,0))</f>
        <v>1</v>
      </c>
    </row>
    <row r="578" spans="15:42" ht="14.25" x14ac:dyDescent="0.45">
      <c r="O578" s="43" t="s">
        <v>33</v>
      </c>
      <c r="P578" s="43">
        <v>2</v>
      </c>
      <c r="Q578" s="43">
        <v>8</v>
      </c>
      <c r="R578" s="43">
        <v>1</v>
      </c>
      <c r="S578" s="45"/>
      <c r="T578" t="b">
        <f>(S578+S579+S580)=R3</f>
        <v>0</v>
      </c>
      <c r="X578" s="1">
        <f t="shared" si="50"/>
        <v>0</v>
      </c>
      <c r="Y578" s="48">
        <v>0</v>
      </c>
      <c r="AA578" s="1">
        <v>4</v>
      </c>
      <c r="AB578" s="1" t="s">
        <v>12</v>
      </c>
      <c r="AC578" s="1" t="s">
        <v>18</v>
      </c>
      <c r="AD578" s="1">
        <v>22</v>
      </c>
      <c r="AE578" s="1">
        <v>16</v>
      </c>
      <c r="AF578" s="1">
        <v>0.76</v>
      </c>
      <c r="AG578" s="1">
        <v>0.81</v>
      </c>
      <c r="AH578" s="1">
        <v>0</v>
      </c>
      <c r="AI578" s="1">
        <v>0</v>
      </c>
      <c r="AJ578" s="1">
        <f t="shared" si="45"/>
        <v>0</v>
      </c>
      <c r="AK578" s="1">
        <f>C57</f>
        <v>0</v>
      </c>
      <c r="AL578" s="1">
        <f>C63</f>
        <v>0</v>
      </c>
      <c r="AM578" s="1">
        <f t="shared" si="46"/>
        <v>0</v>
      </c>
      <c r="AN578" s="1">
        <f t="shared" si="47"/>
        <v>0</v>
      </c>
      <c r="AO578" s="1">
        <f t="shared" si="48"/>
        <v>0</v>
      </c>
      <c r="AP578" t="b" cm="1">
        <f t="array" ref="AP578">INDEX($AU$8:$BB$25,6*(R578-1)+MATCH(AB578,$AS$8:$AS$13,0),MATCH(O578,$AU$7:$BB$7,0))</f>
        <v>1</v>
      </c>
    </row>
    <row r="579" spans="15:42" ht="14.25" x14ac:dyDescent="0.45">
      <c r="O579" s="43" t="s">
        <v>33</v>
      </c>
      <c r="P579" s="43">
        <v>2</v>
      </c>
      <c r="Q579" s="43">
        <v>8</v>
      </c>
      <c r="R579" s="43">
        <v>2</v>
      </c>
      <c r="S579" s="45"/>
      <c r="T579" t="b">
        <f>(S578+S579+S580)=R3</f>
        <v>0</v>
      </c>
      <c r="X579" s="1">
        <f t="shared" si="50"/>
        <v>0</v>
      </c>
      <c r="Y579" s="48">
        <v>0</v>
      </c>
      <c r="AA579" s="1">
        <v>4</v>
      </c>
      <c r="AB579" s="1" t="s">
        <v>12</v>
      </c>
      <c r="AC579" s="1" t="s">
        <v>18</v>
      </c>
      <c r="AD579" s="1">
        <v>22</v>
      </c>
      <c r="AE579" s="1">
        <v>16</v>
      </c>
      <c r="AF579" s="1">
        <v>0.76</v>
      </c>
      <c r="AG579" s="1">
        <v>0.81</v>
      </c>
      <c r="AH579" s="1">
        <v>0</v>
      </c>
      <c r="AI579" s="1">
        <v>0</v>
      </c>
      <c r="AJ579" s="1">
        <f t="shared" si="45"/>
        <v>0</v>
      </c>
      <c r="AK579" s="1">
        <f>D57</f>
        <v>0</v>
      </c>
      <c r="AL579" s="1">
        <f>D63</f>
        <v>0</v>
      </c>
      <c r="AM579" s="1">
        <f t="shared" si="46"/>
        <v>0</v>
      </c>
      <c r="AN579" s="1">
        <f t="shared" si="47"/>
        <v>0</v>
      </c>
      <c r="AO579" s="1">
        <f t="shared" si="48"/>
        <v>0</v>
      </c>
      <c r="AP579" t="b" cm="1">
        <f t="array" ref="AP579">INDEX($AU$8:$BB$25,6*(R579-1)+MATCH(AB579,$AS$8:$AS$13,0),MATCH(O579,$AU$7:$BB$7,0))</f>
        <v>1</v>
      </c>
    </row>
    <row r="580" spans="15:42" ht="14.25" x14ac:dyDescent="0.45">
      <c r="O580" s="43" t="s">
        <v>33</v>
      </c>
      <c r="P580" s="43">
        <v>2</v>
      </c>
      <c r="Q580" s="43">
        <v>8</v>
      </c>
      <c r="R580" s="43">
        <v>3</v>
      </c>
      <c r="S580" s="45"/>
      <c r="T580" t="b">
        <f>(S578+S579+S580)=R3</f>
        <v>0</v>
      </c>
      <c r="X580" s="1">
        <f t="shared" si="50"/>
        <v>0</v>
      </c>
      <c r="Y580" s="48">
        <v>0</v>
      </c>
      <c r="AA580" s="1">
        <v>4</v>
      </c>
      <c r="AB580" s="1" t="s">
        <v>12</v>
      </c>
      <c r="AC580" s="1" t="s">
        <v>18</v>
      </c>
      <c r="AD580" s="1">
        <v>22</v>
      </c>
      <c r="AE580" s="1">
        <v>16</v>
      </c>
      <c r="AF580" s="1">
        <v>0.76</v>
      </c>
      <c r="AG580" s="1">
        <v>0.81</v>
      </c>
      <c r="AH580" s="1">
        <v>0</v>
      </c>
      <c r="AI580" s="1">
        <v>0</v>
      </c>
      <c r="AJ580" s="1">
        <f t="shared" si="45"/>
        <v>0</v>
      </c>
      <c r="AK580" s="1">
        <f>E57</f>
        <v>0</v>
      </c>
      <c r="AL580" s="1">
        <f>E63</f>
        <v>0</v>
      </c>
      <c r="AM580" s="1">
        <f t="shared" si="46"/>
        <v>0</v>
      </c>
      <c r="AN580" s="1">
        <f t="shared" si="47"/>
        <v>0</v>
      </c>
      <c r="AO580" s="1">
        <f t="shared" si="48"/>
        <v>0</v>
      </c>
      <c r="AP580" t="b" cm="1">
        <f t="array" ref="AP580">INDEX($AU$8:$BB$25,6*(R580-1)+MATCH(AB580,$AS$8:$AS$13,0),MATCH(O580,$AU$7:$BB$7,0))</f>
        <v>1</v>
      </c>
    </row>
    <row r="581" spans="15:42" ht="14.25" x14ac:dyDescent="0.45">
      <c r="O581" s="43" t="s">
        <v>33</v>
      </c>
      <c r="P581" s="43">
        <v>2</v>
      </c>
      <c r="Q581" s="43">
        <v>9</v>
      </c>
      <c r="R581" s="43">
        <v>1</v>
      </c>
      <c r="S581" s="45"/>
      <c r="T581" t="b">
        <f>(S581+S582+S583)=R3</f>
        <v>0</v>
      </c>
      <c r="X581" s="1">
        <f t="shared" si="50"/>
        <v>0</v>
      </c>
      <c r="Y581" s="48">
        <v>0</v>
      </c>
      <c r="AA581" s="1">
        <v>4</v>
      </c>
      <c r="AB581" s="1" t="s">
        <v>15</v>
      </c>
      <c r="AC581" s="1" t="s">
        <v>21</v>
      </c>
      <c r="AD581" s="1">
        <v>7</v>
      </c>
      <c r="AE581" s="1">
        <v>6</v>
      </c>
      <c r="AF581" s="1">
        <v>0.76</v>
      </c>
      <c r="AG581" s="1">
        <v>0.84</v>
      </c>
      <c r="AH581" s="1">
        <v>0</v>
      </c>
      <c r="AI581" s="1">
        <v>0</v>
      </c>
      <c r="AJ581" s="1">
        <f t="shared" si="45"/>
        <v>0</v>
      </c>
      <c r="AK581" s="1">
        <f>C60</f>
        <v>0</v>
      </c>
      <c r="AL581" s="1">
        <f>C66</f>
        <v>0</v>
      </c>
      <c r="AM581" s="1">
        <f t="shared" si="46"/>
        <v>0</v>
      </c>
      <c r="AN581" s="1">
        <f t="shared" si="47"/>
        <v>0</v>
      </c>
      <c r="AO581" s="1">
        <f t="shared" si="48"/>
        <v>0</v>
      </c>
      <c r="AP581" t="b" cm="1">
        <f t="array" ref="AP581">INDEX($AU$8:$BB$25,6*(R581-1)+MATCH(AB581,$AS$8:$AS$13,0),MATCH(O581,$AU$7:$BB$7,0))</f>
        <v>1</v>
      </c>
    </row>
    <row r="582" spans="15:42" ht="14.25" x14ac:dyDescent="0.45">
      <c r="O582" s="43" t="s">
        <v>33</v>
      </c>
      <c r="P582" s="43">
        <v>2</v>
      </c>
      <c r="Q582" s="43">
        <v>9</v>
      </c>
      <c r="R582" s="43">
        <v>2</v>
      </c>
      <c r="S582" s="45"/>
      <c r="T582" t="b">
        <f>(S581+S582+S583)=R3</f>
        <v>0</v>
      </c>
      <c r="X582" s="1">
        <f t="shared" si="50"/>
        <v>0</v>
      </c>
      <c r="Y582" s="48">
        <v>0</v>
      </c>
      <c r="AA582" s="1">
        <v>4</v>
      </c>
      <c r="AB582" s="1" t="s">
        <v>15</v>
      </c>
      <c r="AC582" s="1" t="s">
        <v>21</v>
      </c>
      <c r="AD582" s="1">
        <v>7</v>
      </c>
      <c r="AE582" s="1">
        <v>6</v>
      </c>
      <c r="AF582" s="1">
        <v>0.76</v>
      </c>
      <c r="AG582" s="1">
        <v>0.84</v>
      </c>
      <c r="AH582" s="1">
        <v>0</v>
      </c>
      <c r="AI582" s="1">
        <v>0</v>
      </c>
      <c r="AJ582" s="1">
        <f t="shared" si="45"/>
        <v>0</v>
      </c>
      <c r="AK582" s="1">
        <f>D60</f>
        <v>0</v>
      </c>
      <c r="AL582" s="1">
        <f>D66</f>
        <v>0</v>
      </c>
      <c r="AM582" s="1">
        <f t="shared" si="46"/>
        <v>0</v>
      </c>
      <c r="AN582" s="1">
        <f t="shared" si="47"/>
        <v>0</v>
      </c>
      <c r="AO582" s="1">
        <f t="shared" si="48"/>
        <v>0</v>
      </c>
      <c r="AP582" t="b" cm="1">
        <f t="array" ref="AP582">INDEX($AU$8:$BB$25,6*(R582-1)+MATCH(AB582,$AS$8:$AS$13,0),MATCH(O582,$AU$7:$BB$7,0))</f>
        <v>1</v>
      </c>
    </row>
    <row r="583" spans="15:42" ht="14.25" x14ac:dyDescent="0.45">
      <c r="O583" s="43" t="s">
        <v>33</v>
      </c>
      <c r="P583" s="43">
        <v>2</v>
      </c>
      <c r="Q583" s="43">
        <v>9</v>
      </c>
      <c r="R583" s="43">
        <v>3</v>
      </c>
      <c r="S583" s="45"/>
      <c r="T583" t="b">
        <f>(S581+S582+S583)=R3</f>
        <v>0</v>
      </c>
      <c r="X583" s="1">
        <f t="shared" si="50"/>
        <v>0</v>
      </c>
      <c r="Y583" s="48">
        <v>0</v>
      </c>
      <c r="AA583" s="1">
        <v>4</v>
      </c>
      <c r="AB583" s="1" t="s">
        <v>15</v>
      </c>
      <c r="AC583" s="1" t="s">
        <v>21</v>
      </c>
      <c r="AD583" s="1">
        <v>7</v>
      </c>
      <c r="AE583" s="1">
        <v>6</v>
      </c>
      <c r="AF583" s="1">
        <v>0.76</v>
      </c>
      <c r="AG583" s="1">
        <v>0.84</v>
      </c>
      <c r="AH583" s="1">
        <v>0</v>
      </c>
      <c r="AI583" s="1">
        <v>0</v>
      </c>
      <c r="AJ583" s="1">
        <f t="shared" si="45"/>
        <v>0</v>
      </c>
      <c r="AK583" s="1">
        <f>E60</f>
        <v>0</v>
      </c>
      <c r="AL583" s="1">
        <f>E66</f>
        <v>0</v>
      </c>
      <c r="AM583" s="1">
        <f t="shared" si="46"/>
        <v>0</v>
      </c>
      <c r="AN583" s="1">
        <f t="shared" si="47"/>
        <v>0</v>
      </c>
      <c r="AO583" s="1">
        <f t="shared" si="48"/>
        <v>0</v>
      </c>
      <c r="AP583" t="b" cm="1">
        <f t="array" ref="AP583">INDEX($AU$8:$BB$25,6*(R583-1)+MATCH(AB583,$AS$8:$AS$13,0),MATCH(O583,$AU$7:$BB$7,0))</f>
        <v>1</v>
      </c>
    </row>
    <row r="584" spans="15:42" ht="14.25" x14ac:dyDescent="0.45">
      <c r="O584" s="43" t="s">
        <v>33</v>
      </c>
      <c r="P584" s="43">
        <v>2</v>
      </c>
      <c r="Q584" s="43">
        <v>10</v>
      </c>
      <c r="R584" s="43">
        <v>1</v>
      </c>
      <c r="S584" s="45"/>
      <c r="T584" t="b">
        <f>(S584+S585+S586)=R3</f>
        <v>0</v>
      </c>
      <c r="X584" s="1">
        <f t="shared" si="50"/>
        <v>0</v>
      </c>
      <c r="Y584" s="48">
        <v>0</v>
      </c>
      <c r="AA584" s="1">
        <v>6</v>
      </c>
      <c r="AB584" s="1" t="s">
        <v>15</v>
      </c>
      <c r="AC584" s="1" t="s">
        <v>21</v>
      </c>
      <c r="AD584" s="1">
        <v>9</v>
      </c>
      <c r="AE584" s="1">
        <v>7</v>
      </c>
      <c r="AF584" s="1">
        <v>0.76</v>
      </c>
      <c r="AG584" s="1">
        <v>0.84</v>
      </c>
      <c r="AH584" s="1">
        <v>0</v>
      </c>
      <c r="AI584" s="1">
        <v>0</v>
      </c>
      <c r="AJ584" s="1">
        <f t="shared" si="45"/>
        <v>0</v>
      </c>
      <c r="AK584" s="1">
        <f>C60</f>
        <v>0</v>
      </c>
      <c r="AL584" s="1">
        <f>C66</f>
        <v>0</v>
      </c>
      <c r="AM584" s="1">
        <f t="shared" si="46"/>
        <v>0</v>
      </c>
      <c r="AN584" s="1">
        <f t="shared" si="47"/>
        <v>0</v>
      </c>
      <c r="AO584" s="1">
        <f t="shared" si="48"/>
        <v>0</v>
      </c>
      <c r="AP584" t="b" cm="1">
        <f t="array" ref="AP584">INDEX($AU$8:$BB$25,6*(R584-1)+MATCH(AB584,$AS$8:$AS$13,0),MATCH(O584,$AU$7:$BB$7,0))</f>
        <v>1</v>
      </c>
    </row>
    <row r="585" spans="15:42" ht="14.25" x14ac:dyDescent="0.45">
      <c r="O585" s="43" t="s">
        <v>33</v>
      </c>
      <c r="P585" s="43">
        <v>2</v>
      </c>
      <c r="Q585" s="43">
        <v>10</v>
      </c>
      <c r="R585" s="43">
        <v>2</v>
      </c>
      <c r="S585" s="45"/>
      <c r="T585" t="b">
        <f>(S584+S585+S586)=R3</f>
        <v>0</v>
      </c>
      <c r="X585" s="1">
        <f t="shared" si="50"/>
        <v>0</v>
      </c>
      <c r="Y585" s="48">
        <v>0</v>
      </c>
      <c r="AA585" s="1">
        <v>6</v>
      </c>
      <c r="AB585" s="1" t="s">
        <v>15</v>
      </c>
      <c r="AC585" s="1" t="s">
        <v>21</v>
      </c>
      <c r="AD585" s="1">
        <v>9</v>
      </c>
      <c r="AE585" s="1">
        <v>7</v>
      </c>
      <c r="AF585" s="1">
        <v>0.76</v>
      </c>
      <c r="AG585" s="1">
        <v>0.84</v>
      </c>
      <c r="AH585" s="1">
        <v>0</v>
      </c>
      <c r="AI585" s="1">
        <v>0</v>
      </c>
      <c r="AJ585" s="1">
        <f t="shared" ref="AJ585:AJ648" si="51">SUMIFS(AH$8:AH$1039,$O$8:$O$1039,O585,$AB$8:$AB$1039,AB585,$R$8:$R$1039,R585,$AA$8:$AA$1039,"&lt;="&amp;AA585)</f>
        <v>0</v>
      </c>
      <c r="AK585" s="1">
        <f>D60</f>
        <v>0</v>
      </c>
      <c r="AL585" s="1">
        <f>D66</f>
        <v>0</v>
      </c>
      <c r="AM585" s="1">
        <f t="shared" ref="AM585:AM648" si="52">MAX(0,AJ585-AK585)</f>
        <v>0</v>
      </c>
      <c r="AN585" s="1">
        <f t="shared" ref="AN585:AN648" si="53">IF(AM585=0,AH585,IF(AM585&gt;=AH585,0,AH585-AM585))</f>
        <v>0</v>
      </c>
      <c r="AO585" s="1">
        <f t="shared" ref="AO585:AO648" si="54">IF(AM585&gt;=AH585,AI585,AI585*AM585/AH585)</f>
        <v>0</v>
      </c>
      <c r="AP585" t="b" cm="1">
        <f t="array" ref="AP585">INDEX($AU$8:$BB$25,6*(R585-1)+MATCH(AB585,$AS$8:$AS$13,0),MATCH(O585,$AU$7:$BB$7,0))</f>
        <v>1</v>
      </c>
    </row>
    <row r="586" spans="15:42" ht="14.25" x14ac:dyDescent="0.45">
      <c r="O586" s="43" t="s">
        <v>33</v>
      </c>
      <c r="P586" s="43">
        <v>2</v>
      </c>
      <c r="Q586" s="43">
        <v>10</v>
      </c>
      <c r="R586" s="43">
        <v>3</v>
      </c>
      <c r="S586" s="45"/>
      <c r="T586" t="b">
        <f>(S584+S585+S586)=R3</f>
        <v>0</v>
      </c>
      <c r="X586" s="1">
        <f t="shared" si="50"/>
        <v>0</v>
      </c>
      <c r="Y586" s="48">
        <v>0</v>
      </c>
      <c r="AA586" s="1">
        <v>6</v>
      </c>
      <c r="AB586" s="1" t="s">
        <v>15</v>
      </c>
      <c r="AC586" s="1" t="s">
        <v>21</v>
      </c>
      <c r="AD586" s="1">
        <v>9</v>
      </c>
      <c r="AE586" s="1">
        <v>7</v>
      </c>
      <c r="AF586" s="1">
        <v>0.76</v>
      </c>
      <c r="AG586" s="1">
        <v>0.84</v>
      </c>
      <c r="AH586" s="1">
        <v>0</v>
      </c>
      <c r="AI586" s="1">
        <v>0</v>
      </c>
      <c r="AJ586" s="1">
        <f t="shared" si="51"/>
        <v>0</v>
      </c>
      <c r="AK586" s="1">
        <f>E60</f>
        <v>0</v>
      </c>
      <c r="AL586" s="1">
        <f>E66</f>
        <v>0</v>
      </c>
      <c r="AM586" s="1">
        <f t="shared" si="52"/>
        <v>0</v>
      </c>
      <c r="AN586" s="1">
        <f t="shared" si="53"/>
        <v>0</v>
      </c>
      <c r="AO586" s="1">
        <f t="shared" si="54"/>
        <v>0</v>
      </c>
      <c r="AP586" t="b" cm="1">
        <f t="array" ref="AP586">INDEX($AU$8:$BB$25,6*(R586-1)+MATCH(AB586,$AS$8:$AS$13,0),MATCH(O586,$AU$7:$BB$7,0))</f>
        <v>1</v>
      </c>
    </row>
    <row r="587" spans="15:42" ht="14.25" x14ac:dyDescent="0.45">
      <c r="O587" s="43" t="s">
        <v>33</v>
      </c>
      <c r="P587" s="43">
        <v>2</v>
      </c>
      <c r="Q587" s="43">
        <v>11</v>
      </c>
      <c r="R587" s="43">
        <v>1</v>
      </c>
      <c r="S587" s="45"/>
      <c r="T587" t="b">
        <f>(S587+S588+S589)=R3</f>
        <v>0</v>
      </c>
      <c r="X587" s="1">
        <f t="shared" si="50"/>
        <v>0</v>
      </c>
      <c r="Y587" s="48">
        <v>0</v>
      </c>
      <c r="AA587" s="1">
        <v>2</v>
      </c>
      <c r="AB587" s="1" t="s">
        <v>15</v>
      </c>
      <c r="AC587" s="1" t="s">
        <v>21</v>
      </c>
      <c r="AD587" s="1">
        <v>20</v>
      </c>
      <c r="AE587" s="1">
        <v>19</v>
      </c>
      <c r="AF587" s="1">
        <v>0.76</v>
      </c>
      <c r="AG587" s="1">
        <v>0.84</v>
      </c>
      <c r="AH587" s="1">
        <v>0</v>
      </c>
      <c r="AI587" s="1">
        <v>0</v>
      </c>
      <c r="AJ587" s="1">
        <f t="shared" si="51"/>
        <v>0</v>
      </c>
      <c r="AK587" s="1">
        <f>C60</f>
        <v>0</v>
      </c>
      <c r="AL587" s="1">
        <f>C66</f>
        <v>0</v>
      </c>
      <c r="AM587" s="1">
        <f t="shared" si="52"/>
        <v>0</v>
      </c>
      <c r="AN587" s="1">
        <f t="shared" si="53"/>
        <v>0</v>
      </c>
      <c r="AO587" s="1">
        <f t="shared" si="54"/>
        <v>0</v>
      </c>
      <c r="AP587" t="b" cm="1">
        <f t="array" ref="AP587">INDEX($AU$8:$BB$25,6*(R587-1)+MATCH(AB587,$AS$8:$AS$13,0),MATCH(O587,$AU$7:$BB$7,0))</f>
        <v>1</v>
      </c>
    </row>
    <row r="588" spans="15:42" ht="14.25" x14ac:dyDescent="0.45">
      <c r="O588" s="43" t="s">
        <v>33</v>
      </c>
      <c r="P588" s="43">
        <v>2</v>
      </c>
      <c r="Q588" s="43">
        <v>11</v>
      </c>
      <c r="R588" s="43">
        <v>2</v>
      </c>
      <c r="S588" s="45"/>
      <c r="T588" t="b">
        <f>(S587+S588+S589)=R3</f>
        <v>0</v>
      </c>
      <c r="X588" s="1">
        <f t="shared" si="50"/>
        <v>0</v>
      </c>
      <c r="Y588" s="48">
        <v>0</v>
      </c>
      <c r="AA588" s="1">
        <v>2</v>
      </c>
      <c r="AB588" s="1" t="s">
        <v>15</v>
      </c>
      <c r="AC588" s="1" t="s">
        <v>21</v>
      </c>
      <c r="AD588" s="1">
        <v>20</v>
      </c>
      <c r="AE588" s="1">
        <v>19</v>
      </c>
      <c r="AF588" s="1">
        <v>0.76</v>
      </c>
      <c r="AG588" s="1">
        <v>0.84</v>
      </c>
      <c r="AH588" s="1">
        <v>0</v>
      </c>
      <c r="AI588" s="1">
        <v>0</v>
      </c>
      <c r="AJ588" s="1">
        <f t="shared" si="51"/>
        <v>0</v>
      </c>
      <c r="AK588" s="1">
        <f>D60</f>
        <v>0</v>
      </c>
      <c r="AL588" s="1">
        <f>D66</f>
        <v>0</v>
      </c>
      <c r="AM588" s="1">
        <f t="shared" si="52"/>
        <v>0</v>
      </c>
      <c r="AN588" s="1">
        <f t="shared" si="53"/>
        <v>0</v>
      </c>
      <c r="AO588" s="1">
        <f t="shared" si="54"/>
        <v>0</v>
      </c>
      <c r="AP588" t="b" cm="1">
        <f t="array" ref="AP588">INDEX($AU$8:$BB$25,6*(R588-1)+MATCH(AB588,$AS$8:$AS$13,0),MATCH(O588,$AU$7:$BB$7,0))</f>
        <v>1</v>
      </c>
    </row>
    <row r="589" spans="15:42" ht="14.25" x14ac:dyDescent="0.45">
      <c r="O589" s="43" t="s">
        <v>33</v>
      </c>
      <c r="P589" s="43">
        <v>2</v>
      </c>
      <c r="Q589" s="43">
        <v>11</v>
      </c>
      <c r="R589" s="43">
        <v>3</v>
      </c>
      <c r="S589" s="45"/>
      <c r="T589" t="b">
        <f>(S587+S588+S589)=R3</f>
        <v>0</v>
      </c>
      <c r="X589" s="1">
        <f t="shared" si="50"/>
        <v>0</v>
      </c>
      <c r="Y589" s="48">
        <v>0</v>
      </c>
      <c r="AA589" s="1">
        <v>2</v>
      </c>
      <c r="AB589" s="1" t="s">
        <v>15</v>
      </c>
      <c r="AC589" s="1" t="s">
        <v>21</v>
      </c>
      <c r="AD589" s="1">
        <v>20</v>
      </c>
      <c r="AE589" s="1">
        <v>19</v>
      </c>
      <c r="AF589" s="1">
        <v>0.76</v>
      </c>
      <c r="AG589" s="1">
        <v>0.84</v>
      </c>
      <c r="AH589" s="1">
        <v>0</v>
      </c>
      <c r="AI589" s="1">
        <v>0</v>
      </c>
      <c r="AJ589" s="1">
        <f t="shared" si="51"/>
        <v>0</v>
      </c>
      <c r="AK589" s="1">
        <f>E60</f>
        <v>0</v>
      </c>
      <c r="AL589" s="1">
        <f>E66</f>
        <v>0</v>
      </c>
      <c r="AM589" s="1">
        <f t="shared" si="52"/>
        <v>0</v>
      </c>
      <c r="AN589" s="1">
        <f t="shared" si="53"/>
        <v>0</v>
      </c>
      <c r="AO589" s="1">
        <f t="shared" si="54"/>
        <v>0</v>
      </c>
      <c r="AP589" t="b" cm="1">
        <f t="array" ref="AP589">INDEX($AU$8:$BB$25,6*(R589-1)+MATCH(AB589,$AS$8:$AS$13,0),MATCH(O589,$AU$7:$BB$7,0))</f>
        <v>1</v>
      </c>
    </row>
    <row r="590" spans="15:42" ht="14.25" x14ac:dyDescent="0.45">
      <c r="O590" s="43" t="s">
        <v>33</v>
      </c>
      <c r="P590" s="43">
        <v>2</v>
      </c>
      <c r="Q590" s="43">
        <v>12</v>
      </c>
      <c r="R590" s="43">
        <v>1</v>
      </c>
      <c r="S590" s="45"/>
      <c r="T590" t="b">
        <f>(S590+S591+S592)=R3</f>
        <v>0</v>
      </c>
      <c r="X590" s="1">
        <f t="shared" si="50"/>
        <v>0</v>
      </c>
      <c r="Y590" s="48">
        <v>0</v>
      </c>
      <c r="AA590" s="1">
        <v>7</v>
      </c>
      <c r="AB590" s="1" t="s">
        <v>16</v>
      </c>
      <c r="AC590" s="1" t="s">
        <v>22</v>
      </c>
      <c r="AD590" s="1">
        <v>21</v>
      </c>
      <c r="AE590" s="1">
        <v>18</v>
      </c>
      <c r="AF590" s="1">
        <v>0.8</v>
      </c>
      <c r="AG590" s="1">
        <v>0.9</v>
      </c>
      <c r="AH590" s="1">
        <v>0</v>
      </c>
      <c r="AI590" s="1">
        <v>0</v>
      </c>
      <c r="AJ590" s="1">
        <f t="shared" si="51"/>
        <v>0</v>
      </c>
      <c r="AK590" s="1">
        <f>C61</f>
        <v>0</v>
      </c>
      <c r="AL590" s="1">
        <f>C67</f>
        <v>0</v>
      </c>
      <c r="AM590" s="1">
        <f t="shared" si="52"/>
        <v>0</v>
      </c>
      <c r="AN590" s="1">
        <f t="shared" si="53"/>
        <v>0</v>
      </c>
      <c r="AO590" s="1">
        <f t="shared" si="54"/>
        <v>0</v>
      </c>
      <c r="AP590" t="b" cm="1">
        <f t="array" ref="AP590">INDEX($AU$8:$BB$25,6*(R590-1)+MATCH(AB590,$AS$8:$AS$13,0),MATCH(O590,$AU$7:$BB$7,0))</f>
        <v>1</v>
      </c>
    </row>
    <row r="591" spans="15:42" ht="14.25" x14ac:dyDescent="0.45">
      <c r="O591" s="43" t="s">
        <v>33</v>
      </c>
      <c r="P591" s="43">
        <v>2</v>
      </c>
      <c r="Q591" s="43">
        <v>12</v>
      </c>
      <c r="R591" s="43">
        <v>2</v>
      </c>
      <c r="S591" s="45"/>
      <c r="T591" t="b">
        <f>(S590+S591+S592)=R3</f>
        <v>0</v>
      </c>
      <c r="X591" s="1">
        <f t="shared" si="50"/>
        <v>0</v>
      </c>
      <c r="Y591" s="48">
        <v>0</v>
      </c>
      <c r="AA591" s="1">
        <v>7</v>
      </c>
      <c r="AB591" s="1" t="s">
        <v>16</v>
      </c>
      <c r="AC591" s="1" t="s">
        <v>22</v>
      </c>
      <c r="AD591" s="1">
        <v>21</v>
      </c>
      <c r="AE591" s="1">
        <v>18</v>
      </c>
      <c r="AF591" s="1">
        <v>0.8</v>
      </c>
      <c r="AG591" s="1">
        <v>0.9</v>
      </c>
      <c r="AH591" s="1">
        <v>0</v>
      </c>
      <c r="AI591" s="1">
        <v>0</v>
      </c>
      <c r="AJ591" s="1">
        <f t="shared" si="51"/>
        <v>0</v>
      </c>
      <c r="AK591" s="1">
        <f>D61</f>
        <v>0</v>
      </c>
      <c r="AL591" s="1">
        <f>D67</f>
        <v>0</v>
      </c>
      <c r="AM591" s="1">
        <f t="shared" si="52"/>
        <v>0</v>
      </c>
      <c r="AN591" s="1">
        <f t="shared" si="53"/>
        <v>0</v>
      </c>
      <c r="AO591" s="1">
        <f t="shared" si="54"/>
        <v>0</v>
      </c>
      <c r="AP591" t="b" cm="1">
        <f t="array" ref="AP591">INDEX($AU$8:$BB$25,6*(R591-1)+MATCH(AB591,$AS$8:$AS$13,0),MATCH(O591,$AU$7:$BB$7,0))</f>
        <v>1</v>
      </c>
    </row>
    <row r="592" spans="15:42" ht="14.25" x14ac:dyDescent="0.45">
      <c r="O592" s="43" t="s">
        <v>33</v>
      </c>
      <c r="P592" s="43">
        <v>2</v>
      </c>
      <c r="Q592" s="43">
        <v>12</v>
      </c>
      <c r="R592" s="43">
        <v>3</v>
      </c>
      <c r="S592" s="45"/>
      <c r="T592" t="b">
        <f>(S590+S591+S592)=R3</f>
        <v>0</v>
      </c>
      <c r="X592" s="1">
        <f t="shared" si="50"/>
        <v>0</v>
      </c>
      <c r="Y592" s="48">
        <v>0</v>
      </c>
      <c r="AA592" s="1">
        <v>7</v>
      </c>
      <c r="AB592" s="1" t="s">
        <v>16</v>
      </c>
      <c r="AC592" s="1" t="s">
        <v>22</v>
      </c>
      <c r="AD592" s="1">
        <v>21</v>
      </c>
      <c r="AE592" s="1">
        <v>18</v>
      </c>
      <c r="AF592" s="1">
        <v>0.8</v>
      </c>
      <c r="AG592" s="1">
        <v>0.9</v>
      </c>
      <c r="AH592" s="1">
        <v>0</v>
      </c>
      <c r="AI592" s="1">
        <v>0</v>
      </c>
      <c r="AJ592" s="1">
        <f t="shared" si="51"/>
        <v>0</v>
      </c>
      <c r="AK592" s="1">
        <f>E61</f>
        <v>0</v>
      </c>
      <c r="AL592" s="1">
        <f>E67</f>
        <v>0</v>
      </c>
      <c r="AM592" s="1">
        <f t="shared" si="52"/>
        <v>0</v>
      </c>
      <c r="AN592" s="1">
        <f t="shared" si="53"/>
        <v>0</v>
      </c>
      <c r="AO592" s="1">
        <f t="shared" si="54"/>
        <v>0</v>
      </c>
      <c r="AP592" t="b" cm="1">
        <f t="array" ref="AP592">INDEX($AU$8:$BB$25,6*(R592-1)+MATCH(AB592,$AS$8:$AS$13,0),MATCH(O592,$AU$7:$BB$7,0))</f>
        <v>1</v>
      </c>
    </row>
    <row r="593" spans="15:42" ht="14.25" x14ac:dyDescent="0.45">
      <c r="O593" s="43" t="s">
        <v>33</v>
      </c>
      <c r="P593" s="43">
        <v>2</v>
      </c>
      <c r="Q593" s="43">
        <v>13</v>
      </c>
      <c r="R593" s="43">
        <v>1</v>
      </c>
      <c r="S593" s="45"/>
      <c r="T593" t="b">
        <f>(S593+S594+S595)=R3</f>
        <v>0</v>
      </c>
      <c r="X593" s="1">
        <f t="shared" si="50"/>
        <v>0</v>
      </c>
      <c r="Y593" s="48">
        <v>0</v>
      </c>
      <c r="AA593" s="1">
        <v>8</v>
      </c>
      <c r="AB593" s="1" t="s">
        <v>15</v>
      </c>
      <c r="AC593" s="1" t="s">
        <v>21</v>
      </c>
      <c r="AD593" s="1">
        <v>12</v>
      </c>
      <c r="AE593" s="1">
        <v>9</v>
      </c>
      <c r="AF593" s="1">
        <v>0.76</v>
      </c>
      <c r="AG593" s="1">
        <v>0.84</v>
      </c>
      <c r="AH593" s="1">
        <v>0</v>
      </c>
      <c r="AI593" s="1">
        <v>0</v>
      </c>
      <c r="AJ593" s="1">
        <f t="shared" si="51"/>
        <v>0</v>
      </c>
      <c r="AK593" s="1">
        <f>C60</f>
        <v>0</v>
      </c>
      <c r="AL593" s="1">
        <f>C66</f>
        <v>0</v>
      </c>
      <c r="AM593" s="1">
        <f t="shared" si="52"/>
        <v>0</v>
      </c>
      <c r="AN593" s="1">
        <f t="shared" si="53"/>
        <v>0</v>
      </c>
      <c r="AO593" s="1">
        <f t="shared" si="54"/>
        <v>0</v>
      </c>
      <c r="AP593" t="b" cm="1">
        <f t="array" ref="AP593">INDEX($AU$8:$BB$25,6*(R593-1)+MATCH(AB593,$AS$8:$AS$13,0),MATCH(O593,$AU$7:$BB$7,0))</f>
        <v>1</v>
      </c>
    </row>
    <row r="594" spans="15:42" ht="14.25" x14ac:dyDescent="0.45">
      <c r="O594" s="43" t="s">
        <v>33</v>
      </c>
      <c r="P594" s="43">
        <v>2</v>
      </c>
      <c r="Q594" s="43">
        <v>13</v>
      </c>
      <c r="R594" s="43">
        <v>2</v>
      </c>
      <c r="S594" s="45"/>
      <c r="T594" t="b">
        <f>(S593+S594+S595)=R3</f>
        <v>0</v>
      </c>
      <c r="X594" s="1">
        <f t="shared" si="50"/>
        <v>0</v>
      </c>
      <c r="Y594" s="48">
        <v>0</v>
      </c>
      <c r="AA594" s="1">
        <v>8</v>
      </c>
      <c r="AB594" s="1" t="s">
        <v>15</v>
      </c>
      <c r="AC594" s="1" t="s">
        <v>21</v>
      </c>
      <c r="AD594" s="1">
        <v>12</v>
      </c>
      <c r="AE594" s="1">
        <v>9</v>
      </c>
      <c r="AF594" s="1">
        <v>0.76</v>
      </c>
      <c r="AG594" s="1">
        <v>0.84</v>
      </c>
      <c r="AH594" s="1">
        <v>0</v>
      </c>
      <c r="AI594" s="1">
        <v>0</v>
      </c>
      <c r="AJ594" s="1">
        <f t="shared" si="51"/>
        <v>0</v>
      </c>
      <c r="AK594" s="1">
        <f>D60</f>
        <v>0</v>
      </c>
      <c r="AL594" s="1">
        <f>D66</f>
        <v>0</v>
      </c>
      <c r="AM594" s="1">
        <f t="shared" si="52"/>
        <v>0</v>
      </c>
      <c r="AN594" s="1">
        <f t="shared" si="53"/>
        <v>0</v>
      </c>
      <c r="AO594" s="1">
        <f t="shared" si="54"/>
        <v>0</v>
      </c>
      <c r="AP594" t="b" cm="1">
        <f t="array" ref="AP594">INDEX($AU$8:$BB$25,6*(R594-1)+MATCH(AB594,$AS$8:$AS$13,0),MATCH(O594,$AU$7:$BB$7,0))</f>
        <v>1</v>
      </c>
    </row>
    <row r="595" spans="15:42" ht="14.25" x14ac:dyDescent="0.45">
      <c r="O595" s="43" t="s">
        <v>33</v>
      </c>
      <c r="P595" s="43">
        <v>2</v>
      </c>
      <c r="Q595" s="43">
        <v>13</v>
      </c>
      <c r="R595" s="43">
        <v>3</v>
      </c>
      <c r="S595" s="45"/>
      <c r="T595" t="b">
        <f>(S593+S594+S595)=R3</f>
        <v>0</v>
      </c>
      <c r="X595" s="1">
        <f t="shared" si="50"/>
        <v>0</v>
      </c>
      <c r="Y595" s="48">
        <v>0</v>
      </c>
      <c r="AA595" s="1">
        <v>8</v>
      </c>
      <c r="AB595" s="1" t="s">
        <v>15</v>
      </c>
      <c r="AC595" s="1" t="s">
        <v>21</v>
      </c>
      <c r="AD595" s="1">
        <v>12</v>
      </c>
      <c r="AE595" s="1">
        <v>9</v>
      </c>
      <c r="AF595" s="1">
        <v>0.76</v>
      </c>
      <c r="AG595" s="1">
        <v>0.84</v>
      </c>
      <c r="AH595" s="1">
        <v>0</v>
      </c>
      <c r="AI595" s="1">
        <v>0</v>
      </c>
      <c r="AJ595" s="1">
        <f t="shared" si="51"/>
        <v>0</v>
      </c>
      <c r="AK595" s="1">
        <f>E60</f>
        <v>0</v>
      </c>
      <c r="AL595" s="1">
        <f>E66</f>
        <v>0</v>
      </c>
      <c r="AM595" s="1">
        <f t="shared" si="52"/>
        <v>0</v>
      </c>
      <c r="AN595" s="1">
        <f t="shared" si="53"/>
        <v>0</v>
      </c>
      <c r="AO595" s="1">
        <f t="shared" si="54"/>
        <v>0</v>
      </c>
      <c r="AP595" t="b" cm="1">
        <f t="array" ref="AP595">INDEX($AU$8:$BB$25,6*(R595-1)+MATCH(AB595,$AS$8:$AS$13,0),MATCH(O595,$AU$7:$BB$7,0))</f>
        <v>1</v>
      </c>
    </row>
    <row r="596" spans="15:42" ht="14.25" x14ac:dyDescent="0.45">
      <c r="O596" s="43" t="s">
        <v>33</v>
      </c>
      <c r="P596" s="43">
        <v>2</v>
      </c>
      <c r="Q596" s="43">
        <v>14</v>
      </c>
      <c r="R596" s="43">
        <v>1</v>
      </c>
      <c r="S596" s="45"/>
      <c r="T596" t="b">
        <f>(S596+S597+S598)=R3</f>
        <v>0</v>
      </c>
      <c r="X596" s="1">
        <f t="shared" si="50"/>
        <v>0</v>
      </c>
      <c r="Y596" s="48">
        <v>0</v>
      </c>
      <c r="AA596" s="1">
        <v>5</v>
      </c>
      <c r="AB596" s="1" t="s">
        <v>15</v>
      </c>
      <c r="AC596" s="1" t="s">
        <v>21</v>
      </c>
      <c r="AD596" s="1">
        <v>15</v>
      </c>
      <c r="AE596" s="1">
        <v>12</v>
      </c>
      <c r="AF596" s="1">
        <v>0.76</v>
      </c>
      <c r="AG596" s="1">
        <v>0.84</v>
      </c>
      <c r="AH596" s="1">
        <v>0</v>
      </c>
      <c r="AI596" s="1">
        <v>0</v>
      </c>
      <c r="AJ596" s="1">
        <f t="shared" si="51"/>
        <v>0</v>
      </c>
      <c r="AK596" s="1">
        <f>C60</f>
        <v>0</v>
      </c>
      <c r="AL596" s="1">
        <f>C66</f>
        <v>0</v>
      </c>
      <c r="AM596" s="1">
        <f t="shared" si="52"/>
        <v>0</v>
      </c>
      <c r="AN596" s="1">
        <f t="shared" si="53"/>
        <v>0</v>
      </c>
      <c r="AO596" s="1">
        <f t="shared" si="54"/>
        <v>0</v>
      </c>
      <c r="AP596" t="b" cm="1">
        <f t="array" ref="AP596">INDEX($AU$8:$BB$25,6*(R596-1)+MATCH(AB596,$AS$8:$AS$13,0),MATCH(O596,$AU$7:$BB$7,0))</f>
        <v>1</v>
      </c>
    </row>
    <row r="597" spans="15:42" ht="14.25" x14ac:dyDescent="0.45">
      <c r="O597" s="43" t="s">
        <v>33</v>
      </c>
      <c r="P597" s="43">
        <v>2</v>
      </c>
      <c r="Q597" s="43">
        <v>14</v>
      </c>
      <c r="R597" s="43">
        <v>2</v>
      </c>
      <c r="S597" s="45"/>
      <c r="T597" t="b">
        <f>(S596+S597+S598)=R3</f>
        <v>0</v>
      </c>
      <c r="X597" s="1">
        <f t="shared" si="50"/>
        <v>0</v>
      </c>
      <c r="Y597" s="48">
        <v>0</v>
      </c>
      <c r="AA597" s="1">
        <v>5</v>
      </c>
      <c r="AB597" s="1" t="s">
        <v>15</v>
      </c>
      <c r="AC597" s="1" t="s">
        <v>21</v>
      </c>
      <c r="AD597" s="1">
        <v>15</v>
      </c>
      <c r="AE597" s="1">
        <v>12</v>
      </c>
      <c r="AF597" s="1">
        <v>0.76</v>
      </c>
      <c r="AG597" s="1">
        <v>0.84</v>
      </c>
      <c r="AH597" s="1">
        <v>0</v>
      </c>
      <c r="AI597" s="1">
        <v>0</v>
      </c>
      <c r="AJ597" s="1">
        <f t="shared" si="51"/>
        <v>0</v>
      </c>
      <c r="AK597" s="1">
        <f>D60</f>
        <v>0</v>
      </c>
      <c r="AL597" s="1">
        <f>D66</f>
        <v>0</v>
      </c>
      <c r="AM597" s="1">
        <f t="shared" si="52"/>
        <v>0</v>
      </c>
      <c r="AN597" s="1">
        <f t="shared" si="53"/>
        <v>0</v>
      </c>
      <c r="AO597" s="1">
        <f t="shared" si="54"/>
        <v>0</v>
      </c>
      <c r="AP597" t="b" cm="1">
        <f t="array" ref="AP597">INDEX($AU$8:$BB$25,6*(R597-1)+MATCH(AB597,$AS$8:$AS$13,0),MATCH(O597,$AU$7:$BB$7,0))</f>
        <v>1</v>
      </c>
    </row>
    <row r="598" spans="15:42" ht="14.25" x14ac:dyDescent="0.45">
      <c r="O598" s="43" t="s">
        <v>33</v>
      </c>
      <c r="P598" s="43">
        <v>2</v>
      </c>
      <c r="Q598" s="43">
        <v>14</v>
      </c>
      <c r="R598" s="43">
        <v>3</v>
      </c>
      <c r="S598" s="45"/>
      <c r="T598" t="b">
        <f>(S596+S597+S598)=R3</f>
        <v>0</v>
      </c>
      <c r="X598" s="1">
        <f t="shared" si="50"/>
        <v>0</v>
      </c>
      <c r="Y598" s="48">
        <v>0</v>
      </c>
      <c r="AA598" s="1">
        <v>5</v>
      </c>
      <c r="AB598" s="1" t="s">
        <v>15</v>
      </c>
      <c r="AC598" s="1" t="s">
        <v>21</v>
      </c>
      <c r="AD598" s="1">
        <v>15</v>
      </c>
      <c r="AE598" s="1">
        <v>12</v>
      </c>
      <c r="AF598" s="1">
        <v>0.76</v>
      </c>
      <c r="AG598" s="1">
        <v>0.84</v>
      </c>
      <c r="AH598" s="1">
        <v>0</v>
      </c>
      <c r="AI598" s="1">
        <v>0</v>
      </c>
      <c r="AJ598" s="1">
        <f t="shared" si="51"/>
        <v>0</v>
      </c>
      <c r="AK598" s="1">
        <f>E60</f>
        <v>0</v>
      </c>
      <c r="AL598" s="1">
        <f>E66</f>
        <v>0</v>
      </c>
      <c r="AM598" s="1">
        <f t="shared" si="52"/>
        <v>0</v>
      </c>
      <c r="AN598" s="1">
        <f t="shared" si="53"/>
        <v>0</v>
      </c>
      <c r="AO598" s="1">
        <f t="shared" si="54"/>
        <v>0</v>
      </c>
      <c r="AP598" t="b" cm="1">
        <f t="array" ref="AP598">INDEX($AU$8:$BB$25,6*(R598-1)+MATCH(AB598,$AS$8:$AS$13,0),MATCH(O598,$AU$7:$BB$7,0))</f>
        <v>1</v>
      </c>
    </row>
    <row r="599" spans="15:42" ht="14.25" x14ac:dyDescent="0.45">
      <c r="O599" s="43" t="s">
        <v>33</v>
      </c>
      <c r="P599" s="43">
        <v>2</v>
      </c>
      <c r="Q599" s="43">
        <v>15</v>
      </c>
      <c r="R599" s="43">
        <v>1</v>
      </c>
      <c r="S599" s="45"/>
      <c r="T599" t="b">
        <f>(S599+S600+S601)=R3</f>
        <v>0</v>
      </c>
      <c r="X599" s="1">
        <f t="shared" si="50"/>
        <v>0</v>
      </c>
      <c r="Y599" s="48">
        <v>0</v>
      </c>
      <c r="AA599" s="1">
        <v>7</v>
      </c>
      <c r="AB599" s="1" t="s">
        <v>15</v>
      </c>
      <c r="AC599" s="1" t="s">
        <v>21</v>
      </c>
      <c r="AD599" s="1">
        <v>13</v>
      </c>
      <c r="AE599" s="1">
        <v>10</v>
      </c>
      <c r="AF599" s="1">
        <v>0.76</v>
      </c>
      <c r="AG599" s="1">
        <v>0.84</v>
      </c>
      <c r="AH599" s="1">
        <v>0</v>
      </c>
      <c r="AI599" s="1">
        <v>0</v>
      </c>
      <c r="AJ599" s="1">
        <f t="shared" si="51"/>
        <v>0</v>
      </c>
      <c r="AK599" s="1">
        <f>C60</f>
        <v>0</v>
      </c>
      <c r="AL599" s="1">
        <f>C66</f>
        <v>0</v>
      </c>
      <c r="AM599" s="1">
        <f t="shared" si="52"/>
        <v>0</v>
      </c>
      <c r="AN599" s="1">
        <f t="shared" si="53"/>
        <v>0</v>
      </c>
      <c r="AO599" s="1">
        <f t="shared" si="54"/>
        <v>0</v>
      </c>
      <c r="AP599" t="b" cm="1">
        <f t="array" ref="AP599">INDEX($AU$8:$BB$25,6*(R599-1)+MATCH(AB599,$AS$8:$AS$13,0),MATCH(O599,$AU$7:$BB$7,0))</f>
        <v>1</v>
      </c>
    </row>
    <row r="600" spans="15:42" ht="14.25" x14ac:dyDescent="0.45">
      <c r="O600" s="43" t="s">
        <v>33</v>
      </c>
      <c r="P600" s="43">
        <v>2</v>
      </c>
      <c r="Q600" s="43">
        <v>15</v>
      </c>
      <c r="R600" s="43">
        <v>2</v>
      </c>
      <c r="S600" s="45"/>
      <c r="T600" t="b">
        <f>(S599+S600+S601)=R3</f>
        <v>0</v>
      </c>
      <c r="X600" s="1">
        <f t="shared" si="50"/>
        <v>0</v>
      </c>
      <c r="Y600" s="48">
        <v>0</v>
      </c>
      <c r="AA600" s="1">
        <v>7</v>
      </c>
      <c r="AB600" s="1" t="s">
        <v>15</v>
      </c>
      <c r="AC600" s="1" t="s">
        <v>21</v>
      </c>
      <c r="AD600" s="1">
        <v>13</v>
      </c>
      <c r="AE600" s="1">
        <v>10</v>
      </c>
      <c r="AF600" s="1">
        <v>0.76</v>
      </c>
      <c r="AG600" s="1">
        <v>0.84</v>
      </c>
      <c r="AH600" s="1">
        <v>0</v>
      </c>
      <c r="AI600" s="1">
        <v>0</v>
      </c>
      <c r="AJ600" s="1">
        <f t="shared" si="51"/>
        <v>0</v>
      </c>
      <c r="AK600" s="1">
        <f>D60</f>
        <v>0</v>
      </c>
      <c r="AL600" s="1">
        <f>D66</f>
        <v>0</v>
      </c>
      <c r="AM600" s="1">
        <f t="shared" si="52"/>
        <v>0</v>
      </c>
      <c r="AN600" s="1">
        <f t="shared" si="53"/>
        <v>0</v>
      </c>
      <c r="AO600" s="1">
        <f t="shared" si="54"/>
        <v>0</v>
      </c>
      <c r="AP600" t="b" cm="1">
        <f t="array" ref="AP600">INDEX($AU$8:$BB$25,6*(R600-1)+MATCH(AB600,$AS$8:$AS$13,0),MATCH(O600,$AU$7:$BB$7,0))</f>
        <v>1</v>
      </c>
    </row>
    <row r="601" spans="15:42" ht="14.25" x14ac:dyDescent="0.45">
      <c r="O601" s="43" t="s">
        <v>33</v>
      </c>
      <c r="P601" s="43">
        <v>2</v>
      </c>
      <c r="Q601" s="43">
        <v>15</v>
      </c>
      <c r="R601" s="43">
        <v>3</v>
      </c>
      <c r="S601" s="45"/>
      <c r="T601" t="b">
        <f>(S599+S600+S601)=R3</f>
        <v>0</v>
      </c>
      <c r="X601" s="1">
        <f t="shared" si="50"/>
        <v>0</v>
      </c>
      <c r="Y601" s="48">
        <v>0</v>
      </c>
      <c r="AA601" s="1">
        <v>7</v>
      </c>
      <c r="AB601" s="1" t="s">
        <v>15</v>
      </c>
      <c r="AC601" s="1" t="s">
        <v>21</v>
      </c>
      <c r="AD601" s="1">
        <v>13</v>
      </c>
      <c r="AE601" s="1">
        <v>10</v>
      </c>
      <c r="AF601" s="1">
        <v>0.76</v>
      </c>
      <c r="AG601" s="1">
        <v>0.84</v>
      </c>
      <c r="AH601" s="1">
        <v>0</v>
      </c>
      <c r="AI601" s="1">
        <v>0</v>
      </c>
      <c r="AJ601" s="1">
        <f t="shared" si="51"/>
        <v>0</v>
      </c>
      <c r="AK601" s="1">
        <f>E60</f>
        <v>0</v>
      </c>
      <c r="AL601" s="1">
        <f>E66</f>
        <v>0</v>
      </c>
      <c r="AM601" s="1">
        <f t="shared" si="52"/>
        <v>0</v>
      </c>
      <c r="AN601" s="1">
        <f t="shared" si="53"/>
        <v>0</v>
      </c>
      <c r="AO601" s="1">
        <f t="shared" si="54"/>
        <v>0</v>
      </c>
      <c r="AP601" t="b" cm="1">
        <f t="array" ref="AP601">INDEX($AU$8:$BB$25,6*(R601-1)+MATCH(AB601,$AS$8:$AS$13,0),MATCH(O601,$AU$7:$BB$7,0))</f>
        <v>1</v>
      </c>
    </row>
    <row r="602" spans="15:42" ht="14.25" x14ac:dyDescent="0.45">
      <c r="O602" s="43" t="s">
        <v>33</v>
      </c>
      <c r="P602" s="43">
        <v>3</v>
      </c>
      <c r="Q602" s="43">
        <v>1</v>
      </c>
      <c r="R602" s="43">
        <v>1</v>
      </c>
      <c r="S602" s="45"/>
      <c r="T602" t="b">
        <f>(S602+S603+S604)=R4</f>
        <v>0</v>
      </c>
      <c r="X602" s="1">
        <v>0</v>
      </c>
      <c r="Y602" s="48">
        <v>0</v>
      </c>
      <c r="AA602" s="1">
        <v>1</v>
      </c>
      <c r="AB602" s="1" t="s">
        <v>13</v>
      </c>
      <c r="AC602" s="1" t="s">
        <v>19</v>
      </c>
      <c r="AD602" s="1">
        <v>21</v>
      </c>
      <c r="AE602" s="1">
        <v>20</v>
      </c>
      <c r="AF602" s="1">
        <v>0.8</v>
      </c>
      <c r="AG602" s="1">
        <v>0.86</v>
      </c>
      <c r="AH602" s="1">
        <v>0</v>
      </c>
      <c r="AI602" s="1">
        <v>0</v>
      </c>
      <c r="AJ602" s="1">
        <f t="shared" si="51"/>
        <v>0</v>
      </c>
      <c r="AK602" s="1">
        <f>C58</f>
        <v>0</v>
      </c>
      <c r="AL602" s="1">
        <f>C64</f>
        <v>0</v>
      </c>
      <c r="AM602" s="1">
        <f t="shared" si="52"/>
        <v>0</v>
      </c>
      <c r="AN602" s="1">
        <f t="shared" si="53"/>
        <v>0</v>
      </c>
      <c r="AO602" s="1">
        <f t="shared" si="54"/>
        <v>0</v>
      </c>
      <c r="AP602" t="b" cm="1">
        <f t="array" ref="AP602">INDEX($AU$8:$BB$25,6*(R602-1)+MATCH(AB602,$AS$8:$AS$13,0),MATCH(O602,$AU$7:$BB$7,0))</f>
        <v>1</v>
      </c>
    </row>
    <row r="603" spans="15:42" ht="14.25" x14ac:dyDescent="0.45">
      <c r="O603" s="43" t="s">
        <v>33</v>
      </c>
      <c r="P603" s="43">
        <v>3</v>
      </c>
      <c r="Q603" s="43">
        <v>1</v>
      </c>
      <c r="R603" s="43">
        <v>2</v>
      </c>
      <c r="S603" s="45"/>
      <c r="T603" t="b">
        <f>(S602+S603+S604)=R4</f>
        <v>0</v>
      </c>
      <c r="X603" s="1">
        <v>0</v>
      </c>
      <c r="Y603" s="48">
        <v>0</v>
      </c>
      <c r="AA603" s="1">
        <v>1</v>
      </c>
      <c r="AB603" s="1" t="s">
        <v>13</v>
      </c>
      <c r="AC603" s="1" t="s">
        <v>19</v>
      </c>
      <c r="AD603" s="1">
        <v>21</v>
      </c>
      <c r="AE603" s="1">
        <v>20</v>
      </c>
      <c r="AF603" s="1">
        <v>0.8</v>
      </c>
      <c r="AG603" s="1">
        <v>0.86</v>
      </c>
      <c r="AH603" s="1">
        <v>0</v>
      </c>
      <c r="AI603" s="1">
        <v>0</v>
      </c>
      <c r="AJ603" s="1">
        <f t="shared" si="51"/>
        <v>0</v>
      </c>
      <c r="AK603" s="1">
        <f>D58</f>
        <v>0</v>
      </c>
      <c r="AL603" s="1">
        <f>D64</f>
        <v>0</v>
      </c>
      <c r="AM603" s="1">
        <f t="shared" si="52"/>
        <v>0</v>
      </c>
      <c r="AN603" s="1">
        <f t="shared" si="53"/>
        <v>0</v>
      </c>
      <c r="AO603" s="1">
        <f t="shared" si="54"/>
        <v>0</v>
      </c>
      <c r="AP603" t="b" cm="1">
        <f t="array" ref="AP603">INDEX($AU$8:$BB$25,6*(R603-1)+MATCH(AB603,$AS$8:$AS$13,0),MATCH(O603,$AU$7:$BB$7,0))</f>
        <v>1</v>
      </c>
    </row>
    <row r="604" spans="15:42" ht="14.25" x14ac:dyDescent="0.45">
      <c r="O604" s="43" t="s">
        <v>33</v>
      </c>
      <c r="P604" s="43">
        <v>3</v>
      </c>
      <c r="Q604" s="43">
        <v>1</v>
      </c>
      <c r="R604" s="43">
        <v>3</v>
      </c>
      <c r="S604" s="45"/>
      <c r="T604" t="b">
        <f>(S602+S603+S604)=R4</f>
        <v>0</v>
      </c>
      <c r="X604" s="1">
        <v>0</v>
      </c>
      <c r="Y604" s="48">
        <v>0</v>
      </c>
      <c r="AA604" s="1">
        <v>1</v>
      </c>
      <c r="AB604" s="1" t="s">
        <v>13</v>
      </c>
      <c r="AC604" s="1" t="s">
        <v>19</v>
      </c>
      <c r="AD604" s="1">
        <v>21</v>
      </c>
      <c r="AE604" s="1">
        <v>20</v>
      </c>
      <c r="AF604" s="1">
        <v>0.8</v>
      </c>
      <c r="AG604" s="1">
        <v>0.86</v>
      </c>
      <c r="AH604" s="1">
        <v>0</v>
      </c>
      <c r="AI604" s="1">
        <v>0</v>
      </c>
      <c r="AJ604" s="1">
        <f t="shared" si="51"/>
        <v>0</v>
      </c>
      <c r="AK604" s="1">
        <f>E58</f>
        <v>0</v>
      </c>
      <c r="AL604" s="1">
        <f>E64</f>
        <v>0</v>
      </c>
      <c r="AM604" s="1">
        <f t="shared" si="52"/>
        <v>0</v>
      </c>
      <c r="AN604" s="1">
        <f t="shared" si="53"/>
        <v>0</v>
      </c>
      <c r="AO604" s="1">
        <f t="shared" si="54"/>
        <v>0</v>
      </c>
      <c r="AP604" t="b" cm="1">
        <f t="array" ref="AP604">INDEX($AU$8:$BB$25,6*(R604-1)+MATCH(AB604,$AS$8:$AS$13,0),MATCH(O604,$AU$7:$BB$7,0))</f>
        <v>1</v>
      </c>
    </row>
    <row r="605" spans="15:42" ht="14.25" x14ac:dyDescent="0.45">
      <c r="O605" s="43" t="s">
        <v>33</v>
      </c>
      <c r="P605" s="43">
        <v>3</v>
      </c>
      <c r="Q605" s="43">
        <v>2</v>
      </c>
      <c r="R605" s="43">
        <v>1</v>
      </c>
      <c r="S605" s="45"/>
      <c r="T605" t="b">
        <f>(S605+S606+S607)=R4</f>
        <v>0</v>
      </c>
      <c r="X605" s="1">
        <f t="shared" ref="X605:X652" si="55">MAX(S602-S605,0)</f>
        <v>0</v>
      </c>
      <c r="Y605" s="48">
        <v>0</v>
      </c>
      <c r="AA605" s="1">
        <v>8</v>
      </c>
      <c r="AB605" s="1" t="s">
        <v>14</v>
      </c>
      <c r="AC605" s="1" t="s">
        <v>20</v>
      </c>
      <c r="AD605" s="1">
        <v>9</v>
      </c>
      <c r="AE605" s="1">
        <v>7</v>
      </c>
      <c r="AF605" s="1">
        <v>0.8</v>
      </c>
      <c r="AG605" s="1">
        <v>0.88</v>
      </c>
      <c r="AH605" s="1">
        <v>0</v>
      </c>
      <c r="AI605" s="1">
        <v>0</v>
      </c>
      <c r="AJ605" s="1">
        <f t="shared" si="51"/>
        <v>0</v>
      </c>
      <c r="AK605" s="1">
        <f>C59</f>
        <v>0</v>
      </c>
      <c r="AL605" s="1">
        <f>C65</f>
        <v>0</v>
      </c>
      <c r="AM605" s="1">
        <f t="shared" si="52"/>
        <v>0</v>
      </c>
      <c r="AN605" s="1">
        <f t="shared" si="53"/>
        <v>0</v>
      </c>
      <c r="AO605" s="1">
        <f t="shared" si="54"/>
        <v>0</v>
      </c>
      <c r="AP605" t="b" cm="1">
        <f t="array" ref="AP605">INDEX($AU$8:$BB$25,6*(R605-1)+MATCH(AB605,$AS$8:$AS$13,0),MATCH(O605,$AU$7:$BB$7,0))</f>
        <v>1</v>
      </c>
    </row>
    <row r="606" spans="15:42" ht="14.25" x14ac:dyDescent="0.45">
      <c r="O606" s="43" t="s">
        <v>33</v>
      </c>
      <c r="P606" s="43">
        <v>3</v>
      </c>
      <c r="Q606" s="43">
        <v>2</v>
      </c>
      <c r="R606" s="43">
        <v>2</v>
      </c>
      <c r="S606" s="45"/>
      <c r="T606" t="b">
        <f>(S605+S606+S607)=R4</f>
        <v>0</v>
      </c>
      <c r="X606" s="1">
        <f t="shared" si="55"/>
        <v>0</v>
      </c>
      <c r="Y606" s="48">
        <v>0</v>
      </c>
      <c r="AA606" s="1">
        <v>8</v>
      </c>
      <c r="AB606" s="1" t="s">
        <v>14</v>
      </c>
      <c r="AC606" s="1" t="s">
        <v>20</v>
      </c>
      <c r="AD606" s="1">
        <v>9</v>
      </c>
      <c r="AE606" s="1">
        <v>7</v>
      </c>
      <c r="AF606" s="1">
        <v>0.8</v>
      </c>
      <c r="AG606" s="1">
        <v>0.88</v>
      </c>
      <c r="AH606" s="1">
        <v>0</v>
      </c>
      <c r="AI606" s="1">
        <v>0</v>
      </c>
      <c r="AJ606" s="1">
        <f t="shared" si="51"/>
        <v>0</v>
      </c>
      <c r="AK606" s="1">
        <f>D59</f>
        <v>0</v>
      </c>
      <c r="AL606" s="1">
        <f>D65</f>
        <v>0</v>
      </c>
      <c r="AM606" s="1">
        <f t="shared" si="52"/>
        <v>0</v>
      </c>
      <c r="AN606" s="1">
        <f t="shared" si="53"/>
        <v>0</v>
      </c>
      <c r="AO606" s="1">
        <f t="shared" si="54"/>
        <v>0</v>
      </c>
      <c r="AP606" t="b" cm="1">
        <f t="array" ref="AP606">INDEX($AU$8:$BB$25,6*(R606-1)+MATCH(AB606,$AS$8:$AS$13,0),MATCH(O606,$AU$7:$BB$7,0))</f>
        <v>1</v>
      </c>
    </row>
    <row r="607" spans="15:42" ht="14.25" x14ac:dyDescent="0.45">
      <c r="O607" s="43" t="s">
        <v>33</v>
      </c>
      <c r="P607" s="43">
        <v>3</v>
      </c>
      <c r="Q607" s="43">
        <v>2</v>
      </c>
      <c r="R607" s="43">
        <v>3</v>
      </c>
      <c r="S607" s="45"/>
      <c r="T607" t="b">
        <f>(S605+S606+S607)=R4</f>
        <v>0</v>
      </c>
      <c r="X607" s="1">
        <f t="shared" si="55"/>
        <v>0</v>
      </c>
      <c r="Y607" s="48">
        <v>0</v>
      </c>
      <c r="AA607" s="1">
        <v>8</v>
      </c>
      <c r="AB607" s="1" t="s">
        <v>14</v>
      </c>
      <c r="AC607" s="1" t="s">
        <v>20</v>
      </c>
      <c r="AD607" s="1">
        <v>9</v>
      </c>
      <c r="AE607" s="1">
        <v>7</v>
      </c>
      <c r="AF607" s="1">
        <v>0.8</v>
      </c>
      <c r="AG607" s="1">
        <v>0.88</v>
      </c>
      <c r="AH607" s="1">
        <v>0</v>
      </c>
      <c r="AI607" s="1">
        <v>0</v>
      </c>
      <c r="AJ607" s="1">
        <f t="shared" si="51"/>
        <v>0</v>
      </c>
      <c r="AK607" s="1">
        <f>E59</f>
        <v>0</v>
      </c>
      <c r="AL607" s="1">
        <f>E65</f>
        <v>0</v>
      </c>
      <c r="AM607" s="1">
        <f t="shared" si="52"/>
        <v>0</v>
      </c>
      <c r="AN607" s="1">
        <f t="shared" si="53"/>
        <v>0</v>
      </c>
      <c r="AO607" s="1">
        <f t="shared" si="54"/>
        <v>0</v>
      </c>
      <c r="AP607" t="b" cm="1">
        <f t="array" ref="AP607">INDEX($AU$8:$BB$25,6*(R607-1)+MATCH(AB607,$AS$8:$AS$13,0),MATCH(O607,$AU$7:$BB$7,0))</f>
        <v>1</v>
      </c>
    </row>
    <row r="608" spans="15:42" ht="14.25" x14ac:dyDescent="0.45">
      <c r="O608" s="43" t="s">
        <v>33</v>
      </c>
      <c r="P608" s="43">
        <v>3</v>
      </c>
      <c r="Q608" s="43">
        <v>3</v>
      </c>
      <c r="R608" s="43">
        <v>1</v>
      </c>
      <c r="S608" s="45"/>
      <c r="T608" t="b">
        <f>(S608+S609+S610)=R4</f>
        <v>0</v>
      </c>
      <c r="X608" s="1">
        <f t="shared" si="55"/>
        <v>0</v>
      </c>
      <c r="Y608" s="48">
        <v>0</v>
      </c>
      <c r="AA608" s="1">
        <v>1</v>
      </c>
      <c r="AB608" s="1" t="s">
        <v>15</v>
      </c>
      <c r="AC608" s="1" t="s">
        <v>21</v>
      </c>
      <c r="AD608" s="1">
        <v>24</v>
      </c>
      <c r="AE608" s="1">
        <v>23</v>
      </c>
      <c r="AF608" s="1">
        <v>0.76</v>
      </c>
      <c r="AG608" s="1">
        <v>0.84</v>
      </c>
      <c r="AH608" s="1">
        <v>0</v>
      </c>
      <c r="AI608" s="1">
        <v>0</v>
      </c>
      <c r="AJ608" s="1">
        <f t="shared" si="51"/>
        <v>0</v>
      </c>
      <c r="AK608" s="1">
        <f>C60</f>
        <v>0</v>
      </c>
      <c r="AL608" s="1">
        <f>C66</f>
        <v>0</v>
      </c>
      <c r="AM608" s="1">
        <f t="shared" si="52"/>
        <v>0</v>
      </c>
      <c r="AN608" s="1">
        <f t="shared" si="53"/>
        <v>0</v>
      </c>
      <c r="AO608" s="1">
        <f t="shared" si="54"/>
        <v>0</v>
      </c>
      <c r="AP608" t="b" cm="1">
        <f t="array" ref="AP608">INDEX($AU$8:$BB$25,6*(R608-1)+MATCH(AB608,$AS$8:$AS$13,0),MATCH(O608,$AU$7:$BB$7,0))</f>
        <v>1</v>
      </c>
    </row>
    <row r="609" spans="15:42" ht="14.25" x14ac:dyDescent="0.45">
      <c r="O609" s="43" t="s">
        <v>33</v>
      </c>
      <c r="P609" s="43">
        <v>3</v>
      </c>
      <c r="Q609" s="43">
        <v>3</v>
      </c>
      <c r="R609" s="43">
        <v>2</v>
      </c>
      <c r="S609" s="45"/>
      <c r="T609" t="b">
        <f>(S608+S609+S610)=R4</f>
        <v>0</v>
      </c>
      <c r="X609" s="1">
        <f t="shared" si="55"/>
        <v>0</v>
      </c>
      <c r="Y609" s="48">
        <v>0</v>
      </c>
      <c r="AA609" s="1">
        <v>1</v>
      </c>
      <c r="AB609" s="1" t="s">
        <v>15</v>
      </c>
      <c r="AC609" s="1" t="s">
        <v>21</v>
      </c>
      <c r="AD609" s="1">
        <v>24</v>
      </c>
      <c r="AE609" s="1">
        <v>23</v>
      </c>
      <c r="AF609" s="1">
        <v>0.76</v>
      </c>
      <c r="AG609" s="1">
        <v>0.84</v>
      </c>
      <c r="AH609" s="1">
        <v>0</v>
      </c>
      <c r="AI609" s="1">
        <v>0</v>
      </c>
      <c r="AJ609" s="1">
        <f t="shared" si="51"/>
        <v>0</v>
      </c>
      <c r="AK609" s="1">
        <f>D60</f>
        <v>0</v>
      </c>
      <c r="AL609" s="1">
        <f>D66</f>
        <v>0</v>
      </c>
      <c r="AM609" s="1">
        <f t="shared" si="52"/>
        <v>0</v>
      </c>
      <c r="AN609" s="1">
        <f t="shared" si="53"/>
        <v>0</v>
      </c>
      <c r="AO609" s="1">
        <f t="shared" si="54"/>
        <v>0</v>
      </c>
      <c r="AP609" t="b" cm="1">
        <f t="array" ref="AP609">INDEX($AU$8:$BB$25,6*(R609-1)+MATCH(AB609,$AS$8:$AS$13,0),MATCH(O609,$AU$7:$BB$7,0))</f>
        <v>1</v>
      </c>
    </row>
    <row r="610" spans="15:42" ht="14.25" x14ac:dyDescent="0.45">
      <c r="O610" s="43" t="s">
        <v>33</v>
      </c>
      <c r="P610" s="43">
        <v>3</v>
      </c>
      <c r="Q610" s="43">
        <v>3</v>
      </c>
      <c r="R610" s="43">
        <v>3</v>
      </c>
      <c r="S610" s="45"/>
      <c r="T610" t="b">
        <f>(S608+S609+S610)=R4</f>
        <v>0</v>
      </c>
      <c r="X610" s="1">
        <f t="shared" si="55"/>
        <v>0</v>
      </c>
      <c r="Y610" s="48">
        <v>0</v>
      </c>
      <c r="AA610" s="1">
        <v>1</v>
      </c>
      <c r="AB610" s="1" t="s">
        <v>15</v>
      </c>
      <c r="AC610" s="1" t="s">
        <v>21</v>
      </c>
      <c r="AD610" s="1">
        <v>24</v>
      </c>
      <c r="AE610" s="1">
        <v>23</v>
      </c>
      <c r="AF610" s="1">
        <v>0.76</v>
      </c>
      <c r="AG610" s="1">
        <v>0.84</v>
      </c>
      <c r="AH610" s="1">
        <v>0</v>
      </c>
      <c r="AI610" s="1">
        <v>0</v>
      </c>
      <c r="AJ610" s="1">
        <f t="shared" si="51"/>
        <v>0</v>
      </c>
      <c r="AK610" s="1">
        <f>E60</f>
        <v>0</v>
      </c>
      <c r="AL610" s="1">
        <f>E66</f>
        <v>0</v>
      </c>
      <c r="AM610" s="1">
        <f t="shared" si="52"/>
        <v>0</v>
      </c>
      <c r="AN610" s="1">
        <f t="shared" si="53"/>
        <v>0</v>
      </c>
      <c r="AO610" s="1">
        <f t="shared" si="54"/>
        <v>0</v>
      </c>
      <c r="AP610" t="b" cm="1">
        <f t="array" ref="AP610">INDEX($AU$8:$BB$25,6*(R610-1)+MATCH(AB610,$AS$8:$AS$13,0),MATCH(O610,$AU$7:$BB$7,0))</f>
        <v>1</v>
      </c>
    </row>
    <row r="611" spans="15:42" ht="14.25" x14ac:dyDescent="0.45">
      <c r="O611" s="43" t="s">
        <v>33</v>
      </c>
      <c r="P611" s="43">
        <v>3</v>
      </c>
      <c r="Q611" s="43">
        <v>4</v>
      </c>
      <c r="R611" s="43">
        <v>1</v>
      </c>
      <c r="S611" s="45"/>
      <c r="T611" t="b">
        <f>(S611+S612+S613)=R4</f>
        <v>0</v>
      </c>
      <c r="X611" s="1">
        <f t="shared" si="55"/>
        <v>0</v>
      </c>
      <c r="Y611" s="48">
        <v>0</v>
      </c>
      <c r="AA611" s="1">
        <v>9</v>
      </c>
      <c r="AB611" s="1" t="s">
        <v>15</v>
      </c>
      <c r="AC611" s="1" t="s">
        <v>21</v>
      </c>
      <c r="AD611" s="1">
        <v>15</v>
      </c>
      <c r="AE611" s="1">
        <v>11</v>
      </c>
      <c r="AF611" s="1">
        <v>0.76</v>
      </c>
      <c r="AG611" s="1">
        <v>0.84</v>
      </c>
      <c r="AH611" s="1">
        <v>0</v>
      </c>
      <c r="AI611" s="1">
        <v>0</v>
      </c>
      <c r="AJ611" s="1">
        <f t="shared" si="51"/>
        <v>0</v>
      </c>
      <c r="AK611" s="1">
        <f>C60</f>
        <v>0</v>
      </c>
      <c r="AL611" s="1">
        <f>C66</f>
        <v>0</v>
      </c>
      <c r="AM611" s="1">
        <f t="shared" si="52"/>
        <v>0</v>
      </c>
      <c r="AN611" s="1">
        <f t="shared" si="53"/>
        <v>0</v>
      </c>
      <c r="AO611" s="1">
        <f t="shared" si="54"/>
        <v>0</v>
      </c>
      <c r="AP611" t="b" cm="1">
        <f t="array" ref="AP611">INDEX($AU$8:$BB$25,6*(R611-1)+MATCH(AB611,$AS$8:$AS$13,0),MATCH(O611,$AU$7:$BB$7,0))</f>
        <v>1</v>
      </c>
    </row>
    <row r="612" spans="15:42" ht="14.25" x14ac:dyDescent="0.45">
      <c r="O612" s="43" t="s">
        <v>33</v>
      </c>
      <c r="P612" s="43">
        <v>3</v>
      </c>
      <c r="Q612" s="43">
        <v>4</v>
      </c>
      <c r="R612" s="43">
        <v>2</v>
      </c>
      <c r="S612" s="45"/>
      <c r="T612" t="b">
        <f>(S611+S612+S613)=R4</f>
        <v>0</v>
      </c>
      <c r="X612" s="1">
        <f t="shared" si="55"/>
        <v>0</v>
      </c>
      <c r="Y612" s="48">
        <v>0</v>
      </c>
      <c r="AA612" s="1">
        <v>9</v>
      </c>
      <c r="AB612" s="1" t="s">
        <v>15</v>
      </c>
      <c r="AC612" s="1" t="s">
        <v>21</v>
      </c>
      <c r="AD612" s="1">
        <v>15</v>
      </c>
      <c r="AE612" s="1">
        <v>11</v>
      </c>
      <c r="AF612" s="1">
        <v>0.76</v>
      </c>
      <c r="AG612" s="1">
        <v>0.84</v>
      </c>
      <c r="AH612" s="1">
        <v>0</v>
      </c>
      <c r="AI612" s="1">
        <v>0</v>
      </c>
      <c r="AJ612" s="1">
        <f t="shared" si="51"/>
        <v>0</v>
      </c>
      <c r="AK612" s="1">
        <f>D60</f>
        <v>0</v>
      </c>
      <c r="AL612" s="1">
        <f>D66</f>
        <v>0</v>
      </c>
      <c r="AM612" s="1">
        <f t="shared" si="52"/>
        <v>0</v>
      </c>
      <c r="AN612" s="1">
        <f t="shared" si="53"/>
        <v>0</v>
      </c>
      <c r="AO612" s="1">
        <f t="shared" si="54"/>
        <v>0</v>
      </c>
      <c r="AP612" t="b" cm="1">
        <f t="array" ref="AP612">INDEX($AU$8:$BB$25,6*(R612-1)+MATCH(AB612,$AS$8:$AS$13,0),MATCH(O612,$AU$7:$BB$7,0))</f>
        <v>1</v>
      </c>
    </row>
    <row r="613" spans="15:42" ht="14.25" x14ac:dyDescent="0.45">
      <c r="O613" s="43" t="s">
        <v>33</v>
      </c>
      <c r="P613" s="43">
        <v>3</v>
      </c>
      <c r="Q613" s="43">
        <v>4</v>
      </c>
      <c r="R613" s="43">
        <v>3</v>
      </c>
      <c r="S613" s="45"/>
      <c r="T613" t="b">
        <f>(S611+S612+S613)=R4</f>
        <v>0</v>
      </c>
      <c r="X613" s="1">
        <f t="shared" si="55"/>
        <v>0</v>
      </c>
      <c r="Y613" s="48">
        <v>0</v>
      </c>
      <c r="AA613" s="1">
        <v>9</v>
      </c>
      <c r="AB613" s="1" t="s">
        <v>15</v>
      </c>
      <c r="AC613" s="1" t="s">
        <v>21</v>
      </c>
      <c r="AD613" s="1">
        <v>15</v>
      </c>
      <c r="AE613" s="1">
        <v>11</v>
      </c>
      <c r="AF613" s="1">
        <v>0.76</v>
      </c>
      <c r="AG613" s="1">
        <v>0.84</v>
      </c>
      <c r="AH613" s="1">
        <v>0</v>
      </c>
      <c r="AI613" s="1">
        <v>0</v>
      </c>
      <c r="AJ613" s="1">
        <f t="shared" si="51"/>
        <v>0</v>
      </c>
      <c r="AK613" s="1">
        <f>E60</f>
        <v>0</v>
      </c>
      <c r="AL613" s="1">
        <f>E66</f>
        <v>0</v>
      </c>
      <c r="AM613" s="1">
        <f t="shared" si="52"/>
        <v>0</v>
      </c>
      <c r="AN613" s="1">
        <f t="shared" si="53"/>
        <v>0</v>
      </c>
      <c r="AO613" s="1">
        <f t="shared" si="54"/>
        <v>0</v>
      </c>
      <c r="AP613" t="b" cm="1">
        <f t="array" ref="AP613">INDEX($AU$8:$BB$25,6*(R613-1)+MATCH(AB613,$AS$8:$AS$13,0),MATCH(O613,$AU$7:$BB$7,0))</f>
        <v>1</v>
      </c>
    </row>
    <row r="614" spans="15:42" ht="14.25" x14ac:dyDescent="0.45">
      <c r="O614" s="43" t="s">
        <v>33</v>
      </c>
      <c r="P614" s="43">
        <v>3</v>
      </c>
      <c r="Q614" s="43">
        <v>5</v>
      </c>
      <c r="R614" s="43">
        <v>1</v>
      </c>
      <c r="S614" s="45"/>
      <c r="T614" t="b">
        <f>(S614+S615+S616)=R4</f>
        <v>0</v>
      </c>
      <c r="X614" s="1">
        <f t="shared" si="55"/>
        <v>0</v>
      </c>
      <c r="Y614" s="48">
        <v>0</v>
      </c>
      <c r="AA614" s="1">
        <v>6</v>
      </c>
      <c r="AB614" s="1" t="s">
        <v>16</v>
      </c>
      <c r="AC614" s="1" t="s">
        <v>22</v>
      </c>
      <c r="AD614" s="1">
        <v>16</v>
      </c>
      <c r="AE614" s="1">
        <v>14</v>
      </c>
      <c r="AF614" s="1">
        <v>0.8</v>
      </c>
      <c r="AG614" s="1">
        <v>0.9</v>
      </c>
      <c r="AH614" s="1">
        <v>0</v>
      </c>
      <c r="AI614" s="1">
        <v>0</v>
      </c>
      <c r="AJ614" s="1">
        <f t="shared" si="51"/>
        <v>0</v>
      </c>
      <c r="AK614" s="1">
        <f>C61</f>
        <v>0</v>
      </c>
      <c r="AL614" s="1">
        <f>C67</f>
        <v>0</v>
      </c>
      <c r="AM614" s="1">
        <f t="shared" si="52"/>
        <v>0</v>
      </c>
      <c r="AN614" s="1">
        <f t="shared" si="53"/>
        <v>0</v>
      </c>
      <c r="AO614" s="1">
        <f t="shared" si="54"/>
        <v>0</v>
      </c>
      <c r="AP614" t="b" cm="1">
        <f t="array" ref="AP614">INDEX($AU$8:$BB$25,6*(R614-1)+MATCH(AB614,$AS$8:$AS$13,0),MATCH(O614,$AU$7:$BB$7,0))</f>
        <v>1</v>
      </c>
    </row>
    <row r="615" spans="15:42" ht="14.25" x14ac:dyDescent="0.45">
      <c r="O615" s="43" t="s">
        <v>33</v>
      </c>
      <c r="P615" s="43">
        <v>3</v>
      </c>
      <c r="Q615" s="43">
        <v>5</v>
      </c>
      <c r="R615" s="43">
        <v>2</v>
      </c>
      <c r="S615" s="45"/>
      <c r="T615" t="b">
        <f>(S614+S615+S616)=R4</f>
        <v>0</v>
      </c>
      <c r="X615" s="1">
        <f t="shared" si="55"/>
        <v>0</v>
      </c>
      <c r="Y615" s="48">
        <v>0</v>
      </c>
      <c r="AA615" s="1">
        <v>6</v>
      </c>
      <c r="AB615" s="1" t="s">
        <v>16</v>
      </c>
      <c r="AC615" s="1" t="s">
        <v>22</v>
      </c>
      <c r="AD615" s="1">
        <v>16</v>
      </c>
      <c r="AE615" s="1">
        <v>14</v>
      </c>
      <c r="AF615" s="1">
        <v>0.8</v>
      </c>
      <c r="AG615" s="1">
        <v>0.9</v>
      </c>
      <c r="AH615" s="1">
        <v>0</v>
      </c>
      <c r="AI615" s="1">
        <v>0</v>
      </c>
      <c r="AJ615" s="1">
        <f t="shared" si="51"/>
        <v>0</v>
      </c>
      <c r="AK615" s="1">
        <f>D61</f>
        <v>0</v>
      </c>
      <c r="AL615" s="1">
        <f>D67</f>
        <v>0</v>
      </c>
      <c r="AM615" s="1">
        <f t="shared" si="52"/>
        <v>0</v>
      </c>
      <c r="AN615" s="1">
        <f t="shared" si="53"/>
        <v>0</v>
      </c>
      <c r="AO615" s="1">
        <f t="shared" si="54"/>
        <v>0</v>
      </c>
      <c r="AP615" t="b" cm="1">
        <f t="array" ref="AP615">INDEX($AU$8:$BB$25,6*(R615-1)+MATCH(AB615,$AS$8:$AS$13,0),MATCH(O615,$AU$7:$BB$7,0))</f>
        <v>1</v>
      </c>
    </row>
    <row r="616" spans="15:42" ht="14.25" x14ac:dyDescent="0.45">
      <c r="O616" s="43" t="s">
        <v>33</v>
      </c>
      <c r="P616" s="43">
        <v>3</v>
      </c>
      <c r="Q616" s="43">
        <v>5</v>
      </c>
      <c r="R616" s="43">
        <v>3</v>
      </c>
      <c r="S616" s="45"/>
      <c r="T616" t="b">
        <f>(S614+S615+S616)=R4</f>
        <v>0</v>
      </c>
      <c r="X616" s="1">
        <f t="shared" si="55"/>
        <v>0</v>
      </c>
      <c r="Y616" s="48">
        <v>0</v>
      </c>
      <c r="AA616" s="1">
        <v>6</v>
      </c>
      <c r="AB616" s="1" t="s">
        <v>16</v>
      </c>
      <c r="AC616" s="1" t="s">
        <v>22</v>
      </c>
      <c r="AD616" s="1">
        <v>16</v>
      </c>
      <c r="AE616" s="1">
        <v>14</v>
      </c>
      <c r="AF616" s="1">
        <v>0.8</v>
      </c>
      <c r="AG616" s="1">
        <v>0.9</v>
      </c>
      <c r="AH616" s="1">
        <v>0</v>
      </c>
      <c r="AI616" s="1">
        <v>0</v>
      </c>
      <c r="AJ616" s="1">
        <f t="shared" si="51"/>
        <v>0</v>
      </c>
      <c r="AK616" s="1">
        <f>E61</f>
        <v>0</v>
      </c>
      <c r="AL616" s="1">
        <f>E67</f>
        <v>0</v>
      </c>
      <c r="AM616" s="1">
        <f t="shared" si="52"/>
        <v>0</v>
      </c>
      <c r="AN616" s="1">
        <f t="shared" si="53"/>
        <v>0</v>
      </c>
      <c r="AO616" s="1">
        <f t="shared" si="54"/>
        <v>0</v>
      </c>
      <c r="AP616" t="b" cm="1">
        <f t="array" ref="AP616">INDEX($AU$8:$BB$25,6*(R616-1)+MATCH(AB616,$AS$8:$AS$13,0),MATCH(O616,$AU$7:$BB$7,0))</f>
        <v>1</v>
      </c>
    </row>
    <row r="617" spans="15:42" ht="14.25" x14ac:dyDescent="0.45">
      <c r="O617" s="43" t="s">
        <v>33</v>
      </c>
      <c r="P617" s="43">
        <v>3</v>
      </c>
      <c r="Q617" s="43">
        <v>6</v>
      </c>
      <c r="R617" s="43">
        <v>1</v>
      </c>
      <c r="S617" s="45"/>
      <c r="T617" t="b">
        <f>(S617+S618+S619)=R4</f>
        <v>0</v>
      </c>
      <c r="X617" s="1">
        <f t="shared" si="55"/>
        <v>0</v>
      </c>
      <c r="Y617" s="48">
        <v>0</v>
      </c>
      <c r="AA617" s="1">
        <v>1</v>
      </c>
      <c r="AB617" s="1" t="s">
        <v>14</v>
      </c>
      <c r="AC617" s="1" t="s">
        <v>20</v>
      </c>
      <c r="AD617" s="1">
        <v>12</v>
      </c>
      <c r="AE617" s="1">
        <v>11</v>
      </c>
      <c r="AF617" s="1">
        <v>0.8</v>
      </c>
      <c r="AG617" s="1">
        <v>0.88</v>
      </c>
      <c r="AH617" s="1">
        <v>0</v>
      </c>
      <c r="AI617" s="1">
        <v>0</v>
      </c>
      <c r="AJ617" s="1">
        <f t="shared" si="51"/>
        <v>0</v>
      </c>
      <c r="AK617" s="1">
        <f>C59</f>
        <v>0</v>
      </c>
      <c r="AL617" s="1">
        <f>C65</f>
        <v>0</v>
      </c>
      <c r="AM617" s="1">
        <f t="shared" si="52"/>
        <v>0</v>
      </c>
      <c r="AN617" s="1">
        <f t="shared" si="53"/>
        <v>0</v>
      </c>
      <c r="AO617" s="1">
        <f t="shared" si="54"/>
        <v>0</v>
      </c>
      <c r="AP617" t="b" cm="1">
        <f t="array" ref="AP617">INDEX($AU$8:$BB$25,6*(R617-1)+MATCH(AB617,$AS$8:$AS$13,0),MATCH(O617,$AU$7:$BB$7,0))</f>
        <v>1</v>
      </c>
    </row>
    <row r="618" spans="15:42" ht="14.25" x14ac:dyDescent="0.45">
      <c r="O618" s="43" t="s">
        <v>33</v>
      </c>
      <c r="P618" s="43">
        <v>3</v>
      </c>
      <c r="Q618" s="43">
        <v>6</v>
      </c>
      <c r="R618" s="43">
        <v>2</v>
      </c>
      <c r="S618" s="45"/>
      <c r="T618" t="b">
        <f>(S617+S618+S619)=R4</f>
        <v>0</v>
      </c>
      <c r="X618" s="1">
        <f t="shared" si="55"/>
        <v>0</v>
      </c>
      <c r="Y618" s="48">
        <v>0</v>
      </c>
      <c r="AA618" s="1">
        <v>1</v>
      </c>
      <c r="AB618" s="1" t="s">
        <v>14</v>
      </c>
      <c r="AC618" s="1" t="s">
        <v>20</v>
      </c>
      <c r="AD618" s="1">
        <v>12</v>
      </c>
      <c r="AE618" s="1">
        <v>11</v>
      </c>
      <c r="AF618" s="1">
        <v>0.8</v>
      </c>
      <c r="AG618" s="1">
        <v>0.88</v>
      </c>
      <c r="AH618" s="1">
        <v>0</v>
      </c>
      <c r="AI618" s="1">
        <v>0</v>
      </c>
      <c r="AJ618" s="1">
        <f t="shared" si="51"/>
        <v>0</v>
      </c>
      <c r="AK618" s="1">
        <f>D59</f>
        <v>0</v>
      </c>
      <c r="AL618" s="1">
        <f>D65</f>
        <v>0</v>
      </c>
      <c r="AM618" s="1">
        <f t="shared" si="52"/>
        <v>0</v>
      </c>
      <c r="AN618" s="1">
        <f t="shared" si="53"/>
        <v>0</v>
      </c>
      <c r="AO618" s="1">
        <f t="shared" si="54"/>
        <v>0</v>
      </c>
      <c r="AP618" t="b" cm="1">
        <f t="array" ref="AP618">INDEX($AU$8:$BB$25,6*(R618-1)+MATCH(AB618,$AS$8:$AS$13,0),MATCH(O618,$AU$7:$BB$7,0))</f>
        <v>1</v>
      </c>
    </row>
    <row r="619" spans="15:42" ht="14.25" x14ac:dyDescent="0.45">
      <c r="O619" s="43" t="s">
        <v>33</v>
      </c>
      <c r="P619" s="43">
        <v>3</v>
      </c>
      <c r="Q619" s="43">
        <v>6</v>
      </c>
      <c r="R619" s="43">
        <v>3</v>
      </c>
      <c r="S619" s="45"/>
      <c r="T619" t="b">
        <f>(S617+S618+S619)=R4</f>
        <v>0</v>
      </c>
      <c r="X619" s="1">
        <f t="shared" si="55"/>
        <v>0</v>
      </c>
      <c r="Y619" s="48">
        <v>0</v>
      </c>
      <c r="AA619" s="1">
        <v>1</v>
      </c>
      <c r="AB619" s="1" t="s">
        <v>14</v>
      </c>
      <c r="AC619" s="1" t="s">
        <v>20</v>
      </c>
      <c r="AD619" s="1">
        <v>12</v>
      </c>
      <c r="AE619" s="1">
        <v>11</v>
      </c>
      <c r="AF619" s="1">
        <v>0.8</v>
      </c>
      <c r="AG619" s="1">
        <v>0.88</v>
      </c>
      <c r="AH619" s="1">
        <v>0</v>
      </c>
      <c r="AI619" s="1">
        <v>0</v>
      </c>
      <c r="AJ619" s="1">
        <f t="shared" si="51"/>
        <v>0</v>
      </c>
      <c r="AK619" s="1">
        <f>E59</f>
        <v>0</v>
      </c>
      <c r="AL619" s="1">
        <f>E65</f>
        <v>0</v>
      </c>
      <c r="AM619" s="1">
        <f t="shared" si="52"/>
        <v>0</v>
      </c>
      <c r="AN619" s="1">
        <f t="shared" si="53"/>
        <v>0</v>
      </c>
      <c r="AO619" s="1">
        <f t="shared" si="54"/>
        <v>0</v>
      </c>
      <c r="AP619" t="b" cm="1">
        <f t="array" ref="AP619">INDEX($AU$8:$BB$25,6*(R619-1)+MATCH(AB619,$AS$8:$AS$13,0),MATCH(O619,$AU$7:$BB$7,0))</f>
        <v>1</v>
      </c>
    </row>
    <row r="620" spans="15:42" ht="14.25" x14ac:dyDescent="0.45">
      <c r="O620" s="43" t="s">
        <v>33</v>
      </c>
      <c r="P620" s="43">
        <v>3</v>
      </c>
      <c r="Q620" s="43">
        <v>7</v>
      </c>
      <c r="R620" s="43">
        <v>1</v>
      </c>
      <c r="S620" s="45"/>
      <c r="T620" t="b">
        <f>(S620+S621+S622)=R4</f>
        <v>0</v>
      </c>
      <c r="X620" s="1">
        <f t="shared" si="55"/>
        <v>0</v>
      </c>
      <c r="Y620" s="48">
        <v>0</v>
      </c>
      <c r="AA620" s="1">
        <v>3</v>
      </c>
      <c r="AB620" s="1" t="s">
        <v>13</v>
      </c>
      <c r="AC620" s="1" t="s">
        <v>19</v>
      </c>
      <c r="AD620" s="1">
        <v>24</v>
      </c>
      <c r="AE620" s="1">
        <v>21</v>
      </c>
      <c r="AF620" s="1">
        <v>0.8</v>
      </c>
      <c r="AG620" s="1">
        <v>0.86</v>
      </c>
      <c r="AH620" s="1">
        <v>0</v>
      </c>
      <c r="AI620" s="1">
        <v>0</v>
      </c>
      <c r="AJ620" s="1">
        <f t="shared" si="51"/>
        <v>0</v>
      </c>
      <c r="AK620" s="1">
        <f>C58</f>
        <v>0</v>
      </c>
      <c r="AL620" s="1">
        <f>C64</f>
        <v>0</v>
      </c>
      <c r="AM620" s="1">
        <f t="shared" si="52"/>
        <v>0</v>
      </c>
      <c r="AN620" s="1">
        <f t="shared" si="53"/>
        <v>0</v>
      </c>
      <c r="AO620" s="1">
        <f t="shared" si="54"/>
        <v>0</v>
      </c>
      <c r="AP620" t="b" cm="1">
        <f t="array" ref="AP620">INDEX($AU$8:$BB$25,6*(R620-1)+MATCH(AB620,$AS$8:$AS$13,0),MATCH(O620,$AU$7:$BB$7,0))</f>
        <v>1</v>
      </c>
    </row>
    <row r="621" spans="15:42" ht="14.25" x14ac:dyDescent="0.45">
      <c r="O621" s="43" t="s">
        <v>33</v>
      </c>
      <c r="P621" s="43">
        <v>3</v>
      </c>
      <c r="Q621" s="43">
        <v>7</v>
      </c>
      <c r="R621" s="43">
        <v>2</v>
      </c>
      <c r="S621" s="45"/>
      <c r="T621" t="b">
        <f>(S620+S621+S622)=R4</f>
        <v>0</v>
      </c>
      <c r="X621" s="1">
        <f t="shared" si="55"/>
        <v>0</v>
      </c>
      <c r="Y621" s="48">
        <v>0</v>
      </c>
      <c r="AA621" s="1">
        <v>3</v>
      </c>
      <c r="AB621" s="1" t="s">
        <v>13</v>
      </c>
      <c r="AC621" s="1" t="s">
        <v>19</v>
      </c>
      <c r="AD621" s="1">
        <v>24</v>
      </c>
      <c r="AE621" s="1">
        <v>21</v>
      </c>
      <c r="AF621" s="1">
        <v>0.8</v>
      </c>
      <c r="AG621" s="1">
        <v>0.86</v>
      </c>
      <c r="AH621" s="1">
        <v>0</v>
      </c>
      <c r="AI621" s="1">
        <v>0</v>
      </c>
      <c r="AJ621" s="1">
        <f t="shared" si="51"/>
        <v>0</v>
      </c>
      <c r="AK621" s="1">
        <f>D58</f>
        <v>0</v>
      </c>
      <c r="AL621" s="1">
        <f>D64</f>
        <v>0</v>
      </c>
      <c r="AM621" s="1">
        <f t="shared" si="52"/>
        <v>0</v>
      </c>
      <c r="AN621" s="1">
        <f t="shared" si="53"/>
        <v>0</v>
      </c>
      <c r="AO621" s="1">
        <f t="shared" si="54"/>
        <v>0</v>
      </c>
      <c r="AP621" t="b" cm="1">
        <f t="array" ref="AP621">INDEX($AU$8:$BB$25,6*(R621-1)+MATCH(AB621,$AS$8:$AS$13,0),MATCH(O621,$AU$7:$BB$7,0))</f>
        <v>1</v>
      </c>
    </row>
    <row r="622" spans="15:42" ht="14.25" x14ac:dyDescent="0.45">
      <c r="O622" s="43" t="s">
        <v>33</v>
      </c>
      <c r="P622" s="43">
        <v>3</v>
      </c>
      <c r="Q622" s="43">
        <v>7</v>
      </c>
      <c r="R622" s="43">
        <v>3</v>
      </c>
      <c r="S622" s="45"/>
      <c r="T622" t="b">
        <f>(S620+S621+S622)=R4</f>
        <v>0</v>
      </c>
      <c r="X622" s="1">
        <f t="shared" si="55"/>
        <v>0</v>
      </c>
      <c r="Y622" s="48">
        <v>0</v>
      </c>
      <c r="AA622" s="1">
        <v>3</v>
      </c>
      <c r="AB622" s="1" t="s">
        <v>13</v>
      </c>
      <c r="AC622" s="1" t="s">
        <v>19</v>
      </c>
      <c r="AD622" s="1">
        <v>24</v>
      </c>
      <c r="AE622" s="1">
        <v>21</v>
      </c>
      <c r="AF622" s="1">
        <v>0.8</v>
      </c>
      <c r="AG622" s="1">
        <v>0.86</v>
      </c>
      <c r="AH622" s="1">
        <v>0</v>
      </c>
      <c r="AI622" s="1">
        <v>0</v>
      </c>
      <c r="AJ622" s="1">
        <f t="shared" si="51"/>
        <v>0</v>
      </c>
      <c r="AK622" s="1">
        <f>E58</f>
        <v>0</v>
      </c>
      <c r="AL622" s="1">
        <f>E64</f>
        <v>0</v>
      </c>
      <c r="AM622" s="1">
        <f t="shared" si="52"/>
        <v>0</v>
      </c>
      <c r="AN622" s="1">
        <f t="shared" si="53"/>
        <v>0</v>
      </c>
      <c r="AO622" s="1">
        <f t="shared" si="54"/>
        <v>0</v>
      </c>
      <c r="AP622" t="b" cm="1">
        <f t="array" ref="AP622">INDEX($AU$8:$BB$25,6*(R622-1)+MATCH(AB622,$AS$8:$AS$13,0),MATCH(O622,$AU$7:$BB$7,0))</f>
        <v>1</v>
      </c>
    </row>
    <row r="623" spans="15:42" ht="14.25" x14ac:dyDescent="0.45">
      <c r="O623" s="43" t="s">
        <v>33</v>
      </c>
      <c r="P623" s="43">
        <v>3</v>
      </c>
      <c r="Q623" s="43">
        <v>8</v>
      </c>
      <c r="R623" s="43">
        <v>1</v>
      </c>
      <c r="S623" s="45"/>
      <c r="T623" t="b">
        <f>(S623+S624+S625)=R4</f>
        <v>0</v>
      </c>
      <c r="X623" s="1">
        <f t="shared" si="55"/>
        <v>0</v>
      </c>
      <c r="Y623" s="48">
        <v>0</v>
      </c>
      <c r="AA623" s="1">
        <v>5</v>
      </c>
      <c r="AB623" s="1" t="s">
        <v>13</v>
      </c>
      <c r="AC623" s="1" t="s">
        <v>19</v>
      </c>
      <c r="AD623" s="1">
        <v>19</v>
      </c>
      <c r="AE623" s="1">
        <v>13</v>
      </c>
      <c r="AF623" s="1">
        <v>0.8</v>
      </c>
      <c r="AG623" s="1">
        <v>0.86</v>
      </c>
      <c r="AH623" s="1">
        <v>0</v>
      </c>
      <c r="AI623" s="1">
        <v>0</v>
      </c>
      <c r="AJ623" s="1">
        <f t="shared" si="51"/>
        <v>0</v>
      </c>
      <c r="AK623" s="1">
        <f>C58</f>
        <v>0</v>
      </c>
      <c r="AL623" s="1">
        <f>C64</f>
        <v>0</v>
      </c>
      <c r="AM623" s="1">
        <f t="shared" si="52"/>
        <v>0</v>
      </c>
      <c r="AN623" s="1">
        <f t="shared" si="53"/>
        <v>0</v>
      </c>
      <c r="AO623" s="1">
        <f t="shared" si="54"/>
        <v>0</v>
      </c>
      <c r="AP623" t="b" cm="1">
        <f t="array" ref="AP623">INDEX($AU$8:$BB$25,6*(R623-1)+MATCH(AB623,$AS$8:$AS$13,0),MATCH(O623,$AU$7:$BB$7,0))</f>
        <v>1</v>
      </c>
    </row>
    <row r="624" spans="15:42" ht="14.25" x14ac:dyDescent="0.45">
      <c r="O624" s="43" t="s">
        <v>33</v>
      </c>
      <c r="P624" s="43">
        <v>3</v>
      </c>
      <c r="Q624" s="43">
        <v>8</v>
      </c>
      <c r="R624" s="43">
        <v>2</v>
      </c>
      <c r="S624" s="45"/>
      <c r="T624" t="b">
        <f>(S623+S624+S625)=R4</f>
        <v>0</v>
      </c>
      <c r="X624" s="1">
        <f t="shared" si="55"/>
        <v>0</v>
      </c>
      <c r="Y624" s="48">
        <v>0</v>
      </c>
      <c r="AA624" s="1">
        <v>5</v>
      </c>
      <c r="AB624" s="1" t="s">
        <v>13</v>
      </c>
      <c r="AC624" s="1" t="s">
        <v>19</v>
      </c>
      <c r="AD624" s="1">
        <v>19</v>
      </c>
      <c r="AE624" s="1">
        <v>13</v>
      </c>
      <c r="AF624" s="1">
        <v>0.8</v>
      </c>
      <c r="AG624" s="1">
        <v>0.86</v>
      </c>
      <c r="AH624" s="1">
        <v>0</v>
      </c>
      <c r="AI624" s="1">
        <v>0</v>
      </c>
      <c r="AJ624" s="1">
        <f t="shared" si="51"/>
        <v>0</v>
      </c>
      <c r="AK624" s="1">
        <f>D58</f>
        <v>0</v>
      </c>
      <c r="AL624" s="1">
        <f>D64</f>
        <v>0</v>
      </c>
      <c r="AM624" s="1">
        <f t="shared" si="52"/>
        <v>0</v>
      </c>
      <c r="AN624" s="1">
        <f t="shared" si="53"/>
        <v>0</v>
      </c>
      <c r="AO624" s="1">
        <f t="shared" si="54"/>
        <v>0</v>
      </c>
      <c r="AP624" t="b" cm="1">
        <f t="array" ref="AP624">INDEX($AU$8:$BB$25,6*(R624-1)+MATCH(AB624,$AS$8:$AS$13,0),MATCH(O624,$AU$7:$BB$7,0))</f>
        <v>1</v>
      </c>
    </row>
    <row r="625" spans="15:42" ht="14.25" x14ac:dyDescent="0.45">
      <c r="O625" s="43" t="s">
        <v>33</v>
      </c>
      <c r="P625" s="43">
        <v>3</v>
      </c>
      <c r="Q625" s="43">
        <v>8</v>
      </c>
      <c r="R625" s="43">
        <v>3</v>
      </c>
      <c r="S625" s="45"/>
      <c r="T625" t="b">
        <f>(S623+S624+S625)=R4</f>
        <v>0</v>
      </c>
      <c r="X625" s="1">
        <f t="shared" si="55"/>
        <v>0</v>
      </c>
      <c r="Y625" s="48">
        <v>0</v>
      </c>
      <c r="AA625" s="1">
        <v>5</v>
      </c>
      <c r="AB625" s="1" t="s">
        <v>13</v>
      </c>
      <c r="AC625" s="1" t="s">
        <v>19</v>
      </c>
      <c r="AD625" s="1">
        <v>19</v>
      </c>
      <c r="AE625" s="1">
        <v>13</v>
      </c>
      <c r="AF625" s="1">
        <v>0.8</v>
      </c>
      <c r="AG625" s="1">
        <v>0.86</v>
      </c>
      <c r="AH625" s="1">
        <v>0</v>
      </c>
      <c r="AI625" s="1">
        <v>0</v>
      </c>
      <c r="AJ625" s="1">
        <f t="shared" si="51"/>
        <v>0</v>
      </c>
      <c r="AK625" s="1">
        <f>E58</f>
        <v>0</v>
      </c>
      <c r="AL625" s="1">
        <f>E64</f>
        <v>0</v>
      </c>
      <c r="AM625" s="1">
        <f t="shared" si="52"/>
        <v>0</v>
      </c>
      <c r="AN625" s="1">
        <f t="shared" si="53"/>
        <v>0</v>
      </c>
      <c r="AO625" s="1">
        <f t="shared" si="54"/>
        <v>0</v>
      </c>
      <c r="AP625" t="b" cm="1">
        <f t="array" ref="AP625">INDEX($AU$8:$BB$25,6*(R625-1)+MATCH(AB625,$AS$8:$AS$13,0),MATCH(O625,$AU$7:$BB$7,0))</f>
        <v>1</v>
      </c>
    </row>
    <row r="626" spans="15:42" ht="14.25" x14ac:dyDescent="0.45">
      <c r="O626" s="43" t="s">
        <v>33</v>
      </c>
      <c r="P626" s="43">
        <v>3</v>
      </c>
      <c r="Q626" s="43">
        <v>9</v>
      </c>
      <c r="R626" s="43">
        <v>1</v>
      </c>
      <c r="S626" s="45"/>
      <c r="T626" t="b">
        <f>(S626+S627+S628)=R4</f>
        <v>0</v>
      </c>
      <c r="X626" s="1">
        <f t="shared" si="55"/>
        <v>0</v>
      </c>
      <c r="Y626" s="48">
        <v>0</v>
      </c>
      <c r="AA626" s="1">
        <v>3</v>
      </c>
      <c r="AB626" s="1" t="s">
        <v>14</v>
      </c>
      <c r="AC626" s="1" t="s">
        <v>20</v>
      </c>
      <c r="AD626" s="1">
        <v>15</v>
      </c>
      <c r="AE626" s="1">
        <v>13</v>
      </c>
      <c r="AF626" s="1">
        <v>0.8</v>
      </c>
      <c r="AG626" s="1">
        <v>0.88</v>
      </c>
      <c r="AH626" s="1">
        <v>0</v>
      </c>
      <c r="AI626" s="1">
        <v>0</v>
      </c>
      <c r="AJ626" s="1">
        <f t="shared" si="51"/>
        <v>0</v>
      </c>
      <c r="AK626" s="1">
        <f>C59</f>
        <v>0</v>
      </c>
      <c r="AL626" s="1">
        <f>C65</f>
        <v>0</v>
      </c>
      <c r="AM626" s="1">
        <f t="shared" si="52"/>
        <v>0</v>
      </c>
      <c r="AN626" s="1">
        <f t="shared" si="53"/>
        <v>0</v>
      </c>
      <c r="AO626" s="1">
        <f t="shared" si="54"/>
        <v>0</v>
      </c>
      <c r="AP626" t="b" cm="1">
        <f t="array" ref="AP626">INDEX($AU$8:$BB$25,6*(R626-1)+MATCH(AB626,$AS$8:$AS$13,0),MATCH(O626,$AU$7:$BB$7,0))</f>
        <v>1</v>
      </c>
    </row>
    <row r="627" spans="15:42" ht="14.25" x14ac:dyDescent="0.45">
      <c r="O627" s="43" t="s">
        <v>33</v>
      </c>
      <c r="P627" s="43">
        <v>3</v>
      </c>
      <c r="Q627" s="43">
        <v>9</v>
      </c>
      <c r="R627" s="43">
        <v>2</v>
      </c>
      <c r="S627" s="45"/>
      <c r="T627" t="b">
        <f>(S626+S627+S628)=R4</f>
        <v>0</v>
      </c>
      <c r="X627" s="1">
        <f t="shared" si="55"/>
        <v>0</v>
      </c>
      <c r="Y627" s="48">
        <v>0</v>
      </c>
      <c r="AA627" s="1">
        <v>3</v>
      </c>
      <c r="AB627" s="1" t="s">
        <v>14</v>
      </c>
      <c r="AC627" s="1" t="s">
        <v>20</v>
      </c>
      <c r="AD627" s="1">
        <v>15</v>
      </c>
      <c r="AE627" s="1">
        <v>13</v>
      </c>
      <c r="AF627" s="1">
        <v>0.8</v>
      </c>
      <c r="AG627" s="1">
        <v>0.88</v>
      </c>
      <c r="AH627" s="1">
        <v>0</v>
      </c>
      <c r="AI627" s="1">
        <v>0</v>
      </c>
      <c r="AJ627" s="1">
        <f t="shared" si="51"/>
        <v>0</v>
      </c>
      <c r="AK627" s="1">
        <f>D59</f>
        <v>0</v>
      </c>
      <c r="AL627" s="1">
        <f>D65</f>
        <v>0</v>
      </c>
      <c r="AM627" s="1">
        <f t="shared" si="52"/>
        <v>0</v>
      </c>
      <c r="AN627" s="1">
        <f t="shared" si="53"/>
        <v>0</v>
      </c>
      <c r="AO627" s="1">
        <f t="shared" si="54"/>
        <v>0</v>
      </c>
      <c r="AP627" t="b" cm="1">
        <f t="array" ref="AP627">INDEX($AU$8:$BB$25,6*(R627-1)+MATCH(AB627,$AS$8:$AS$13,0),MATCH(O627,$AU$7:$BB$7,0))</f>
        <v>1</v>
      </c>
    </row>
    <row r="628" spans="15:42" ht="14.25" x14ac:dyDescent="0.45">
      <c r="O628" s="43" t="s">
        <v>33</v>
      </c>
      <c r="P628" s="43">
        <v>3</v>
      </c>
      <c r="Q628" s="43">
        <v>9</v>
      </c>
      <c r="R628" s="43">
        <v>3</v>
      </c>
      <c r="S628" s="45"/>
      <c r="T628" t="b">
        <f>(S626+S627+S628)=R4</f>
        <v>0</v>
      </c>
      <c r="X628" s="1">
        <f t="shared" si="55"/>
        <v>0</v>
      </c>
      <c r="Y628" s="48">
        <v>0</v>
      </c>
      <c r="AA628" s="1">
        <v>3</v>
      </c>
      <c r="AB628" s="1" t="s">
        <v>14</v>
      </c>
      <c r="AC628" s="1" t="s">
        <v>20</v>
      </c>
      <c r="AD628" s="1">
        <v>15</v>
      </c>
      <c r="AE628" s="1">
        <v>13</v>
      </c>
      <c r="AF628" s="1">
        <v>0.8</v>
      </c>
      <c r="AG628" s="1">
        <v>0.88</v>
      </c>
      <c r="AH628" s="1">
        <v>0</v>
      </c>
      <c r="AI628" s="1">
        <v>0</v>
      </c>
      <c r="AJ628" s="1">
        <f t="shared" si="51"/>
        <v>0</v>
      </c>
      <c r="AK628" s="1">
        <f>E59</f>
        <v>0</v>
      </c>
      <c r="AL628" s="1">
        <f>E65</f>
        <v>0</v>
      </c>
      <c r="AM628" s="1">
        <f t="shared" si="52"/>
        <v>0</v>
      </c>
      <c r="AN628" s="1">
        <f t="shared" si="53"/>
        <v>0</v>
      </c>
      <c r="AO628" s="1">
        <f t="shared" si="54"/>
        <v>0</v>
      </c>
      <c r="AP628" t="b" cm="1">
        <f t="array" ref="AP628">INDEX($AU$8:$BB$25,6*(R628-1)+MATCH(AB628,$AS$8:$AS$13,0),MATCH(O628,$AU$7:$BB$7,0))</f>
        <v>1</v>
      </c>
    </row>
    <row r="629" spans="15:42" ht="14.25" x14ac:dyDescent="0.45">
      <c r="O629" s="43" t="s">
        <v>33</v>
      </c>
      <c r="P629" s="43">
        <v>3</v>
      </c>
      <c r="Q629" s="43">
        <v>10</v>
      </c>
      <c r="R629" s="43">
        <v>1</v>
      </c>
      <c r="S629" s="45"/>
      <c r="T629" t="b">
        <f>(S629+S630+S631)=R4</f>
        <v>0</v>
      </c>
      <c r="X629" s="1">
        <f t="shared" si="55"/>
        <v>0</v>
      </c>
      <c r="Y629" s="48">
        <v>0</v>
      </c>
      <c r="AA629" s="1">
        <v>5</v>
      </c>
      <c r="AB629" s="1" t="s">
        <v>14</v>
      </c>
      <c r="AC629" s="1" t="s">
        <v>20</v>
      </c>
      <c r="AD629" s="1">
        <v>24</v>
      </c>
      <c r="AE629" s="1">
        <v>20</v>
      </c>
      <c r="AF629" s="1">
        <v>0.8</v>
      </c>
      <c r="AG629" s="1">
        <v>0.88</v>
      </c>
      <c r="AH629" s="1">
        <v>0</v>
      </c>
      <c r="AI629" s="1">
        <v>0</v>
      </c>
      <c r="AJ629" s="1">
        <f t="shared" si="51"/>
        <v>0</v>
      </c>
      <c r="AK629" s="1">
        <f>C59</f>
        <v>0</v>
      </c>
      <c r="AL629" s="1">
        <f>C65</f>
        <v>0</v>
      </c>
      <c r="AM629" s="1">
        <f t="shared" si="52"/>
        <v>0</v>
      </c>
      <c r="AN629" s="1">
        <f t="shared" si="53"/>
        <v>0</v>
      </c>
      <c r="AO629" s="1">
        <f t="shared" si="54"/>
        <v>0</v>
      </c>
      <c r="AP629" t="b" cm="1">
        <f t="array" ref="AP629">INDEX($AU$8:$BB$25,6*(R629-1)+MATCH(AB629,$AS$8:$AS$13,0),MATCH(O629,$AU$7:$BB$7,0))</f>
        <v>1</v>
      </c>
    </row>
    <row r="630" spans="15:42" ht="14.25" x14ac:dyDescent="0.45">
      <c r="O630" s="43" t="s">
        <v>33</v>
      </c>
      <c r="P630" s="43">
        <v>3</v>
      </c>
      <c r="Q630" s="43">
        <v>10</v>
      </c>
      <c r="R630" s="43">
        <v>2</v>
      </c>
      <c r="S630" s="45"/>
      <c r="T630" t="b">
        <f>(S629+S630+S631)=R4</f>
        <v>0</v>
      </c>
      <c r="X630" s="1">
        <f t="shared" si="55"/>
        <v>0</v>
      </c>
      <c r="Y630" s="48">
        <v>0</v>
      </c>
      <c r="AA630" s="1">
        <v>5</v>
      </c>
      <c r="AB630" s="1" t="s">
        <v>14</v>
      </c>
      <c r="AC630" s="1" t="s">
        <v>20</v>
      </c>
      <c r="AD630" s="1">
        <v>24</v>
      </c>
      <c r="AE630" s="1">
        <v>20</v>
      </c>
      <c r="AF630" s="1">
        <v>0.8</v>
      </c>
      <c r="AG630" s="1">
        <v>0.88</v>
      </c>
      <c r="AH630" s="1">
        <v>0</v>
      </c>
      <c r="AI630" s="1">
        <v>0</v>
      </c>
      <c r="AJ630" s="1">
        <f t="shared" si="51"/>
        <v>0</v>
      </c>
      <c r="AK630" s="1">
        <f>D59</f>
        <v>0</v>
      </c>
      <c r="AL630" s="1">
        <f>D65</f>
        <v>0</v>
      </c>
      <c r="AM630" s="1">
        <f t="shared" si="52"/>
        <v>0</v>
      </c>
      <c r="AN630" s="1">
        <f t="shared" si="53"/>
        <v>0</v>
      </c>
      <c r="AO630" s="1">
        <f t="shared" si="54"/>
        <v>0</v>
      </c>
      <c r="AP630" t="b" cm="1">
        <f t="array" ref="AP630">INDEX($AU$8:$BB$25,6*(R630-1)+MATCH(AB630,$AS$8:$AS$13,0),MATCH(O630,$AU$7:$BB$7,0))</f>
        <v>1</v>
      </c>
    </row>
    <row r="631" spans="15:42" ht="14.25" x14ac:dyDescent="0.45">
      <c r="O631" s="43" t="s">
        <v>33</v>
      </c>
      <c r="P631" s="43">
        <v>3</v>
      </c>
      <c r="Q631" s="43">
        <v>10</v>
      </c>
      <c r="R631" s="43">
        <v>3</v>
      </c>
      <c r="S631" s="45"/>
      <c r="T631" t="b">
        <f>(S629+S630+S631)=R4</f>
        <v>0</v>
      </c>
      <c r="X631" s="1">
        <f t="shared" si="55"/>
        <v>0</v>
      </c>
      <c r="Y631" s="48">
        <v>0</v>
      </c>
      <c r="AA631" s="1">
        <v>5</v>
      </c>
      <c r="AB631" s="1" t="s">
        <v>14</v>
      </c>
      <c r="AC631" s="1" t="s">
        <v>20</v>
      </c>
      <c r="AD631" s="1">
        <v>24</v>
      </c>
      <c r="AE631" s="1">
        <v>20</v>
      </c>
      <c r="AF631" s="1">
        <v>0.8</v>
      </c>
      <c r="AG631" s="1">
        <v>0.88</v>
      </c>
      <c r="AH631" s="1">
        <v>0</v>
      </c>
      <c r="AI631" s="1">
        <v>0</v>
      </c>
      <c r="AJ631" s="1">
        <f t="shared" si="51"/>
        <v>0</v>
      </c>
      <c r="AK631" s="1">
        <f>E59</f>
        <v>0</v>
      </c>
      <c r="AL631" s="1">
        <f>E65</f>
        <v>0</v>
      </c>
      <c r="AM631" s="1">
        <f t="shared" si="52"/>
        <v>0</v>
      </c>
      <c r="AN631" s="1">
        <f t="shared" si="53"/>
        <v>0</v>
      </c>
      <c r="AO631" s="1">
        <f t="shared" si="54"/>
        <v>0</v>
      </c>
      <c r="AP631" t="b" cm="1">
        <f t="array" ref="AP631">INDEX($AU$8:$BB$25,6*(R631-1)+MATCH(AB631,$AS$8:$AS$13,0),MATCH(O631,$AU$7:$BB$7,0))</f>
        <v>1</v>
      </c>
    </row>
    <row r="632" spans="15:42" ht="14.25" x14ac:dyDescent="0.45">
      <c r="O632" s="43" t="s">
        <v>33</v>
      </c>
      <c r="P632" s="43">
        <v>3</v>
      </c>
      <c r="Q632" s="43">
        <v>11</v>
      </c>
      <c r="R632" s="43">
        <v>1</v>
      </c>
      <c r="S632" s="45"/>
      <c r="T632" t="b">
        <f>(S632+S633+S634)=R4</f>
        <v>0</v>
      </c>
      <c r="X632" s="1">
        <f t="shared" si="55"/>
        <v>0</v>
      </c>
      <c r="Y632" s="48">
        <v>0</v>
      </c>
      <c r="AA632" s="1">
        <v>3</v>
      </c>
      <c r="AB632" s="1" t="s">
        <v>15</v>
      </c>
      <c r="AC632" s="1" t="s">
        <v>21</v>
      </c>
      <c r="AD632" s="1">
        <v>17</v>
      </c>
      <c r="AE632" s="1">
        <v>15</v>
      </c>
      <c r="AF632" s="1">
        <v>0.76</v>
      </c>
      <c r="AG632" s="1">
        <v>0.84</v>
      </c>
      <c r="AH632" s="1">
        <v>0</v>
      </c>
      <c r="AI632" s="1">
        <v>0</v>
      </c>
      <c r="AJ632" s="1">
        <f t="shared" si="51"/>
        <v>0</v>
      </c>
      <c r="AK632" s="1">
        <f>C60</f>
        <v>0</v>
      </c>
      <c r="AL632" s="1">
        <f>C66</f>
        <v>0</v>
      </c>
      <c r="AM632" s="1">
        <f t="shared" si="52"/>
        <v>0</v>
      </c>
      <c r="AN632" s="1">
        <f t="shared" si="53"/>
        <v>0</v>
      </c>
      <c r="AO632" s="1">
        <f t="shared" si="54"/>
        <v>0</v>
      </c>
      <c r="AP632" t="b" cm="1">
        <f t="array" ref="AP632">INDEX($AU$8:$BB$25,6*(R632-1)+MATCH(AB632,$AS$8:$AS$13,0),MATCH(O632,$AU$7:$BB$7,0))</f>
        <v>1</v>
      </c>
    </row>
    <row r="633" spans="15:42" ht="14.25" x14ac:dyDescent="0.45">
      <c r="O633" s="43" t="s">
        <v>33</v>
      </c>
      <c r="P633" s="43">
        <v>3</v>
      </c>
      <c r="Q633" s="43">
        <v>11</v>
      </c>
      <c r="R633" s="43">
        <v>2</v>
      </c>
      <c r="S633" s="45"/>
      <c r="T633" t="b">
        <f>(S632+S633+S634)=R4</f>
        <v>0</v>
      </c>
      <c r="X633" s="1">
        <f t="shared" si="55"/>
        <v>0</v>
      </c>
      <c r="Y633" s="48">
        <v>0</v>
      </c>
      <c r="AA633" s="1">
        <v>3</v>
      </c>
      <c r="AB633" s="1" t="s">
        <v>15</v>
      </c>
      <c r="AC633" s="1" t="s">
        <v>21</v>
      </c>
      <c r="AD633" s="1">
        <v>17</v>
      </c>
      <c r="AE633" s="1">
        <v>15</v>
      </c>
      <c r="AF633" s="1">
        <v>0.76</v>
      </c>
      <c r="AG633" s="1">
        <v>0.84</v>
      </c>
      <c r="AH633" s="1">
        <v>0</v>
      </c>
      <c r="AI633" s="1">
        <v>0</v>
      </c>
      <c r="AJ633" s="1">
        <f t="shared" si="51"/>
        <v>0</v>
      </c>
      <c r="AK633" s="1">
        <f>D60</f>
        <v>0</v>
      </c>
      <c r="AL633" s="1">
        <f>D66</f>
        <v>0</v>
      </c>
      <c r="AM633" s="1">
        <f t="shared" si="52"/>
        <v>0</v>
      </c>
      <c r="AN633" s="1">
        <f t="shared" si="53"/>
        <v>0</v>
      </c>
      <c r="AO633" s="1">
        <f t="shared" si="54"/>
        <v>0</v>
      </c>
      <c r="AP633" t="b" cm="1">
        <f t="array" ref="AP633">INDEX($AU$8:$BB$25,6*(R633-1)+MATCH(AB633,$AS$8:$AS$13,0),MATCH(O633,$AU$7:$BB$7,0))</f>
        <v>1</v>
      </c>
    </row>
    <row r="634" spans="15:42" ht="14.25" x14ac:dyDescent="0.45">
      <c r="O634" s="43" t="s">
        <v>33</v>
      </c>
      <c r="P634" s="43">
        <v>3</v>
      </c>
      <c r="Q634" s="43">
        <v>11</v>
      </c>
      <c r="R634" s="43">
        <v>3</v>
      </c>
      <c r="S634" s="45"/>
      <c r="T634" t="b">
        <f>(S632+S633+S634)=R4</f>
        <v>0</v>
      </c>
      <c r="X634" s="1">
        <f t="shared" si="55"/>
        <v>0</v>
      </c>
      <c r="Y634" s="48">
        <v>0</v>
      </c>
      <c r="AA634" s="1">
        <v>3</v>
      </c>
      <c r="AB634" s="1" t="s">
        <v>15</v>
      </c>
      <c r="AC634" s="1" t="s">
        <v>21</v>
      </c>
      <c r="AD634" s="1">
        <v>17</v>
      </c>
      <c r="AE634" s="1">
        <v>15</v>
      </c>
      <c r="AF634" s="1">
        <v>0.76</v>
      </c>
      <c r="AG634" s="1">
        <v>0.84</v>
      </c>
      <c r="AH634" s="1">
        <v>0</v>
      </c>
      <c r="AI634" s="1">
        <v>0</v>
      </c>
      <c r="AJ634" s="1">
        <f t="shared" si="51"/>
        <v>0</v>
      </c>
      <c r="AK634" s="1">
        <f>E60</f>
        <v>0</v>
      </c>
      <c r="AL634" s="1">
        <f>E66</f>
        <v>0</v>
      </c>
      <c r="AM634" s="1">
        <f t="shared" si="52"/>
        <v>0</v>
      </c>
      <c r="AN634" s="1">
        <f t="shared" si="53"/>
        <v>0</v>
      </c>
      <c r="AO634" s="1">
        <f t="shared" si="54"/>
        <v>0</v>
      </c>
      <c r="AP634" t="b" cm="1">
        <f t="array" ref="AP634">INDEX($AU$8:$BB$25,6*(R634-1)+MATCH(AB634,$AS$8:$AS$13,0),MATCH(O634,$AU$7:$BB$7,0))</f>
        <v>1</v>
      </c>
    </row>
    <row r="635" spans="15:42" ht="14.25" x14ac:dyDescent="0.45">
      <c r="O635" s="43" t="s">
        <v>33</v>
      </c>
      <c r="P635" s="43">
        <v>3</v>
      </c>
      <c r="Q635" s="43">
        <v>12</v>
      </c>
      <c r="R635" s="43">
        <v>1</v>
      </c>
      <c r="S635" s="45"/>
      <c r="T635" t="b">
        <f>(S635+S636+S637)=R4</f>
        <v>0</v>
      </c>
      <c r="X635" s="1">
        <f t="shared" si="55"/>
        <v>0</v>
      </c>
      <c r="Y635" s="48">
        <v>0</v>
      </c>
      <c r="AA635" s="1">
        <v>10</v>
      </c>
      <c r="AB635" s="1" t="s">
        <v>15</v>
      </c>
      <c r="AC635" s="1" t="s">
        <v>21</v>
      </c>
      <c r="AD635" s="1">
        <v>18</v>
      </c>
      <c r="AE635" s="1">
        <v>13</v>
      </c>
      <c r="AF635" s="1">
        <v>0.76</v>
      </c>
      <c r="AG635" s="1">
        <v>0.84</v>
      </c>
      <c r="AH635" s="1">
        <v>0</v>
      </c>
      <c r="AI635" s="1">
        <v>0</v>
      </c>
      <c r="AJ635" s="1">
        <f t="shared" si="51"/>
        <v>0</v>
      </c>
      <c r="AK635" s="1">
        <f>C60</f>
        <v>0</v>
      </c>
      <c r="AL635" s="1">
        <f>C66</f>
        <v>0</v>
      </c>
      <c r="AM635" s="1">
        <f t="shared" si="52"/>
        <v>0</v>
      </c>
      <c r="AN635" s="1">
        <f t="shared" si="53"/>
        <v>0</v>
      </c>
      <c r="AO635" s="1">
        <f t="shared" si="54"/>
        <v>0</v>
      </c>
      <c r="AP635" t="b" cm="1">
        <f t="array" ref="AP635">INDEX($AU$8:$BB$25,6*(R635-1)+MATCH(AB635,$AS$8:$AS$13,0),MATCH(O635,$AU$7:$BB$7,0))</f>
        <v>1</v>
      </c>
    </row>
    <row r="636" spans="15:42" ht="14.25" x14ac:dyDescent="0.45">
      <c r="O636" s="43" t="s">
        <v>33</v>
      </c>
      <c r="P636" s="43">
        <v>3</v>
      </c>
      <c r="Q636" s="43">
        <v>12</v>
      </c>
      <c r="R636" s="43">
        <v>2</v>
      </c>
      <c r="S636" s="45"/>
      <c r="T636" t="b">
        <f>(S635+S636+S637)=R4</f>
        <v>0</v>
      </c>
      <c r="X636" s="1">
        <f t="shared" si="55"/>
        <v>0</v>
      </c>
      <c r="Y636" s="48">
        <v>0</v>
      </c>
      <c r="AA636" s="1">
        <v>10</v>
      </c>
      <c r="AB636" s="1" t="s">
        <v>15</v>
      </c>
      <c r="AC636" s="1" t="s">
        <v>21</v>
      </c>
      <c r="AD636" s="1">
        <v>18</v>
      </c>
      <c r="AE636" s="1">
        <v>13</v>
      </c>
      <c r="AF636" s="1">
        <v>0.76</v>
      </c>
      <c r="AG636" s="1">
        <v>0.84</v>
      </c>
      <c r="AH636" s="1">
        <v>0</v>
      </c>
      <c r="AI636" s="1">
        <v>0</v>
      </c>
      <c r="AJ636" s="1">
        <f t="shared" si="51"/>
        <v>0</v>
      </c>
      <c r="AK636" s="1">
        <f>D60</f>
        <v>0</v>
      </c>
      <c r="AL636" s="1">
        <f>D66</f>
        <v>0</v>
      </c>
      <c r="AM636" s="1">
        <f t="shared" si="52"/>
        <v>0</v>
      </c>
      <c r="AN636" s="1">
        <f t="shared" si="53"/>
        <v>0</v>
      </c>
      <c r="AO636" s="1">
        <f t="shared" si="54"/>
        <v>0</v>
      </c>
      <c r="AP636" t="b" cm="1">
        <f t="array" ref="AP636">INDEX($AU$8:$BB$25,6*(R636-1)+MATCH(AB636,$AS$8:$AS$13,0),MATCH(O636,$AU$7:$BB$7,0))</f>
        <v>1</v>
      </c>
    </row>
    <row r="637" spans="15:42" ht="14.25" x14ac:dyDescent="0.45">
      <c r="O637" s="43" t="s">
        <v>33</v>
      </c>
      <c r="P637" s="43">
        <v>3</v>
      </c>
      <c r="Q637" s="43">
        <v>12</v>
      </c>
      <c r="R637" s="43">
        <v>3</v>
      </c>
      <c r="S637" s="45"/>
      <c r="T637" t="b">
        <f>(S635+S636+S637)=R4</f>
        <v>0</v>
      </c>
      <c r="X637" s="1">
        <f t="shared" si="55"/>
        <v>0</v>
      </c>
      <c r="Y637" s="48">
        <v>0</v>
      </c>
      <c r="AA637" s="1">
        <v>10</v>
      </c>
      <c r="AB637" s="1" t="s">
        <v>15</v>
      </c>
      <c r="AC637" s="1" t="s">
        <v>21</v>
      </c>
      <c r="AD637" s="1">
        <v>18</v>
      </c>
      <c r="AE637" s="1">
        <v>13</v>
      </c>
      <c r="AF637" s="1">
        <v>0.76</v>
      </c>
      <c r="AG637" s="1">
        <v>0.84</v>
      </c>
      <c r="AH637" s="1">
        <v>0</v>
      </c>
      <c r="AI637" s="1">
        <v>0</v>
      </c>
      <c r="AJ637" s="1">
        <f t="shared" si="51"/>
        <v>0</v>
      </c>
      <c r="AK637" s="1">
        <f>E60</f>
        <v>0</v>
      </c>
      <c r="AL637" s="1">
        <f>E66</f>
        <v>0</v>
      </c>
      <c r="AM637" s="1">
        <f t="shared" si="52"/>
        <v>0</v>
      </c>
      <c r="AN637" s="1">
        <f t="shared" si="53"/>
        <v>0</v>
      </c>
      <c r="AO637" s="1">
        <f t="shared" si="54"/>
        <v>0</v>
      </c>
      <c r="AP637" t="b" cm="1">
        <f t="array" ref="AP637">INDEX($AU$8:$BB$25,6*(R637-1)+MATCH(AB637,$AS$8:$AS$13,0),MATCH(O637,$AU$7:$BB$7,0))</f>
        <v>1</v>
      </c>
    </row>
    <row r="638" spans="15:42" ht="14.25" x14ac:dyDescent="0.45">
      <c r="O638" s="43" t="s">
        <v>33</v>
      </c>
      <c r="P638" s="43">
        <v>3</v>
      </c>
      <c r="Q638" s="43">
        <v>13</v>
      </c>
      <c r="R638" s="43">
        <v>1</v>
      </c>
      <c r="S638" s="45"/>
      <c r="T638" t="b">
        <f>(S638+S639+S640)=R4</f>
        <v>0</v>
      </c>
      <c r="X638" s="1">
        <f t="shared" si="55"/>
        <v>0</v>
      </c>
      <c r="Y638" s="48">
        <v>0</v>
      </c>
      <c r="AA638" s="1">
        <v>2</v>
      </c>
      <c r="AB638" s="1" t="s">
        <v>16</v>
      </c>
      <c r="AC638" s="1" t="s">
        <v>22</v>
      </c>
      <c r="AD638" s="1">
        <v>20</v>
      </c>
      <c r="AE638" s="1">
        <v>18</v>
      </c>
      <c r="AF638" s="1">
        <v>0.8</v>
      </c>
      <c r="AG638" s="1">
        <v>0.9</v>
      </c>
      <c r="AH638" s="1">
        <v>0</v>
      </c>
      <c r="AI638" s="1">
        <v>0</v>
      </c>
      <c r="AJ638" s="1">
        <f t="shared" si="51"/>
        <v>0</v>
      </c>
      <c r="AK638" s="1">
        <f>C61</f>
        <v>0</v>
      </c>
      <c r="AL638" s="1">
        <f>C67</f>
        <v>0</v>
      </c>
      <c r="AM638" s="1">
        <f t="shared" si="52"/>
        <v>0</v>
      </c>
      <c r="AN638" s="1">
        <f t="shared" si="53"/>
        <v>0</v>
      </c>
      <c r="AO638" s="1">
        <f t="shared" si="54"/>
        <v>0</v>
      </c>
      <c r="AP638" t="b" cm="1">
        <f t="array" ref="AP638">INDEX($AU$8:$BB$25,6*(R638-1)+MATCH(AB638,$AS$8:$AS$13,0),MATCH(O638,$AU$7:$BB$7,0))</f>
        <v>1</v>
      </c>
    </row>
    <row r="639" spans="15:42" ht="14.25" x14ac:dyDescent="0.45">
      <c r="O639" s="43" t="s">
        <v>33</v>
      </c>
      <c r="P639" s="43">
        <v>3</v>
      </c>
      <c r="Q639" s="43">
        <v>13</v>
      </c>
      <c r="R639" s="43">
        <v>2</v>
      </c>
      <c r="S639" s="45"/>
      <c r="T639" t="b">
        <f>(S638+S639+S640)=R4</f>
        <v>0</v>
      </c>
      <c r="X639" s="1">
        <f t="shared" si="55"/>
        <v>0</v>
      </c>
      <c r="Y639" s="48">
        <v>0</v>
      </c>
      <c r="AA639" s="1">
        <v>2</v>
      </c>
      <c r="AB639" s="1" t="s">
        <v>16</v>
      </c>
      <c r="AC639" s="1" t="s">
        <v>22</v>
      </c>
      <c r="AD639" s="1">
        <v>20</v>
      </c>
      <c r="AE639" s="1">
        <v>18</v>
      </c>
      <c r="AF639" s="1">
        <v>0.8</v>
      </c>
      <c r="AG639" s="1">
        <v>0.9</v>
      </c>
      <c r="AH639" s="1">
        <v>0</v>
      </c>
      <c r="AI639" s="1">
        <v>0</v>
      </c>
      <c r="AJ639" s="1">
        <f t="shared" si="51"/>
        <v>0</v>
      </c>
      <c r="AK639" s="1">
        <f>D61</f>
        <v>0</v>
      </c>
      <c r="AL639" s="1">
        <f>D67</f>
        <v>0</v>
      </c>
      <c r="AM639" s="1">
        <f t="shared" si="52"/>
        <v>0</v>
      </c>
      <c r="AN639" s="1">
        <f t="shared" si="53"/>
        <v>0</v>
      </c>
      <c r="AO639" s="1">
        <f t="shared" si="54"/>
        <v>0</v>
      </c>
      <c r="AP639" t="b" cm="1">
        <f t="array" ref="AP639">INDEX($AU$8:$BB$25,6*(R639-1)+MATCH(AB639,$AS$8:$AS$13,0),MATCH(O639,$AU$7:$BB$7,0))</f>
        <v>1</v>
      </c>
    </row>
    <row r="640" spans="15:42" ht="14.25" x14ac:dyDescent="0.45">
      <c r="O640" s="43" t="s">
        <v>33</v>
      </c>
      <c r="P640" s="43">
        <v>3</v>
      </c>
      <c r="Q640" s="43">
        <v>13</v>
      </c>
      <c r="R640" s="43">
        <v>3</v>
      </c>
      <c r="S640" s="45"/>
      <c r="T640" t="b">
        <f>(S638+S639+S640)=R4</f>
        <v>0</v>
      </c>
      <c r="X640" s="1">
        <f t="shared" si="55"/>
        <v>0</v>
      </c>
      <c r="Y640" s="48">
        <v>0</v>
      </c>
      <c r="AA640" s="1">
        <v>2</v>
      </c>
      <c r="AB640" s="1" t="s">
        <v>16</v>
      </c>
      <c r="AC640" s="1" t="s">
        <v>22</v>
      </c>
      <c r="AD640" s="1">
        <v>20</v>
      </c>
      <c r="AE640" s="1">
        <v>18</v>
      </c>
      <c r="AF640" s="1">
        <v>0.8</v>
      </c>
      <c r="AG640" s="1">
        <v>0.9</v>
      </c>
      <c r="AH640" s="1">
        <v>0</v>
      </c>
      <c r="AI640" s="1">
        <v>0</v>
      </c>
      <c r="AJ640" s="1">
        <f t="shared" si="51"/>
        <v>0</v>
      </c>
      <c r="AK640" s="1">
        <f>E61</f>
        <v>0</v>
      </c>
      <c r="AL640" s="1">
        <f>E67</f>
        <v>0</v>
      </c>
      <c r="AM640" s="1">
        <f t="shared" si="52"/>
        <v>0</v>
      </c>
      <c r="AN640" s="1">
        <f t="shared" si="53"/>
        <v>0</v>
      </c>
      <c r="AO640" s="1">
        <f t="shared" si="54"/>
        <v>0</v>
      </c>
      <c r="AP640" t="b" cm="1">
        <f t="array" ref="AP640">INDEX($AU$8:$BB$25,6*(R640-1)+MATCH(AB640,$AS$8:$AS$13,0),MATCH(O640,$AU$7:$BB$7,0))</f>
        <v>1</v>
      </c>
    </row>
    <row r="641" spans="15:42" ht="14.25" x14ac:dyDescent="0.45">
      <c r="O641" s="43" t="s">
        <v>33</v>
      </c>
      <c r="P641" s="43">
        <v>3</v>
      </c>
      <c r="Q641" s="43">
        <v>14</v>
      </c>
      <c r="R641" s="43">
        <v>1</v>
      </c>
      <c r="S641" s="45"/>
      <c r="T641" t="b">
        <f>(S641+S642+S643)=R4</f>
        <v>0</v>
      </c>
      <c r="X641" s="1">
        <f t="shared" si="55"/>
        <v>0</v>
      </c>
      <c r="Y641" s="48">
        <v>0</v>
      </c>
      <c r="AA641" s="1">
        <v>2</v>
      </c>
      <c r="AB641" s="1" t="s">
        <v>13</v>
      </c>
      <c r="AC641" s="1" t="s">
        <v>19</v>
      </c>
      <c r="AD641" s="1">
        <v>12</v>
      </c>
      <c r="AE641" s="1">
        <v>11</v>
      </c>
      <c r="AF641" s="1">
        <v>0.8</v>
      </c>
      <c r="AG641" s="1">
        <v>0.86</v>
      </c>
      <c r="AH641" s="1">
        <v>0</v>
      </c>
      <c r="AI641" s="1">
        <v>0</v>
      </c>
      <c r="AJ641" s="1">
        <f t="shared" si="51"/>
        <v>0</v>
      </c>
      <c r="AK641" s="1">
        <f>C58</f>
        <v>0</v>
      </c>
      <c r="AL641" s="1">
        <f>C64</f>
        <v>0</v>
      </c>
      <c r="AM641" s="1">
        <f t="shared" si="52"/>
        <v>0</v>
      </c>
      <c r="AN641" s="1">
        <f t="shared" si="53"/>
        <v>0</v>
      </c>
      <c r="AO641" s="1">
        <f t="shared" si="54"/>
        <v>0</v>
      </c>
      <c r="AP641" t="b" cm="1">
        <f t="array" ref="AP641">INDEX($AU$8:$BB$25,6*(R641-1)+MATCH(AB641,$AS$8:$AS$13,0),MATCH(O641,$AU$7:$BB$7,0))</f>
        <v>1</v>
      </c>
    </row>
    <row r="642" spans="15:42" ht="14.25" x14ac:dyDescent="0.45">
      <c r="O642" s="43" t="s">
        <v>33</v>
      </c>
      <c r="P642" s="43">
        <v>3</v>
      </c>
      <c r="Q642" s="43">
        <v>14</v>
      </c>
      <c r="R642" s="43">
        <v>2</v>
      </c>
      <c r="S642" s="45"/>
      <c r="T642" t="b">
        <f>(S641+S642+S643)=R4</f>
        <v>0</v>
      </c>
      <c r="X642" s="1">
        <f t="shared" si="55"/>
        <v>0</v>
      </c>
      <c r="Y642" s="48">
        <v>0</v>
      </c>
      <c r="AA642" s="1">
        <v>2</v>
      </c>
      <c r="AB642" s="1" t="s">
        <v>13</v>
      </c>
      <c r="AC642" s="1" t="s">
        <v>19</v>
      </c>
      <c r="AD642" s="1">
        <v>12</v>
      </c>
      <c r="AE642" s="1">
        <v>11</v>
      </c>
      <c r="AF642" s="1">
        <v>0.8</v>
      </c>
      <c r="AG642" s="1">
        <v>0.86</v>
      </c>
      <c r="AH642" s="1">
        <v>0</v>
      </c>
      <c r="AI642" s="1">
        <v>0</v>
      </c>
      <c r="AJ642" s="1">
        <f t="shared" si="51"/>
        <v>0</v>
      </c>
      <c r="AK642" s="1">
        <f>D58</f>
        <v>0</v>
      </c>
      <c r="AL642" s="1">
        <f>D64</f>
        <v>0</v>
      </c>
      <c r="AM642" s="1">
        <f t="shared" si="52"/>
        <v>0</v>
      </c>
      <c r="AN642" s="1">
        <f t="shared" si="53"/>
        <v>0</v>
      </c>
      <c r="AO642" s="1">
        <f t="shared" si="54"/>
        <v>0</v>
      </c>
      <c r="AP642" t="b" cm="1">
        <f t="array" ref="AP642">INDEX($AU$8:$BB$25,6*(R642-1)+MATCH(AB642,$AS$8:$AS$13,0),MATCH(O642,$AU$7:$BB$7,0))</f>
        <v>1</v>
      </c>
    </row>
    <row r="643" spans="15:42" ht="14.25" x14ac:dyDescent="0.45">
      <c r="O643" s="43" t="s">
        <v>33</v>
      </c>
      <c r="P643" s="43">
        <v>3</v>
      </c>
      <c r="Q643" s="43">
        <v>14</v>
      </c>
      <c r="R643" s="43">
        <v>3</v>
      </c>
      <c r="S643" s="45"/>
      <c r="T643" t="b">
        <f>(S641+S642+S643)=R4</f>
        <v>0</v>
      </c>
      <c r="X643" s="1">
        <f t="shared" si="55"/>
        <v>0</v>
      </c>
      <c r="Y643" s="48">
        <v>0</v>
      </c>
      <c r="AA643" s="1">
        <v>2</v>
      </c>
      <c r="AB643" s="1" t="s">
        <v>13</v>
      </c>
      <c r="AC643" s="1" t="s">
        <v>19</v>
      </c>
      <c r="AD643" s="1">
        <v>12</v>
      </c>
      <c r="AE643" s="1">
        <v>11</v>
      </c>
      <c r="AF643" s="1">
        <v>0.8</v>
      </c>
      <c r="AG643" s="1">
        <v>0.86</v>
      </c>
      <c r="AH643" s="1">
        <v>0</v>
      </c>
      <c r="AI643" s="1">
        <v>0</v>
      </c>
      <c r="AJ643" s="1">
        <f t="shared" si="51"/>
        <v>0</v>
      </c>
      <c r="AK643" s="1">
        <f>E58</f>
        <v>0</v>
      </c>
      <c r="AL643" s="1">
        <f>E64</f>
        <v>0</v>
      </c>
      <c r="AM643" s="1">
        <f t="shared" si="52"/>
        <v>0</v>
      </c>
      <c r="AN643" s="1">
        <f t="shared" si="53"/>
        <v>0</v>
      </c>
      <c r="AO643" s="1">
        <f t="shared" si="54"/>
        <v>0</v>
      </c>
      <c r="AP643" t="b" cm="1">
        <f t="array" ref="AP643">INDEX($AU$8:$BB$25,6*(R643-1)+MATCH(AB643,$AS$8:$AS$13,0),MATCH(O643,$AU$7:$BB$7,0))</f>
        <v>1</v>
      </c>
    </row>
    <row r="644" spans="15:42" ht="14.25" x14ac:dyDescent="0.45">
      <c r="O644" s="43" t="s">
        <v>33</v>
      </c>
      <c r="P644" s="43">
        <v>3</v>
      </c>
      <c r="Q644" s="43">
        <v>15</v>
      </c>
      <c r="R644" s="43">
        <v>1</v>
      </c>
      <c r="S644" s="45"/>
      <c r="T644" t="b">
        <f>(S644+S645+S646)=R4</f>
        <v>0</v>
      </c>
      <c r="X644" s="1">
        <f t="shared" si="55"/>
        <v>0</v>
      </c>
      <c r="Y644" s="48">
        <v>0</v>
      </c>
      <c r="AA644" s="1">
        <v>2</v>
      </c>
      <c r="AB644" s="1" t="s">
        <v>14</v>
      </c>
      <c r="AC644" s="1" t="s">
        <v>20</v>
      </c>
      <c r="AD644" s="1">
        <v>11</v>
      </c>
      <c r="AE644" s="1">
        <v>10</v>
      </c>
      <c r="AF644" s="1">
        <v>0.8</v>
      </c>
      <c r="AG644" s="1">
        <v>0.88</v>
      </c>
      <c r="AH644" s="1">
        <v>0</v>
      </c>
      <c r="AI644" s="1">
        <v>0</v>
      </c>
      <c r="AJ644" s="1">
        <f t="shared" si="51"/>
        <v>0</v>
      </c>
      <c r="AK644" s="1">
        <f>C59</f>
        <v>0</v>
      </c>
      <c r="AL644" s="1">
        <f>C65</f>
        <v>0</v>
      </c>
      <c r="AM644" s="1">
        <f t="shared" si="52"/>
        <v>0</v>
      </c>
      <c r="AN644" s="1">
        <f t="shared" si="53"/>
        <v>0</v>
      </c>
      <c r="AO644" s="1">
        <f t="shared" si="54"/>
        <v>0</v>
      </c>
      <c r="AP644" t="b" cm="1">
        <f t="array" ref="AP644">INDEX($AU$8:$BB$25,6*(R644-1)+MATCH(AB644,$AS$8:$AS$13,0),MATCH(O644,$AU$7:$BB$7,0))</f>
        <v>1</v>
      </c>
    </row>
    <row r="645" spans="15:42" ht="14.25" x14ac:dyDescent="0.45">
      <c r="O645" s="43" t="s">
        <v>33</v>
      </c>
      <c r="P645" s="43">
        <v>3</v>
      </c>
      <c r="Q645" s="43">
        <v>15</v>
      </c>
      <c r="R645" s="43">
        <v>2</v>
      </c>
      <c r="S645" s="45"/>
      <c r="T645" t="b">
        <f>(S644+S645+S646)=R4</f>
        <v>0</v>
      </c>
      <c r="X645" s="1">
        <f t="shared" si="55"/>
        <v>0</v>
      </c>
      <c r="Y645" s="48">
        <v>0</v>
      </c>
      <c r="AA645" s="1">
        <v>2</v>
      </c>
      <c r="AB645" s="1" t="s">
        <v>14</v>
      </c>
      <c r="AC645" s="1" t="s">
        <v>20</v>
      </c>
      <c r="AD645" s="1">
        <v>11</v>
      </c>
      <c r="AE645" s="1">
        <v>10</v>
      </c>
      <c r="AF645" s="1">
        <v>0.8</v>
      </c>
      <c r="AG645" s="1">
        <v>0.88</v>
      </c>
      <c r="AH645" s="1">
        <v>0</v>
      </c>
      <c r="AI645" s="1">
        <v>0</v>
      </c>
      <c r="AJ645" s="1">
        <f t="shared" si="51"/>
        <v>0</v>
      </c>
      <c r="AK645" s="1">
        <f>D59</f>
        <v>0</v>
      </c>
      <c r="AL645" s="1">
        <f>D65</f>
        <v>0</v>
      </c>
      <c r="AM645" s="1">
        <f t="shared" si="52"/>
        <v>0</v>
      </c>
      <c r="AN645" s="1">
        <f t="shared" si="53"/>
        <v>0</v>
      </c>
      <c r="AO645" s="1">
        <f t="shared" si="54"/>
        <v>0</v>
      </c>
      <c r="AP645" t="b" cm="1">
        <f t="array" ref="AP645">INDEX($AU$8:$BB$25,6*(R645-1)+MATCH(AB645,$AS$8:$AS$13,0),MATCH(O645,$AU$7:$BB$7,0))</f>
        <v>1</v>
      </c>
    </row>
    <row r="646" spans="15:42" ht="14.25" x14ac:dyDescent="0.45">
      <c r="O646" s="43" t="s">
        <v>33</v>
      </c>
      <c r="P646" s="43">
        <v>3</v>
      </c>
      <c r="Q646" s="43">
        <v>15</v>
      </c>
      <c r="R646" s="43">
        <v>3</v>
      </c>
      <c r="S646" s="45"/>
      <c r="T646" t="b">
        <f>(S644+S645+S646)=R4</f>
        <v>0</v>
      </c>
      <c r="X646" s="1">
        <f t="shared" si="55"/>
        <v>0</v>
      </c>
      <c r="Y646" s="48">
        <v>0</v>
      </c>
      <c r="AA646" s="1">
        <v>2</v>
      </c>
      <c r="AB646" s="1" t="s">
        <v>14</v>
      </c>
      <c r="AC646" s="1" t="s">
        <v>20</v>
      </c>
      <c r="AD646" s="1">
        <v>11</v>
      </c>
      <c r="AE646" s="1">
        <v>10</v>
      </c>
      <c r="AF646" s="1">
        <v>0.8</v>
      </c>
      <c r="AG646" s="1">
        <v>0.88</v>
      </c>
      <c r="AH646" s="1">
        <v>0</v>
      </c>
      <c r="AI646" s="1">
        <v>0</v>
      </c>
      <c r="AJ646" s="1">
        <f t="shared" si="51"/>
        <v>0</v>
      </c>
      <c r="AK646" s="1">
        <f>E59</f>
        <v>0</v>
      </c>
      <c r="AL646" s="1">
        <f>E65</f>
        <v>0</v>
      </c>
      <c r="AM646" s="1">
        <f t="shared" si="52"/>
        <v>0</v>
      </c>
      <c r="AN646" s="1">
        <f t="shared" si="53"/>
        <v>0</v>
      </c>
      <c r="AO646" s="1">
        <f t="shared" si="54"/>
        <v>0</v>
      </c>
      <c r="AP646" t="b" cm="1">
        <f t="array" ref="AP646">INDEX($AU$8:$BB$25,6*(R646-1)+MATCH(AB646,$AS$8:$AS$13,0),MATCH(O646,$AU$7:$BB$7,0))</f>
        <v>1</v>
      </c>
    </row>
    <row r="647" spans="15:42" ht="14.25" x14ac:dyDescent="0.45">
      <c r="O647" s="43" t="s">
        <v>33</v>
      </c>
      <c r="P647" s="43">
        <v>3</v>
      </c>
      <c r="Q647" s="43">
        <v>16</v>
      </c>
      <c r="R647" s="43">
        <v>1</v>
      </c>
      <c r="S647" s="45"/>
      <c r="T647" t="b">
        <f>(S647+S648+S649)=R4</f>
        <v>0</v>
      </c>
      <c r="X647" s="1">
        <f t="shared" si="55"/>
        <v>0</v>
      </c>
      <c r="Y647" s="48">
        <v>0</v>
      </c>
      <c r="AA647" s="1">
        <v>4</v>
      </c>
      <c r="AB647" s="1" t="s">
        <v>13</v>
      </c>
      <c r="AC647" s="1" t="s">
        <v>19</v>
      </c>
      <c r="AD647" s="1">
        <v>25</v>
      </c>
      <c r="AE647" s="1">
        <v>20</v>
      </c>
      <c r="AF647" s="1">
        <v>0.8</v>
      </c>
      <c r="AG647" s="1">
        <v>0.86</v>
      </c>
      <c r="AH647" s="1">
        <v>0</v>
      </c>
      <c r="AI647" s="1">
        <v>0</v>
      </c>
      <c r="AJ647" s="1">
        <f t="shared" si="51"/>
        <v>0</v>
      </c>
      <c r="AK647" s="1">
        <f>C58</f>
        <v>0</v>
      </c>
      <c r="AL647" s="1">
        <f>C64</f>
        <v>0</v>
      </c>
      <c r="AM647" s="1">
        <f t="shared" si="52"/>
        <v>0</v>
      </c>
      <c r="AN647" s="1">
        <f t="shared" si="53"/>
        <v>0</v>
      </c>
      <c r="AO647" s="1">
        <f t="shared" si="54"/>
        <v>0</v>
      </c>
      <c r="AP647" t="b" cm="1">
        <f t="array" ref="AP647">INDEX($AU$8:$BB$25,6*(R647-1)+MATCH(AB647,$AS$8:$AS$13,0),MATCH(O647,$AU$7:$BB$7,0))</f>
        <v>1</v>
      </c>
    </row>
    <row r="648" spans="15:42" ht="14.25" x14ac:dyDescent="0.45">
      <c r="O648" s="43" t="s">
        <v>33</v>
      </c>
      <c r="P648" s="43">
        <v>3</v>
      </c>
      <c r="Q648" s="43">
        <v>16</v>
      </c>
      <c r="R648" s="43">
        <v>2</v>
      </c>
      <c r="S648" s="45"/>
      <c r="T648" t="b">
        <f>(S647+S648+S649)=R4</f>
        <v>0</v>
      </c>
      <c r="X648" s="1">
        <f t="shared" si="55"/>
        <v>0</v>
      </c>
      <c r="Y648" s="48">
        <v>0</v>
      </c>
      <c r="AA648" s="1">
        <v>4</v>
      </c>
      <c r="AB648" s="1" t="s">
        <v>13</v>
      </c>
      <c r="AC648" s="1" t="s">
        <v>19</v>
      </c>
      <c r="AD648" s="1">
        <v>25</v>
      </c>
      <c r="AE648" s="1">
        <v>20</v>
      </c>
      <c r="AF648" s="1">
        <v>0.8</v>
      </c>
      <c r="AG648" s="1">
        <v>0.86</v>
      </c>
      <c r="AH648" s="1">
        <v>0</v>
      </c>
      <c r="AI648" s="1">
        <v>0</v>
      </c>
      <c r="AJ648" s="1">
        <f t="shared" si="51"/>
        <v>0</v>
      </c>
      <c r="AK648" s="1">
        <f>D58</f>
        <v>0</v>
      </c>
      <c r="AL648" s="1">
        <f>D64</f>
        <v>0</v>
      </c>
      <c r="AM648" s="1">
        <f t="shared" si="52"/>
        <v>0</v>
      </c>
      <c r="AN648" s="1">
        <f t="shared" si="53"/>
        <v>0</v>
      </c>
      <c r="AO648" s="1">
        <f t="shared" si="54"/>
        <v>0</v>
      </c>
      <c r="AP648" t="b" cm="1">
        <f t="array" ref="AP648">INDEX($AU$8:$BB$25,6*(R648-1)+MATCH(AB648,$AS$8:$AS$13,0),MATCH(O648,$AU$7:$BB$7,0))</f>
        <v>1</v>
      </c>
    </row>
    <row r="649" spans="15:42" ht="14.25" x14ac:dyDescent="0.45">
      <c r="O649" s="43" t="s">
        <v>33</v>
      </c>
      <c r="P649" s="43">
        <v>3</v>
      </c>
      <c r="Q649" s="43">
        <v>16</v>
      </c>
      <c r="R649" s="43">
        <v>3</v>
      </c>
      <c r="S649" s="45"/>
      <c r="T649" t="b">
        <f>(S647+S648+S649)=R4</f>
        <v>0</v>
      </c>
      <c r="X649" s="1">
        <f t="shared" si="55"/>
        <v>0</v>
      </c>
      <c r="Y649" s="48">
        <v>0</v>
      </c>
      <c r="AA649" s="1">
        <v>4</v>
      </c>
      <c r="AB649" s="1" t="s">
        <v>13</v>
      </c>
      <c r="AC649" s="1" t="s">
        <v>19</v>
      </c>
      <c r="AD649" s="1">
        <v>25</v>
      </c>
      <c r="AE649" s="1">
        <v>20</v>
      </c>
      <c r="AF649" s="1">
        <v>0.8</v>
      </c>
      <c r="AG649" s="1">
        <v>0.86</v>
      </c>
      <c r="AH649" s="1">
        <v>0</v>
      </c>
      <c r="AI649" s="1">
        <v>0</v>
      </c>
      <c r="AJ649" s="1">
        <f t="shared" ref="AJ649:AJ712" si="56">SUMIFS(AH$8:AH$1039,$O$8:$O$1039,O649,$AB$8:$AB$1039,AB649,$R$8:$R$1039,R649,$AA$8:$AA$1039,"&lt;="&amp;AA649)</f>
        <v>0</v>
      </c>
      <c r="AK649" s="1">
        <f>E58</f>
        <v>0</v>
      </c>
      <c r="AL649" s="1">
        <f>E64</f>
        <v>0</v>
      </c>
      <c r="AM649" s="1">
        <f t="shared" ref="AM649:AM712" si="57">MAX(0,AJ649-AK649)</f>
        <v>0</v>
      </c>
      <c r="AN649" s="1">
        <f t="shared" ref="AN649:AN712" si="58">IF(AM649=0,AH649,IF(AM649&gt;=AH649,0,AH649-AM649))</f>
        <v>0</v>
      </c>
      <c r="AO649" s="1">
        <f t="shared" ref="AO649:AO712" si="59">IF(AM649&gt;=AH649,AI649,AI649*AM649/AH649)</f>
        <v>0</v>
      </c>
      <c r="AP649" t="b" cm="1">
        <f t="array" ref="AP649">INDEX($AU$8:$BB$25,6*(R649-1)+MATCH(AB649,$AS$8:$AS$13,0),MATCH(O649,$AU$7:$BB$7,0))</f>
        <v>1</v>
      </c>
    </row>
    <row r="650" spans="15:42" ht="14.25" x14ac:dyDescent="0.45">
      <c r="O650" s="43" t="s">
        <v>33</v>
      </c>
      <c r="P650" s="43">
        <v>3</v>
      </c>
      <c r="Q650" s="43">
        <v>17</v>
      </c>
      <c r="R650" s="43">
        <v>1</v>
      </c>
      <c r="S650" s="45"/>
      <c r="T650" t="b">
        <f>(S650+S651+S652)=R4</f>
        <v>0</v>
      </c>
      <c r="X650" s="1">
        <f t="shared" si="55"/>
        <v>0</v>
      </c>
      <c r="Y650" s="48">
        <v>0</v>
      </c>
      <c r="AA650" s="1">
        <v>1</v>
      </c>
      <c r="AB650" s="1" t="s">
        <v>16</v>
      </c>
      <c r="AC650" s="1" t="s">
        <v>22</v>
      </c>
      <c r="AD650" s="1">
        <v>14</v>
      </c>
      <c r="AE650" s="1">
        <v>13</v>
      </c>
      <c r="AF650" s="1">
        <v>0.8</v>
      </c>
      <c r="AG650" s="1">
        <v>0.9</v>
      </c>
      <c r="AH650" s="1">
        <v>0</v>
      </c>
      <c r="AI650" s="1">
        <v>0</v>
      </c>
      <c r="AJ650" s="1">
        <f t="shared" si="56"/>
        <v>0</v>
      </c>
      <c r="AK650" s="1">
        <f>C61</f>
        <v>0</v>
      </c>
      <c r="AL650" s="1">
        <f>C67</f>
        <v>0</v>
      </c>
      <c r="AM650" s="1">
        <f t="shared" si="57"/>
        <v>0</v>
      </c>
      <c r="AN650" s="1">
        <f t="shared" si="58"/>
        <v>0</v>
      </c>
      <c r="AO650" s="1">
        <f t="shared" si="59"/>
        <v>0</v>
      </c>
      <c r="AP650" t="b" cm="1">
        <f t="array" ref="AP650">INDEX($AU$8:$BB$25,6*(R650-1)+MATCH(AB650,$AS$8:$AS$13,0),MATCH(O650,$AU$7:$BB$7,0))</f>
        <v>1</v>
      </c>
    </row>
    <row r="651" spans="15:42" ht="14.25" x14ac:dyDescent="0.45">
      <c r="O651" s="43" t="s">
        <v>33</v>
      </c>
      <c r="P651" s="43">
        <v>3</v>
      </c>
      <c r="Q651" s="43">
        <v>17</v>
      </c>
      <c r="R651" s="43">
        <v>2</v>
      </c>
      <c r="S651" s="45"/>
      <c r="T651" t="b">
        <f>(S650+S651+S652)=R4</f>
        <v>0</v>
      </c>
      <c r="X651" s="1">
        <f t="shared" si="55"/>
        <v>0</v>
      </c>
      <c r="Y651" s="48">
        <v>0</v>
      </c>
      <c r="AA651" s="1">
        <v>1</v>
      </c>
      <c r="AB651" s="1" t="s">
        <v>16</v>
      </c>
      <c r="AC651" s="1" t="s">
        <v>22</v>
      </c>
      <c r="AD651" s="1">
        <v>14</v>
      </c>
      <c r="AE651" s="1">
        <v>13</v>
      </c>
      <c r="AF651" s="1">
        <v>0.8</v>
      </c>
      <c r="AG651" s="1">
        <v>0.9</v>
      </c>
      <c r="AH651" s="1">
        <v>0</v>
      </c>
      <c r="AI651" s="1">
        <v>0</v>
      </c>
      <c r="AJ651" s="1">
        <f t="shared" si="56"/>
        <v>0</v>
      </c>
      <c r="AK651" s="1">
        <f>D61</f>
        <v>0</v>
      </c>
      <c r="AL651" s="1">
        <f>D67</f>
        <v>0</v>
      </c>
      <c r="AM651" s="1">
        <f t="shared" si="57"/>
        <v>0</v>
      </c>
      <c r="AN651" s="1">
        <f t="shared" si="58"/>
        <v>0</v>
      </c>
      <c r="AO651" s="1">
        <f t="shared" si="59"/>
        <v>0</v>
      </c>
      <c r="AP651" t="b" cm="1">
        <f t="array" ref="AP651">INDEX($AU$8:$BB$25,6*(R651-1)+MATCH(AB651,$AS$8:$AS$13,0),MATCH(O651,$AU$7:$BB$7,0))</f>
        <v>1</v>
      </c>
    </row>
    <row r="652" spans="15:42" ht="14.25" x14ac:dyDescent="0.45">
      <c r="O652" s="43" t="s">
        <v>33</v>
      </c>
      <c r="P652" s="43">
        <v>3</v>
      </c>
      <c r="Q652" s="43">
        <v>17</v>
      </c>
      <c r="R652" s="43">
        <v>3</v>
      </c>
      <c r="S652" s="45"/>
      <c r="T652" t="b">
        <f>(S650+S651+S652)=R4</f>
        <v>0</v>
      </c>
      <c r="X652" s="1">
        <f t="shared" si="55"/>
        <v>0</v>
      </c>
      <c r="Y652" s="48">
        <v>0</v>
      </c>
      <c r="AA652" s="1">
        <v>1</v>
      </c>
      <c r="AB652" s="1" t="s">
        <v>16</v>
      </c>
      <c r="AC652" s="1" t="s">
        <v>22</v>
      </c>
      <c r="AD652" s="1">
        <v>14</v>
      </c>
      <c r="AE652" s="1">
        <v>13</v>
      </c>
      <c r="AF652" s="1">
        <v>0.8</v>
      </c>
      <c r="AG652" s="1">
        <v>0.9</v>
      </c>
      <c r="AH652" s="1">
        <v>0</v>
      </c>
      <c r="AI652" s="1">
        <v>0</v>
      </c>
      <c r="AJ652" s="1">
        <f t="shared" si="56"/>
        <v>0</v>
      </c>
      <c r="AK652" s="1">
        <f>E61</f>
        <v>0</v>
      </c>
      <c r="AL652" s="1">
        <f>E67</f>
        <v>0</v>
      </c>
      <c r="AM652" s="1">
        <f t="shared" si="57"/>
        <v>0</v>
      </c>
      <c r="AN652" s="1">
        <f t="shared" si="58"/>
        <v>0</v>
      </c>
      <c r="AO652" s="1">
        <f t="shared" si="59"/>
        <v>0</v>
      </c>
      <c r="AP652" t="b" cm="1">
        <f t="array" ref="AP652">INDEX($AU$8:$BB$25,6*(R652-1)+MATCH(AB652,$AS$8:$AS$13,0),MATCH(O652,$AU$7:$BB$7,0))</f>
        <v>1</v>
      </c>
    </row>
    <row r="653" spans="15:42" ht="14.25" x14ac:dyDescent="0.45">
      <c r="O653" s="43" t="s">
        <v>34</v>
      </c>
      <c r="P653" s="43">
        <v>1</v>
      </c>
      <c r="Q653" s="43">
        <v>1</v>
      </c>
      <c r="R653" s="43">
        <v>1</v>
      </c>
      <c r="S653" s="45"/>
      <c r="T653" t="b">
        <f>(S653+S654+S655)=S2</f>
        <v>0</v>
      </c>
      <c r="X653" s="1">
        <v>0</v>
      </c>
      <c r="Y653" s="48">
        <v>0</v>
      </c>
      <c r="AA653" s="1">
        <v>4</v>
      </c>
      <c r="AB653" s="1" t="s">
        <v>14</v>
      </c>
      <c r="AC653" s="1" t="s">
        <v>20</v>
      </c>
      <c r="AD653" s="1">
        <v>14</v>
      </c>
      <c r="AE653" s="1">
        <v>12</v>
      </c>
      <c r="AF653" s="1">
        <v>0.8</v>
      </c>
      <c r="AG653" s="1">
        <v>0.88</v>
      </c>
      <c r="AH653" s="1">
        <v>0</v>
      </c>
      <c r="AI653" s="1">
        <v>0</v>
      </c>
      <c r="AJ653" s="1">
        <f t="shared" si="56"/>
        <v>0</v>
      </c>
      <c r="AK653" s="1">
        <f>C71</f>
        <v>0</v>
      </c>
      <c r="AL653" s="1">
        <f>C77</f>
        <v>0</v>
      </c>
      <c r="AM653" s="1">
        <f t="shared" si="57"/>
        <v>0</v>
      </c>
      <c r="AN653" s="1">
        <f t="shared" si="58"/>
        <v>0</v>
      </c>
      <c r="AO653" s="1">
        <f t="shared" si="59"/>
        <v>0</v>
      </c>
      <c r="AP653" t="b" cm="1">
        <f t="array" ref="AP653">INDEX($AU$8:$BB$25,6*(R653-1)+MATCH(AB653,$AS$8:$AS$13,0),MATCH(O653,$AU$7:$BB$7,0))</f>
        <v>1</v>
      </c>
    </row>
    <row r="654" spans="15:42" ht="14.25" x14ac:dyDescent="0.45">
      <c r="O654" s="43" t="s">
        <v>34</v>
      </c>
      <c r="P654" s="43">
        <v>1</v>
      </c>
      <c r="Q654" s="43">
        <v>1</v>
      </c>
      <c r="R654" s="43">
        <v>2</v>
      </c>
      <c r="S654" s="45"/>
      <c r="T654" t="b">
        <f>(S653+S654+S655)=S2</f>
        <v>0</v>
      </c>
      <c r="X654" s="1">
        <v>0</v>
      </c>
      <c r="Y654" s="48">
        <v>0</v>
      </c>
      <c r="AA654" s="1">
        <v>4</v>
      </c>
      <c r="AB654" s="1" t="s">
        <v>14</v>
      </c>
      <c r="AC654" s="1" t="s">
        <v>20</v>
      </c>
      <c r="AD654" s="1">
        <v>14</v>
      </c>
      <c r="AE654" s="1">
        <v>12</v>
      </c>
      <c r="AF654" s="1">
        <v>0.8</v>
      </c>
      <c r="AG654" s="1">
        <v>0.88</v>
      </c>
      <c r="AH654" s="1">
        <v>0</v>
      </c>
      <c r="AI654" s="1">
        <v>0</v>
      </c>
      <c r="AJ654" s="1">
        <f t="shared" si="56"/>
        <v>0</v>
      </c>
      <c r="AK654" s="1">
        <f>D71</f>
        <v>0</v>
      </c>
      <c r="AL654" s="1">
        <f>D77</f>
        <v>0</v>
      </c>
      <c r="AM654" s="1">
        <f t="shared" si="57"/>
        <v>0</v>
      </c>
      <c r="AN654" s="1">
        <f t="shared" si="58"/>
        <v>0</v>
      </c>
      <c r="AO654" s="1">
        <f t="shared" si="59"/>
        <v>0</v>
      </c>
      <c r="AP654" t="b" cm="1">
        <f t="array" ref="AP654">INDEX($AU$8:$BB$25,6*(R654-1)+MATCH(AB654,$AS$8:$AS$13,0),MATCH(O654,$AU$7:$BB$7,0))</f>
        <v>1</v>
      </c>
    </row>
    <row r="655" spans="15:42" ht="14.25" x14ac:dyDescent="0.45">
      <c r="O655" s="43" t="s">
        <v>34</v>
      </c>
      <c r="P655" s="43">
        <v>1</v>
      </c>
      <c r="Q655" s="43">
        <v>1</v>
      </c>
      <c r="R655" s="43">
        <v>3</v>
      </c>
      <c r="S655" s="45"/>
      <c r="T655" t="b">
        <f>(S653+S654+S655)=S2</f>
        <v>0</v>
      </c>
      <c r="X655" s="1">
        <v>0</v>
      </c>
      <c r="Y655" s="48">
        <v>0</v>
      </c>
      <c r="AA655" s="1">
        <v>4</v>
      </c>
      <c r="AB655" s="1" t="s">
        <v>14</v>
      </c>
      <c r="AC655" s="1" t="s">
        <v>20</v>
      </c>
      <c r="AD655" s="1">
        <v>14</v>
      </c>
      <c r="AE655" s="1">
        <v>12</v>
      </c>
      <c r="AF655" s="1">
        <v>0.8</v>
      </c>
      <c r="AG655" s="1">
        <v>0.88</v>
      </c>
      <c r="AH655" s="1">
        <v>0</v>
      </c>
      <c r="AI655" s="1">
        <v>0</v>
      </c>
      <c r="AJ655" s="1">
        <f t="shared" si="56"/>
        <v>0</v>
      </c>
      <c r="AK655" s="1">
        <f>E71</f>
        <v>0</v>
      </c>
      <c r="AL655" s="1">
        <f>E77</f>
        <v>0</v>
      </c>
      <c r="AM655" s="1">
        <f t="shared" si="57"/>
        <v>0</v>
      </c>
      <c r="AN655" s="1">
        <f t="shared" si="58"/>
        <v>0</v>
      </c>
      <c r="AO655" s="1">
        <f t="shared" si="59"/>
        <v>0</v>
      </c>
      <c r="AP655" t="b" cm="1">
        <f t="array" ref="AP655">INDEX($AU$8:$BB$25,6*(R655-1)+MATCH(AB655,$AS$8:$AS$13,0),MATCH(O655,$AU$7:$BB$7,0))</f>
        <v>1</v>
      </c>
    </row>
    <row r="656" spans="15:42" ht="14.25" x14ac:dyDescent="0.45">
      <c r="O656" s="43" t="s">
        <v>34</v>
      </c>
      <c r="P656" s="43">
        <v>1</v>
      </c>
      <c r="Q656" s="43">
        <v>2</v>
      </c>
      <c r="R656" s="43">
        <v>1</v>
      </c>
      <c r="S656" s="45"/>
      <c r="T656" t="b">
        <f>(S656+S657+S658)=S2</f>
        <v>0</v>
      </c>
      <c r="X656" s="1">
        <f>MAX(S653-S656,0)</f>
        <v>0</v>
      </c>
      <c r="Y656" s="48">
        <v>0</v>
      </c>
      <c r="AA656" s="1">
        <v>10</v>
      </c>
      <c r="AB656" s="1" t="s">
        <v>16</v>
      </c>
      <c r="AC656" s="1" t="s">
        <v>22</v>
      </c>
      <c r="AD656" s="1">
        <v>25</v>
      </c>
      <c r="AE656" s="1">
        <v>21</v>
      </c>
      <c r="AF656" s="1">
        <v>0.8</v>
      </c>
      <c r="AG656" s="1">
        <v>0.9</v>
      </c>
      <c r="AH656" s="1">
        <v>0</v>
      </c>
      <c r="AI656" s="1">
        <v>0</v>
      </c>
      <c r="AJ656" s="1">
        <f t="shared" si="56"/>
        <v>0</v>
      </c>
      <c r="AK656" s="1">
        <f>C73</f>
        <v>0</v>
      </c>
      <c r="AL656" s="1">
        <f>C79</f>
        <v>0</v>
      </c>
      <c r="AM656" s="1">
        <f t="shared" si="57"/>
        <v>0</v>
      </c>
      <c r="AN656" s="1">
        <f t="shared" si="58"/>
        <v>0</v>
      </c>
      <c r="AO656" s="1">
        <f t="shared" si="59"/>
        <v>0</v>
      </c>
      <c r="AP656" t="b" cm="1">
        <f t="array" ref="AP656">INDEX($AU$8:$BB$25,6*(R656-1)+MATCH(AB656,$AS$8:$AS$13,0),MATCH(O656,$AU$7:$BB$7,0))</f>
        <v>1</v>
      </c>
    </row>
    <row r="657" spans="15:42" ht="14.25" x14ac:dyDescent="0.45">
      <c r="O657" s="43" t="s">
        <v>34</v>
      </c>
      <c r="P657" s="43">
        <v>1</v>
      </c>
      <c r="Q657" s="43">
        <v>2</v>
      </c>
      <c r="R657" s="43">
        <v>2</v>
      </c>
      <c r="S657" s="45"/>
      <c r="T657" t="b">
        <f>(S656+S657+S658)=S2</f>
        <v>0</v>
      </c>
      <c r="X657" s="1">
        <f t="shared" ref="X657:X685" si="60">MAX(S654-S657,0)</f>
        <v>0</v>
      </c>
      <c r="Y657" s="48">
        <v>0</v>
      </c>
      <c r="AA657" s="1">
        <v>10</v>
      </c>
      <c r="AB657" s="1" t="s">
        <v>16</v>
      </c>
      <c r="AC657" s="1" t="s">
        <v>22</v>
      </c>
      <c r="AD657" s="1">
        <v>25</v>
      </c>
      <c r="AE657" s="1">
        <v>21</v>
      </c>
      <c r="AF657" s="1">
        <v>0.8</v>
      </c>
      <c r="AG657" s="1">
        <v>0.9</v>
      </c>
      <c r="AH657" s="1">
        <v>0</v>
      </c>
      <c r="AI657" s="1">
        <v>0</v>
      </c>
      <c r="AJ657" s="1">
        <f t="shared" si="56"/>
        <v>0</v>
      </c>
      <c r="AK657" s="1">
        <f>D73</f>
        <v>0</v>
      </c>
      <c r="AL657" s="1">
        <f>D79</f>
        <v>0</v>
      </c>
      <c r="AM657" s="1">
        <f t="shared" si="57"/>
        <v>0</v>
      </c>
      <c r="AN657" s="1">
        <f t="shared" si="58"/>
        <v>0</v>
      </c>
      <c r="AO657" s="1">
        <f t="shared" si="59"/>
        <v>0</v>
      </c>
      <c r="AP657" t="b" cm="1">
        <f t="array" ref="AP657">INDEX($AU$8:$BB$25,6*(R657-1)+MATCH(AB657,$AS$8:$AS$13,0),MATCH(O657,$AU$7:$BB$7,0))</f>
        <v>1</v>
      </c>
    </row>
    <row r="658" spans="15:42" ht="14.25" x14ac:dyDescent="0.45">
      <c r="O658" s="43" t="s">
        <v>34</v>
      </c>
      <c r="P658" s="43">
        <v>1</v>
      </c>
      <c r="Q658" s="43">
        <v>2</v>
      </c>
      <c r="R658" s="43">
        <v>3</v>
      </c>
      <c r="S658" s="45"/>
      <c r="T658" t="b">
        <f>(S656+S657+S658)=S2</f>
        <v>0</v>
      </c>
      <c r="X658" s="1">
        <f t="shared" si="60"/>
        <v>0</v>
      </c>
      <c r="Y658" s="48">
        <v>0</v>
      </c>
      <c r="AA658" s="1">
        <v>10</v>
      </c>
      <c r="AB658" s="1" t="s">
        <v>16</v>
      </c>
      <c r="AC658" s="1" t="s">
        <v>22</v>
      </c>
      <c r="AD658" s="1">
        <v>25</v>
      </c>
      <c r="AE658" s="1">
        <v>21</v>
      </c>
      <c r="AF658" s="1">
        <v>0.8</v>
      </c>
      <c r="AG658" s="1">
        <v>0.9</v>
      </c>
      <c r="AH658" s="1">
        <v>0</v>
      </c>
      <c r="AI658" s="1">
        <v>0</v>
      </c>
      <c r="AJ658" s="1">
        <f t="shared" si="56"/>
        <v>0</v>
      </c>
      <c r="AK658" s="1">
        <f>E73</f>
        <v>0</v>
      </c>
      <c r="AL658" s="1">
        <f>E79</f>
        <v>0</v>
      </c>
      <c r="AM658" s="1">
        <f t="shared" si="57"/>
        <v>0</v>
      </c>
      <c r="AN658" s="1">
        <f t="shared" si="58"/>
        <v>0</v>
      </c>
      <c r="AO658" s="1">
        <f t="shared" si="59"/>
        <v>0</v>
      </c>
      <c r="AP658" t="b" cm="1">
        <f t="array" ref="AP658">INDEX($AU$8:$BB$25,6*(R658-1)+MATCH(AB658,$AS$8:$AS$13,0),MATCH(O658,$AU$7:$BB$7,0))</f>
        <v>1</v>
      </c>
    </row>
    <row r="659" spans="15:42" ht="14.25" x14ac:dyDescent="0.45">
      <c r="O659" s="43" t="s">
        <v>34</v>
      </c>
      <c r="P659" s="43">
        <v>1</v>
      </c>
      <c r="Q659" s="43">
        <v>3</v>
      </c>
      <c r="R659" s="43">
        <v>1</v>
      </c>
      <c r="S659" s="45"/>
      <c r="T659" t="b">
        <f>(S659+S660+S661)=S2</f>
        <v>0</v>
      </c>
      <c r="X659" s="1">
        <f t="shared" si="60"/>
        <v>0</v>
      </c>
      <c r="Y659" s="48">
        <v>0</v>
      </c>
      <c r="AA659" s="1">
        <v>8</v>
      </c>
      <c r="AB659" s="1" t="s">
        <v>16</v>
      </c>
      <c r="AC659" s="1" t="s">
        <v>22</v>
      </c>
      <c r="AD659" s="1">
        <v>27</v>
      </c>
      <c r="AE659" s="1">
        <v>23</v>
      </c>
      <c r="AF659" s="1">
        <v>0.8</v>
      </c>
      <c r="AG659" s="1">
        <v>0.9</v>
      </c>
      <c r="AH659" s="1">
        <v>0</v>
      </c>
      <c r="AI659" s="1">
        <v>0</v>
      </c>
      <c r="AJ659" s="1">
        <f t="shared" si="56"/>
        <v>0</v>
      </c>
      <c r="AK659" s="1">
        <f>C73</f>
        <v>0</v>
      </c>
      <c r="AL659" s="1">
        <f>C79</f>
        <v>0</v>
      </c>
      <c r="AM659" s="1">
        <f t="shared" si="57"/>
        <v>0</v>
      </c>
      <c r="AN659" s="1">
        <f t="shared" si="58"/>
        <v>0</v>
      </c>
      <c r="AO659" s="1">
        <f t="shared" si="59"/>
        <v>0</v>
      </c>
      <c r="AP659" t="b" cm="1">
        <f t="array" ref="AP659">INDEX($AU$8:$BB$25,6*(R659-1)+MATCH(AB659,$AS$8:$AS$13,0),MATCH(O659,$AU$7:$BB$7,0))</f>
        <v>1</v>
      </c>
    </row>
    <row r="660" spans="15:42" ht="14.25" x14ac:dyDescent="0.45">
      <c r="O660" s="43" t="s">
        <v>34</v>
      </c>
      <c r="P660" s="43">
        <v>1</v>
      </c>
      <c r="Q660" s="43">
        <v>3</v>
      </c>
      <c r="R660" s="43">
        <v>2</v>
      </c>
      <c r="S660" s="45"/>
      <c r="T660" t="b">
        <f>(S659+S660+S661)=S2</f>
        <v>0</v>
      </c>
      <c r="X660" s="1">
        <f t="shared" si="60"/>
        <v>0</v>
      </c>
      <c r="Y660" s="48">
        <v>0</v>
      </c>
      <c r="AA660" s="1">
        <v>8</v>
      </c>
      <c r="AB660" s="1" t="s">
        <v>16</v>
      </c>
      <c r="AC660" s="1" t="s">
        <v>22</v>
      </c>
      <c r="AD660" s="1">
        <v>27</v>
      </c>
      <c r="AE660" s="1">
        <v>23</v>
      </c>
      <c r="AF660" s="1">
        <v>0.8</v>
      </c>
      <c r="AG660" s="1">
        <v>0.9</v>
      </c>
      <c r="AH660" s="1">
        <v>0</v>
      </c>
      <c r="AI660" s="1">
        <v>0</v>
      </c>
      <c r="AJ660" s="1">
        <f t="shared" si="56"/>
        <v>0</v>
      </c>
      <c r="AK660" s="1">
        <f>D73</f>
        <v>0</v>
      </c>
      <c r="AL660" s="1">
        <f>D79</f>
        <v>0</v>
      </c>
      <c r="AM660" s="1">
        <f t="shared" si="57"/>
        <v>0</v>
      </c>
      <c r="AN660" s="1">
        <f t="shared" si="58"/>
        <v>0</v>
      </c>
      <c r="AO660" s="1">
        <f t="shared" si="59"/>
        <v>0</v>
      </c>
      <c r="AP660" t="b" cm="1">
        <f t="array" ref="AP660">INDEX($AU$8:$BB$25,6*(R660-1)+MATCH(AB660,$AS$8:$AS$13,0),MATCH(O660,$AU$7:$BB$7,0))</f>
        <v>1</v>
      </c>
    </row>
    <row r="661" spans="15:42" ht="14.25" x14ac:dyDescent="0.45">
      <c r="O661" s="43" t="s">
        <v>34</v>
      </c>
      <c r="P661" s="43">
        <v>1</v>
      </c>
      <c r="Q661" s="43">
        <v>3</v>
      </c>
      <c r="R661" s="43">
        <v>3</v>
      </c>
      <c r="S661" s="45"/>
      <c r="T661" t="b">
        <f>(S659+S660+S661)=S2</f>
        <v>0</v>
      </c>
      <c r="X661" s="1">
        <f t="shared" si="60"/>
        <v>0</v>
      </c>
      <c r="Y661" s="48">
        <v>0</v>
      </c>
      <c r="AA661" s="1">
        <v>8</v>
      </c>
      <c r="AB661" s="1" t="s">
        <v>16</v>
      </c>
      <c r="AC661" s="1" t="s">
        <v>22</v>
      </c>
      <c r="AD661" s="1">
        <v>27</v>
      </c>
      <c r="AE661" s="1">
        <v>23</v>
      </c>
      <c r="AF661" s="1">
        <v>0.8</v>
      </c>
      <c r="AG661" s="1">
        <v>0.9</v>
      </c>
      <c r="AH661" s="1">
        <v>0</v>
      </c>
      <c r="AI661" s="1">
        <v>0</v>
      </c>
      <c r="AJ661" s="1">
        <f t="shared" si="56"/>
        <v>0</v>
      </c>
      <c r="AK661" s="1">
        <f>E73</f>
        <v>0</v>
      </c>
      <c r="AL661" s="1">
        <f>E79</f>
        <v>0</v>
      </c>
      <c r="AM661" s="1">
        <f t="shared" si="57"/>
        <v>0</v>
      </c>
      <c r="AN661" s="1">
        <f t="shared" si="58"/>
        <v>0</v>
      </c>
      <c r="AO661" s="1">
        <f t="shared" si="59"/>
        <v>0</v>
      </c>
      <c r="AP661" t="b" cm="1">
        <f t="array" ref="AP661">INDEX($AU$8:$BB$25,6*(R661-1)+MATCH(AB661,$AS$8:$AS$13,0),MATCH(O661,$AU$7:$BB$7,0))</f>
        <v>1</v>
      </c>
    </row>
    <row r="662" spans="15:42" ht="14.25" x14ac:dyDescent="0.45">
      <c r="O662" s="43" t="s">
        <v>34</v>
      </c>
      <c r="P662" s="43">
        <v>1</v>
      </c>
      <c r="Q662" s="43">
        <v>4</v>
      </c>
      <c r="R662" s="43">
        <v>1</v>
      </c>
      <c r="S662" s="45"/>
      <c r="T662" t="b">
        <f>(S662+S663+S664)=S2</f>
        <v>0</v>
      </c>
      <c r="X662" s="1">
        <f t="shared" si="60"/>
        <v>0</v>
      </c>
      <c r="Y662" s="48">
        <v>0</v>
      </c>
      <c r="AA662" s="1">
        <v>3</v>
      </c>
      <c r="AB662" s="1" t="s">
        <v>10</v>
      </c>
      <c r="AC662" s="1" t="s">
        <v>17</v>
      </c>
      <c r="AD662" s="1">
        <v>20</v>
      </c>
      <c r="AE662" s="1">
        <v>16</v>
      </c>
      <c r="AF662" s="1">
        <v>0.78</v>
      </c>
      <c r="AG662" s="1">
        <v>0.84</v>
      </c>
      <c r="AH662" s="1">
        <v>0</v>
      </c>
      <c r="AI662" s="1">
        <v>0</v>
      </c>
      <c r="AJ662" s="1">
        <f t="shared" si="56"/>
        <v>0</v>
      </c>
      <c r="AK662" s="1">
        <f>C68</f>
        <v>0</v>
      </c>
      <c r="AL662" s="1">
        <f>C74</f>
        <v>0</v>
      </c>
      <c r="AM662" s="1">
        <f t="shared" si="57"/>
        <v>0</v>
      </c>
      <c r="AN662" s="1">
        <f t="shared" si="58"/>
        <v>0</v>
      </c>
      <c r="AO662" s="1">
        <f t="shared" si="59"/>
        <v>0</v>
      </c>
      <c r="AP662" t="b" cm="1">
        <f t="array" ref="AP662">INDEX($AU$8:$BB$25,6*(R662-1)+MATCH(AB662,$AS$8:$AS$13,0),MATCH(O662,$AU$7:$BB$7,0))</f>
        <v>1</v>
      </c>
    </row>
    <row r="663" spans="15:42" ht="14.25" x14ac:dyDescent="0.45">
      <c r="O663" s="43" t="s">
        <v>34</v>
      </c>
      <c r="P663" s="43">
        <v>1</v>
      </c>
      <c r="Q663" s="43">
        <v>4</v>
      </c>
      <c r="R663" s="43">
        <v>2</v>
      </c>
      <c r="S663" s="45"/>
      <c r="T663" t="b">
        <f>(S662+S663+S664)=S2</f>
        <v>0</v>
      </c>
      <c r="X663" s="1">
        <f t="shared" si="60"/>
        <v>0</v>
      </c>
      <c r="Y663" s="48">
        <v>0</v>
      </c>
      <c r="AA663" s="1">
        <v>3</v>
      </c>
      <c r="AB663" s="1" t="s">
        <v>10</v>
      </c>
      <c r="AC663" s="1" t="s">
        <v>17</v>
      </c>
      <c r="AD663" s="1">
        <v>20</v>
      </c>
      <c r="AE663" s="1">
        <v>16</v>
      </c>
      <c r="AF663" s="1">
        <v>0.78</v>
      </c>
      <c r="AG663" s="1">
        <v>0.84</v>
      </c>
      <c r="AH663" s="1">
        <v>0</v>
      </c>
      <c r="AI663" s="1">
        <v>0</v>
      </c>
      <c r="AJ663" s="1">
        <f t="shared" si="56"/>
        <v>0</v>
      </c>
      <c r="AK663" s="1">
        <f>D68</f>
        <v>0</v>
      </c>
      <c r="AL663" s="1">
        <f>D74</f>
        <v>0</v>
      </c>
      <c r="AM663" s="1">
        <f t="shared" si="57"/>
        <v>0</v>
      </c>
      <c r="AN663" s="1">
        <f t="shared" si="58"/>
        <v>0</v>
      </c>
      <c r="AO663" s="1">
        <f t="shared" si="59"/>
        <v>0</v>
      </c>
      <c r="AP663" t="b" cm="1">
        <f t="array" ref="AP663">INDEX($AU$8:$BB$25,6*(R663-1)+MATCH(AB663,$AS$8:$AS$13,0),MATCH(O663,$AU$7:$BB$7,0))</f>
        <v>1</v>
      </c>
    </row>
    <row r="664" spans="15:42" ht="14.25" x14ac:dyDescent="0.45">
      <c r="O664" s="43" t="s">
        <v>34</v>
      </c>
      <c r="P664" s="43">
        <v>1</v>
      </c>
      <c r="Q664" s="43">
        <v>4</v>
      </c>
      <c r="R664" s="43">
        <v>3</v>
      </c>
      <c r="S664" s="45"/>
      <c r="T664" t="b">
        <f>(S662+S663+S664)=S2</f>
        <v>0</v>
      </c>
      <c r="X664" s="1">
        <f t="shared" si="60"/>
        <v>0</v>
      </c>
      <c r="Y664" s="48">
        <v>0</v>
      </c>
      <c r="AA664" s="1">
        <v>3</v>
      </c>
      <c r="AB664" s="1" t="s">
        <v>10</v>
      </c>
      <c r="AC664" s="1" t="s">
        <v>17</v>
      </c>
      <c r="AD664" s="1">
        <v>20</v>
      </c>
      <c r="AE664" s="1">
        <v>16</v>
      </c>
      <c r="AF664" s="1">
        <v>0.78</v>
      </c>
      <c r="AG664" s="1">
        <v>0.84</v>
      </c>
      <c r="AH664" s="1">
        <v>0</v>
      </c>
      <c r="AI664" s="1">
        <v>0</v>
      </c>
      <c r="AJ664" s="1">
        <f t="shared" si="56"/>
        <v>0</v>
      </c>
      <c r="AK664" s="1">
        <f>E68</f>
        <v>0</v>
      </c>
      <c r="AL664" s="1">
        <f>E74</f>
        <v>0</v>
      </c>
      <c r="AM664" s="1">
        <f t="shared" si="57"/>
        <v>0</v>
      </c>
      <c r="AN664" s="1">
        <f t="shared" si="58"/>
        <v>0</v>
      </c>
      <c r="AO664" s="1">
        <f t="shared" si="59"/>
        <v>0</v>
      </c>
      <c r="AP664" t="b" cm="1">
        <f t="array" ref="AP664">INDEX($AU$8:$BB$25,6*(R664-1)+MATCH(AB664,$AS$8:$AS$13,0),MATCH(O664,$AU$7:$BB$7,0))</f>
        <v>1</v>
      </c>
    </row>
    <row r="665" spans="15:42" ht="14.25" x14ac:dyDescent="0.45">
      <c r="O665" s="43" t="s">
        <v>34</v>
      </c>
      <c r="P665" s="43">
        <v>1</v>
      </c>
      <c r="Q665" s="43">
        <v>5</v>
      </c>
      <c r="R665" s="43">
        <v>1</v>
      </c>
      <c r="S665" s="45"/>
      <c r="T665" t="b">
        <f>(S665+S666+S667)=S2</f>
        <v>0</v>
      </c>
      <c r="X665" s="1">
        <f t="shared" si="60"/>
        <v>0</v>
      </c>
      <c r="Y665" s="48">
        <v>0</v>
      </c>
      <c r="AA665" s="1">
        <v>11</v>
      </c>
      <c r="AB665" s="1" t="s">
        <v>16</v>
      </c>
      <c r="AC665" s="1" t="s">
        <v>22</v>
      </c>
      <c r="AD665" s="1">
        <v>12</v>
      </c>
      <c r="AE665" s="1">
        <v>9</v>
      </c>
      <c r="AF665" s="1">
        <v>0.8</v>
      </c>
      <c r="AG665" s="1">
        <v>0.9</v>
      </c>
      <c r="AH665" s="1">
        <v>0</v>
      </c>
      <c r="AI665" s="1">
        <v>0</v>
      </c>
      <c r="AJ665" s="1">
        <f t="shared" si="56"/>
        <v>0</v>
      </c>
      <c r="AK665" s="1">
        <f>C73</f>
        <v>0</v>
      </c>
      <c r="AL665" s="1">
        <f>C79</f>
        <v>0</v>
      </c>
      <c r="AM665" s="1">
        <f t="shared" si="57"/>
        <v>0</v>
      </c>
      <c r="AN665" s="1">
        <f t="shared" si="58"/>
        <v>0</v>
      </c>
      <c r="AO665" s="1">
        <f t="shared" si="59"/>
        <v>0</v>
      </c>
      <c r="AP665" t="b" cm="1">
        <f t="array" ref="AP665">INDEX($AU$8:$BB$25,6*(R665-1)+MATCH(AB665,$AS$8:$AS$13,0),MATCH(O665,$AU$7:$BB$7,0))</f>
        <v>1</v>
      </c>
    </row>
    <row r="666" spans="15:42" ht="14.25" x14ac:dyDescent="0.45">
      <c r="O666" s="43" t="s">
        <v>34</v>
      </c>
      <c r="P666" s="43">
        <v>1</v>
      </c>
      <c r="Q666" s="43">
        <v>5</v>
      </c>
      <c r="R666" s="43">
        <v>2</v>
      </c>
      <c r="S666" s="45"/>
      <c r="T666" t="b">
        <f>(S665+S666+S667)=S2</f>
        <v>0</v>
      </c>
      <c r="X666" s="1">
        <f t="shared" si="60"/>
        <v>0</v>
      </c>
      <c r="Y666" s="48">
        <v>0</v>
      </c>
      <c r="AA666" s="1">
        <v>11</v>
      </c>
      <c r="AB666" s="1" t="s">
        <v>16</v>
      </c>
      <c r="AC666" s="1" t="s">
        <v>22</v>
      </c>
      <c r="AD666" s="1">
        <v>12</v>
      </c>
      <c r="AE666" s="1">
        <v>9</v>
      </c>
      <c r="AF666" s="1">
        <v>0.8</v>
      </c>
      <c r="AG666" s="1">
        <v>0.9</v>
      </c>
      <c r="AH666" s="1">
        <v>0</v>
      </c>
      <c r="AI666" s="1">
        <v>0</v>
      </c>
      <c r="AJ666" s="1">
        <f t="shared" si="56"/>
        <v>0</v>
      </c>
      <c r="AK666" s="1">
        <f>D73</f>
        <v>0</v>
      </c>
      <c r="AL666" s="1">
        <f>D79</f>
        <v>0</v>
      </c>
      <c r="AM666" s="1">
        <f t="shared" si="57"/>
        <v>0</v>
      </c>
      <c r="AN666" s="1">
        <f t="shared" si="58"/>
        <v>0</v>
      </c>
      <c r="AO666" s="1">
        <f t="shared" si="59"/>
        <v>0</v>
      </c>
      <c r="AP666" t="b" cm="1">
        <f t="array" ref="AP666">INDEX($AU$8:$BB$25,6*(R666-1)+MATCH(AB666,$AS$8:$AS$13,0),MATCH(O666,$AU$7:$BB$7,0))</f>
        <v>1</v>
      </c>
    </row>
    <row r="667" spans="15:42" ht="14.25" x14ac:dyDescent="0.45">
      <c r="O667" s="43" t="s">
        <v>34</v>
      </c>
      <c r="P667" s="43">
        <v>1</v>
      </c>
      <c r="Q667" s="43">
        <v>5</v>
      </c>
      <c r="R667" s="43">
        <v>3</v>
      </c>
      <c r="S667" s="45"/>
      <c r="T667" t="b">
        <f>(S665+S666+S667)=S2</f>
        <v>0</v>
      </c>
      <c r="X667" s="1">
        <f t="shared" si="60"/>
        <v>0</v>
      </c>
      <c r="Y667" s="48">
        <v>0</v>
      </c>
      <c r="AA667" s="1">
        <v>11</v>
      </c>
      <c r="AB667" s="1" t="s">
        <v>16</v>
      </c>
      <c r="AC667" s="1" t="s">
        <v>22</v>
      </c>
      <c r="AD667" s="1">
        <v>12</v>
      </c>
      <c r="AE667" s="1">
        <v>9</v>
      </c>
      <c r="AF667" s="1">
        <v>0.8</v>
      </c>
      <c r="AG667" s="1">
        <v>0.9</v>
      </c>
      <c r="AH667" s="1">
        <v>0</v>
      </c>
      <c r="AI667" s="1">
        <v>0</v>
      </c>
      <c r="AJ667" s="1">
        <f t="shared" si="56"/>
        <v>0</v>
      </c>
      <c r="AK667" s="1">
        <f>E73</f>
        <v>0</v>
      </c>
      <c r="AL667" s="1">
        <f>E79</f>
        <v>0</v>
      </c>
      <c r="AM667" s="1">
        <f t="shared" si="57"/>
        <v>0</v>
      </c>
      <c r="AN667" s="1">
        <f t="shared" si="58"/>
        <v>0</v>
      </c>
      <c r="AO667" s="1">
        <f t="shared" si="59"/>
        <v>0</v>
      </c>
      <c r="AP667" t="b" cm="1">
        <f t="array" ref="AP667">INDEX($AU$8:$BB$25,6*(R667-1)+MATCH(AB667,$AS$8:$AS$13,0),MATCH(O667,$AU$7:$BB$7,0))</f>
        <v>1</v>
      </c>
    </row>
    <row r="668" spans="15:42" ht="14.25" x14ac:dyDescent="0.45">
      <c r="O668" s="43" t="s">
        <v>34</v>
      </c>
      <c r="P668" s="43">
        <v>1</v>
      </c>
      <c r="Q668" s="43">
        <v>6</v>
      </c>
      <c r="R668" s="43">
        <v>1</v>
      </c>
      <c r="S668" s="45"/>
      <c r="T668" t="b">
        <f>(S668+S669+S670)=S2</f>
        <v>0</v>
      </c>
      <c r="X668" s="1">
        <f t="shared" si="60"/>
        <v>0</v>
      </c>
      <c r="Y668" s="48">
        <v>0</v>
      </c>
      <c r="AA668" s="1">
        <v>7</v>
      </c>
      <c r="AB668" s="1" t="s">
        <v>14</v>
      </c>
      <c r="AC668" s="1" t="s">
        <v>20</v>
      </c>
      <c r="AD668" s="1">
        <v>27</v>
      </c>
      <c r="AE668" s="1">
        <v>21</v>
      </c>
      <c r="AF668" s="1">
        <v>0.8</v>
      </c>
      <c r="AG668" s="1">
        <v>0.88</v>
      </c>
      <c r="AH668" s="1">
        <v>0</v>
      </c>
      <c r="AI668" s="1">
        <v>0</v>
      </c>
      <c r="AJ668" s="1">
        <f t="shared" si="56"/>
        <v>0</v>
      </c>
      <c r="AK668" s="1">
        <f>C71</f>
        <v>0</v>
      </c>
      <c r="AL668" s="1">
        <f>C77</f>
        <v>0</v>
      </c>
      <c r="AM668" s="1">
        <f t="shared" si="57"/>
        <v>0</v>
      </c>
      <c r="AN668" s="1">
        <f t="shared" si="58"/>
        <v>0</v>
      </c>
      <c r="AO668" s="1">
        <f t="shared" si="59"/>
        <v>0</v>
      </c>
      <c r="AP668" t="b" cm="1">
        <f t="array" ref="AP668">INDEX($AU$8:$BB$25,6*(R668-1)+MATCH(AB668,$AS$8:$AS$13,0),MATCH(O668,$AU$7:$BB$7,0))</f>
        <v>1</v>
      </c>
    </row>
    <row r="669" spans="15:42" ht="14.25" x14ac:dyDescent="0.45">
      <c r="O669" s="43" t="s">
        <v>34</v>
      </c>
      <c r="P669" s="43">
        <v>1</v>
      </c>
      <c r="Q669" s="43">
        <v>6</v>
      </c>
      <c r="R669" s="43">
        <v>2</v>
      </c>
      <c r="S669" s="45"/>
      <c r="T669" t="b">
        <f>(S668+S669+S670)=S2</f>
        <v>0</v>
      </c>
      <c r="X669" s="1">
        <f t="shared" si="60"/>
        <v>0</v>
      </c>
      <c r="Y669" s="48">
        <v>0</v>
      </c>
      <c r="AA669" s="1">
        <v>7</v>
      </c>
      <c r="AB669" s="1" t="s">
        <v>14</v>
      </c>
      <c r="AC669" s="1" t="s">
        <v>20</v>
      </c>
      <c r="AD669" s="1">
        <v>27</v>
      </c>
      <c r="AE669" s="1">
        <v>21</v>
      </c>
      <c r="AF669" s="1">
        <v>0.8</v>
      </c>
      <c r="AG669" s="1">
        <v>0.88</v>
      </c>
      <c r="AH669" s="1">
        <v>0</v>
      </c>
      <c r="AI669" s="1">
        <v>0</v>
      </c>
      <c r="AJ669" s="1">
        <f t="shared" si="56"/>
        <v>0</v>
      </c>
      <c r="AK669" s="1">
        <f>D71</f>
        <v>0</v>
      </c>
      <c r="AL669" s="1">
        <f>D77</f>
        <v>0</v>
      </c>
      <c r="AM669" s="1">
        <f t="shared" si="57"/>
        <v>0</v>
      </c>
      <c r="AN669" s="1">
        <f t="shared" si="58"/>
        <v>0</v>
      </c>
      <c r="AO669" s="1">
        <f t="shared" si="59"/>
        <v>0</v>
      </c>
      <c r="AP669" t="b" cm="1">
        <f t="array" ref="AP669">INDEX($AU$8:$BB$25,6*(R669-1)+MATCH(AB669,$AS$8:$AS$13,0),MATCH(O669,$AU$7:$BB$7,0))</f>
        <v>1</v>
      </c>
    </row>
    <row r="670" spans="15:42" ht="14.25" x14ac:dyDescent="0.45">
      <c r="O670" s="43" t="s">
        <v>34</v>
      </c>
      <c r="P670" s="43">
        <v>1</v>
      </c>
      <c r="Q670" s="43">
        <v>6</v>
      </c>
      <c r="R670" s="43">
        <v>3</v>
      </c>
      <c r="S670" s="45"/>
      <c r="T670" t="b">
        <f>(S668+S669+S670)=S2</f>
        <v>0</v>
      </c>
      <c r="X670" s="1">
        <f t="shared" si="60"/>
        <v>0</v>
      </c>
      <c r="Y670" s="48">
        <v>0</v>
      </c>
      <c r="AA670" s="1">
        <v>7</v>
      </c>
      <c r="AB670" s="1" t="s">
        <v>14</v>
      </c>
      <c r="AC670" s="1" t="s">
        <v>20</v>
      </c>
      <c r="AD670" s="1">
        <v>27</v>
      </c>
      <c r="AE670" s="1">
        <v>21</v>
      </c>
      <c r="AF670" s="1">
        <v>0.8</v>
      </c>
      <c r="AG670" s="1">
        <v>0.88</v>
      </c>
      <c r="AH670" s="1">
        <v>0</v>
      </c>
      <c r="AI670" s="1">
        <v>0</v>
      </c>
      <c r="AJ670" s="1">
        <f t="shared" si="56"/>
        <v>0</v>
      </c>
      <c r="AK670" s="1">
        <f>E71</f>
        <v>0</v>
      </c>
      <c r="AL670" s="1">
        <f>E77</f>
        <v>0</v>
      </c>
      <c r="AM670" s="1">
        <f t="shared" si="57"/>
        <v>0</v>
      </c>
      <c r="AN670" s="1">
        <f t="shared" si="58"/>
        <v>0</v>
      </c>
      <c r="AO670" s="1">
        <f t="shared" si="59"/>
        <v>0</v>
      </c>
      <c r="AP670" t="b" cm="1">
        <f t="array" ref="AP670">INDEX($AU$8:$BB$25,6*(R670-1)+MATCH(AB670,$AS$8:$AS$13,0),MATCH(O670,$AU$7:$BB$7,0))</f>
        <v>1</v>
      </c>
    </row>
    <row r="671" spans="15:42" ht="14.25" x14ac:dyDescent="0.45">
      <c r="O671" s="43" t="s">
        <v>34</v>
      </c>
      <c r="P671" s="43">
        <v>1</v>
      </c>
      <c r="Q671" s="43">
        <v>7</v>
      </c>
      <c r="R671" s="43">
        <v>1</v>
      </c>
      <c r="S671" s="45"/>
      <c r="T671" t="b">
        <f>(S671+S672+S673)=S2</f>
        <v>0</v>
      </c>
      <c r="X671" s="1">
        <f t="shared" si="60"/>
        <v>0</v>
      </c>
      <c r="Y671" s="48">
        <v>0</v>
      </c>
      <c r="AA671" s="1">
        <v>9</v>
      </c>
      <c r="AB671" s="1" t="s">
        <v>14</v>
      </c>
      <c r="AC671" s="1" t="s">
        <v>20</v>
      </c>
      <c r="AD671" s="1">
        <v>17</v>
      </c>
      <c r="AE671" s="1">
        <v>13</v>
      </c>
      <c r="AF671" s="1">
        <v>0.8</v>
      </c>
      <c r="AG671" s="1">
        <v>0.88</v>
      </c>
      <c r="AH671" s="1">
        <v>0</v>
      </c>
      <c r="AI671" s="1">
        <v>0</v>
      </c>
      <c r="AJ671" s="1">
        <f t="shared" si="56"/>
        <v>0</v>
      </c>
      <c r="AK671" s="1">
        <f>C71</f>
        <v>0</v>
      </c>
      <c r="AL671" s="1">
        <f>C77</f>
        <v>0</v>
      </c>
      <c r="AM671" s="1">
        <f t="shared" si="57"/>
        <v>0</v>
      </c>
      <c r="AN671" s="1">
        <f t="shared" si="58"/>
        <v>0</v>
      </c>
      <c r="AO671" s="1">
        <f t="shared" si="59"/>
        <v>0</v>
      </c>
      <c r="AP671" t="b" cm="1">
        <f t="array" ref="AP671">INDEX($AU$8:$BB$25,6*(R671-1)+MATCH(AB671,$AS$8:$AS$13,0),MATCH(O671,$AU$7:$BB$7,0))</f>
        <v>1</v>
      </c>
    </row>
    <row r="672" spans="15:42" ht="14.25" x14ac:dyDescent="0.45">
      <c r="O672" s="43" t="s">
        <v>34</v>
      </c>
      <c r="P672" s="43">
        <v>1</v>
      </c>
      <c r="Q672" s="43">
        <v>7</v>
      </c>
      <c r="R672" s="43">
        <v>2</v>
      </c>
      <c r="S672" s="45"/>
      <c r="T672" t="b">
        <f>(S671+S672+S673)=S2</f>
        <v>0</v>
      </c>
      <c r="X672" s="1">
        <f t="shared" si="60"/>
        <v>0</v>
      </c>
      <c r="Y672" s="48">
        <v>0</v>
      </c>
      <c r="AA672" s="1">
        <v>9</v>
      </c>
      <c r="AB672" s="1" t="s">
        <v>14</v>
      </c>
      <c r="AC672" s="1" t="s">
        <v>20</v>
      </c>
      <c r="AD672" s="1">
        <v>17</v>
      </c>
      <c r="AE672" s="1">
        <v>13</v>
      </c>
      <c r="AF672" s="1">
        <v>0.8</v>
      </c>
      <c r="AG672" s="1">
        <v>0.88</v>
      </c>
      <c r="AH672" s="1">
        <v>0</v>
      </c>
      <c r="AI672" s="1">
        <v>0</v>
      </c>
      <c r="AJ672" s="1">
        <f t="shared" si="56"/>
        <v>0</v>
      </c>
      <c r="AK672" s="1">
        <f>D71</f>
        <v>0</v>
      </c>
      <c r="AL672" s="1">
        <f>D77</f>
        <v>0</v>
      </c>
      <c r="AM672" s="1">
        <f t="shared" si="57"/>
        <v>0</v>
      </c>
      <c r="AN672" s="1">
        <f t="shared" si="58"/>
        <v>0</v>
      </c>
      <c r="AO672" s="1">
        <f t="shared" si="59"/>
        <v>0</v>
      </c>
      <c r="AP672" t="b" cm="1">
        <f t="array" ref="AP672">INDEX($AU$8:$BB$25,6*(R672-1)+MATCH(AB672,$AS$8:$AS$13,0),MATCH(O672,$AU$7:$BB$7,0))</f>
        <v>1</v>
      </c>
    </row>
    <row r="673" spans="15:42" ht="14.25" x14ac:dyDescent="0.45">
      <c r="O673" s="43" t="s">
        <v>34</v>
      </c>
      <c r="P673" s="43">
        <v>1</v>
      </c>
      <c r="Q673" s="43">
        <v>7</v>
      </c>
      <c r="R673" s="43">
        <v>3</v>
      </c>
      <c r="S673" s="45"/>
      <c r="T673" t="b">
        <f>(S671+S672+S673)=S2</f>
        <v>0</v>
      </c>
      <c r="X673" s="1">
        <f t="shared" si="60"/>
        <v>0</v>
      </c>
      <c r="Y673" s="48">
        <v>0</v>
      </c>
      <c r="AA673" s="1">
        <v>9</v>
      </c>
      <c r="AB673" s="1" t="s">
        <v>14</v>
      </c>
      <c r="AC673" s="1" t="s">
        <v>20</v>
      </c>
      <c r="AD673" s="1">
        <v>17</v>
      </c>
      <c r="AE673" s="1">
        <v>13</v>
      </c>
      <c r="AF673" s="1">
        <v>0.8</v>
      </c>
      <c r="AG673" s="1">
        <v>0.88</v>
      </c>
      <c r="AH673" s="1">
        <v>0</v>
      </c>
      <c r="AI673" s="1">
        <v>0</v>
      </c>
      <c r="AJ673" s="1">
        <f t="shared" si="56"/>
        <v>0</v>
      </c>
      <c r="AK673" s="1">
        <f>E71</f>
        <v>0</v>
      </c>
      <c r="AL673" s="1">
        <f>E77</f>
        <v>0</v>
      </c>
      <c r="AM673" s="1">
        <f t="shared" si="57"/>
        <v>0</v>
      </c>
      <c r="AN673" s="1">
        <f t="shared" si="58"/>
        <v>0</v>
      </c>
      <c r="AO673" s="1">
        <f t="shared" si="59"/>
        <v>0</v>
      </c>
      <c r="AP673" t="b" cm="1">
        <f t="array" ref="AP673">INDEX($AU$8:$BB$25,6*(R673-1)+MATCH(AB673,$AS$8:$AS$13,0),MATCH(O673,$AU$7:$BB$7,0))</f>
        <v>1</v>
      </c>
    </row>
    <row r="674" spans="15:42" ht="14.25" x14ac:dyDescent="0.45">
      <c r="O674" s="43" t="s">
        <v>34</v>
      </c>
      <c r="P674" s="43">
        <v>1</v>
      </c>
      <c r="Q674" s="43">
        <v>8</v>
      </c>
      <c r="R674" s="43">
        <v>1</v>
      </c>
      <c r="S674" s="45"/>
      <c r="T674" t="b">
        <f>(S674+S675+S676)=S2</f>
        <v>0</v>
      </c>
      <c r="X674" s="1">
        <f t="shared" si="60"/>
        <v>0</v>
      </c>
      <c r="Y674" s="48">
        <v>0</v>
      </c>
      <c r="AA674" s="1">
        <v>1</v>
      </c>
      <c r="AB674" s="1" t="s">
        <v>10</v>
      </c>
      <c r="AC674" s="1" t="s">
        <v>17</v>
      </c>
      <c r="AD674" s="1">
        <v>18</v>
      </c>
      <c r="AE674" s="1">
        <v>16</v>
      </c>
      <c r="AF674" s="1">
        <v>0.78</v>
      </c>
      <c r="AG674" s="1">
        <v>0.84</v>
      </c>
      <c r="AH674" s="1">
        <v>0</v>
      </c>
      <c r="AI674" s="1">
        <v>0</v>
      </c>
      <c r="AJ674" s="1">
        <f t="shared" si="56"/>
        <v>0</v>
      </c>
      <c r="AK674" s="1">
        <f>C68</f>
        <v>0</v>
      </c>
      <c r="AL674" s="1">
        <f>C74</f>
        <v>0</v>
      </c>
      <c r="AM674" s="1">
        <f t="shared" si="57"/>
        <v>0</v>
      </c>
      <c r="AN674" s="1">
        <f t="shared" si="58"/>
        <v>0</v>
      </c>
      <c r="AO674" s="1">
        <f t="shared" si="59"/>
        <v>0</v>
      </c>
      <c r="AP674" t="b" cm="1">
        <f t="array" ref="AP674">INDEX($AU$8:$BB$25,6*(R674-1)+MATCH(AB674,$AS$8:$AS$13,0),MATCH(O674,$AU$7:$BB$7,0))</f>
        <v>1</v>
      </c>
    </row>
    <row r="675" spans="15:42" ht="14.25" x14ac:dyDescent="0.45">
      <c r="O675" s="43" t="s">
        <v>34</v>
      </c>
      <c r="P675" s="43">
        <v>1</v>
      </c>
      <c r="Q675" s="43">
        <v>8</v>
      </c>
      <c r="R675" s="43">
        <v>2</v>
      </c>
      <c r="S675" s="45"/>
      <c r="T675" t="b">
        <f>(S674+S675+S676)=S2</f>
        <v>0</v>
      </c>
      <c r="X675" s="1">
        <f t="shared" si="60"/>
        <v>0</v>
      </c>
      <c r="Y675" s="48">
        <v>0</v>
      </c>
      <c r="AA675" s="1">
        <v>1</v>
      </c>
      <c r="AB675" s="1" t="s">
        <v>10</v>
      </c>
      <c r="AC675" s="1" t="s">
        <v>17</v>
      </c>
      <c r="AD675" s="1">
        <v>18</v>
      </c>
      <c r="AE675" s="1">
        <v>16</v>
      </c>
      <c r="AF675" s="1">
        <v>0.78</v>
      </c>
      <c r="AG675" s="1">
        <v>0.84</v>
      </c>
      <c r="AH675" s="1">
        <v>0</v>
      </c>
      <c r="AI675" s="1">
        <v>0</v>
      </c>
      <c r="AJ675" s="1">
        <f t="shared" si="56"/>
        <v>0</v>
      </c>
      <c r="AK675" s="1">
        <f>D68</f>
        <v>0</v>
      </c>
      <c r="AL675" s="1">
        <f>D74</f>
        <v>0</v>
      </c>
      <c r="AM675" s="1">
        <f t="shared" si="57"/>
        <v>0</v>
      </c>
      <c r="AN675" s="1">
        <f t="shared" si="58"/>
        <v>0</v>
      </c>
      <c r="AO675" s="1">
        <f t="shared" si="59"/>
        <v>0</v>
      </c>
      <c r="AP675" t="b" cm="1">
        <f t="array" ref="AP675">INDEX($AU$8:$BB$25,6*(R675-1)+MATCH(AB675,$AS$8:$AS$13,0),MATCH(O675,$AU$7:$BB$7,0))</f>
        <v>1</v>
      </c>
    </row>
    <row r="676" spans="15:42" ht="14.25" x14ac:dyDescent="0.45">
      <c r="O676" s="43" t="s">
        <v>34</v>
      </c>
      <c r="P676" s="43">
        <v>1</v>
      </c>
      <c r="Q676" s="43">
        <v>8</v>
      </c>
      <c r="R676" s="43">
        <v>3</v>
      </c>
      <c r="S676" s="45"/>
      <c r="T676" t="b">
        <f>(S674+S675+S676)=S2</f>
        <v>0</v>
      </c>
      <c r="X676" s="1">
        <f t="shared" si="60"/>
        <v>0</v>
      </c>
      <c r="Y676" s="48">
        <v>0</v>
      </c>
      <c r="AA676" s="1">
        <v>1</v>
      </c>
      <c r="AB676" s="1" t="s">
        <v>10</v>
      </c>
      <c r="AC676" s="1" t="s">
        <v>17</v>
      </c>
      <c r="AD676" s="1">
        <v>18</v>
      </c>
      <c r="AE676" s="1">
        <v>16</v>
      </c>
      <c r="AF676" s="1">
        <v>0.78</v>
      </c>
      <c r="AG676" s="1">
        <v>0.84</v>
      </c>
      <c r="AH676" s="1">
        <v>0</v>
      </c>
      <c r="AI676" s="1">
        <v>0</v>
      </c>
      <c r="AJ676" s="1">
        <f t="shared" si="56"/>
        <v>0</v>
      </c>
      <c r="AK676" s="1">
        <f>E68</f>
        <v>0</v>
      </c>
      <c r="AL676" s="1">
        <f>E74</f>
        <v>0</v>
      </c>
      <c r="AM676" s="1">
        <f t="shared" si="57"/>
        <v>0</v>
      </c>
      <c r="AN676" s="1">
        <f t="shared" si="58"/>
        <v>0</v>
      </c>
      <c r="AO676" s="1">
        <f t="shared" si="59"/>
        <v>0</v>
      </c>
      <c r="AP676" t="b" cm="1">
        <f t="array" ref="AP676">INDEX($AU$8:$BB$25,6*(R676-1)+MATCH(AB676,$AS$8:$AS$13,0),MATCH(O676,$AU$7:$BB$7,0))</f>
        <v>1</v>
      </c>
    </row>
    <row r="677" spans="15:42" ht="14.25" x14ac:dyDescent="0.45">
      <c r="O677" s="43" t="s">
        <v>34</v>
      </c>
      <c r="P677" s="43">
        <v>1</v>
      </c>
      <c r="Q677" s="43">
        <v>9</v>
      </c>
      <c r="R677" s="43">
        <v>1</v>
      </c>
      <c r="S677" s="45"/>
      <c r="T677" t="b">
        <f>(S677+S678+S679)=S2</f>
        <v>0</v>
      </c>
      <c r="X677" s="1">
        <f t="shared" si="60"/>
        <v>0</v>
      </c>
      <c r="Y677" s="48">
        <v>0</v>
      </c>
      <c r="AA677" s="1">
        <v>2</v>
      </c>
      <c r="AB677" s="1" t="s">
        <v>10</v>
      </c>
      <c r="AC677" s="1" t="s">
        <v>17</v>
      </c>
      <c r="AD677" s="1">
        <v>16</v>
      </c>
      <c r="AE677" s="1">
        <v>13</v>
      </c>
      <c r="AF677" s="1">
        <v>0.78</v>
      </c>
      <c r="AG677" s="1">
        <v>0.84</v>
      </c>
      <c r="AH677" s="1">
        <v>0</v>
      </c>
      <c r="AI677" s="1">
        <v>0</v>
      </c>
      <c r="AJ677" s="1">
        <f t="shared" si="56"/>
        <v>0</v>
      </c>
      <c r="AK677" s="1">
        <f>C68</f>
        <v>0</v>
      </c>
      <c r="AL677" s="1">
        <f>C74</f>
        <v>0</v>
      </c>
      <c r="AM677" s="1">
        <f t="shared" si="57"/>
        <v>0</v>
      </c>
      <c r="AN677" s="1">
        <f t="shared" si="58"/>
        <v>0</v>
      </c>
      <c r="AO677" s="1">
        <f t="shared" si="59"/>
        <v>0</v>
      </c>
      <c r="AP677" t="b" cm="1">
        <f t="array" ref="AP677">INDEX($AU$8:$BB$25,6*(R677-1)+MATCH(AB677,$AS$8:$AS$13,0),MATCH(O677,$AU$7:$BB$7,0))</f>
        <v>1</v>
      </c>
    </row>
    <row r="678" spans="15:42" ht="14.25" x14ac:dyDescent="0.45">
      <c r="O678" s="43" t="s">
        <v>34</v>
      </c>
      <c r="P678" s="43">
        <v>1</v>
      </c>
      <c r="Q678" s="43">
        <v>9</v>
      </c>
      <c r="R678" s="43">
        <v>2</v>
      </c>
      <c r="S678" s="45"/>
      <c r="T678" t="b">
        <f>(S677+S678+S679)=S2</f>
        <v>0</v>
      </c>
      <c r="X678" s="1">
        <f t="shared" si="60"/>
        <v>0</v>
      </c>
      <c r="Y678" s="48">
        <v>0</v>
      </c>
      <c r="AA678" s="1">
        <v>2</v>
      </c>
      <c r="AB678" s="1" t="s">
        <v>10</v>
      </c>
      <c r="AC678" s="1" t="s">
        <v>17</v>
      </c>
      <c r="AD678" s="1">
        <v>16</v>
      </c>
      <c r="AE678" s="1">
        <v>13</v>
      </c>
      <c r="AF678" s="1">
        <v>0.78</v>
      </c>
      <c r="AG678" s="1">
        <v>0.84</v>
      </c>
      <c r="AH678" s="1">
        <v>0</v>
      </c>
      <c r="AI678" s="1">
        <v>0</v>
      </c>
      <c r="AJ678" s="1">
        <f t="shared" si="56"/>
        <v>0</v>
      </c>
      <c r="AK678" s="1">
        <f>D68</f>
        <v>0</v>
      </c>
      <c r="AL678" s="1">
        <f>D74</f>
        <v>0</v>
      </c>
      <c r="AM678" s="1">
        <f t="shared" si="57"/>
        <v>0</v>
      </c>
      <c r="AN678" s="1">
        <f t="shared" si="58"/>
        <v>0</v>
      </c>
      <c r="AO678" s="1">
        <f t="shared" si="59"/>
        <v>0</v>
      </c>
      <c r="AP678" t="b" cm="1">
        <f t="array" ref="AP678">INDEX($AU$8:$BB$25,6*(R678-1)+MATCH(AB678,$AS$8:$AS$13,0),MATCH(O678,$AU$7:$BB$7,0))</f>
        <v>1</v>
      </c>
    </row>
    <row r="679" spans="15:42" ht="14.25" x14ac:dyDescent="0.45">
      <c r="O679" s="43" t="s">
        <v>34</v>
      </c>
      <c r="P679" s="43">
        <v>1</v>
      </c>
      <c r="Q679" s="43">
        <v>9</v>
      </c>
      <c r="R679" s="43">
        <v>3</v>
      </c>
      <c r="S679" s="45"/>
      <c r="T679" t="b">
        <f>(S677+S678+S679)=S2</f>
        <v>0</v>
      </c>
      <c r="X679" s="1">
        <f t="shared" si="60"/>
        <v>0</v>
      </c>
      <c r="Y679" s="48">
        <v>0</v>
      </c>
      <c r="AA679" s="1">
        <v>2</v>
      </c>
      <c r="AB679" s="1" t="s">
        <v>10</v>
      </c>
      <c r="AC679" s="1" t="s">
        <v>17</v>
      </c>
      <c r="AD679" s="1">
        <v>16</v>
      </c>
      <c r="AE679" s="1">
        <v>13</v>
      </c>
      <c r="AF679" s="1">
        <v>0.78</v>
      </c>
      <c r="AG679" s="1">
        <v>0.84</v>
      </c>
      <c r="AH679" s="1">
        <v>0</v>
      </c>
      <c r="AI679" s="1">
        <v>0</v>
      </c>
      <c r="AJ679" s="1">
        <f t="shared" si="56"/>
        <v>0</v>
      </c>
      <c r="AK679" s="1">
        <f>E68</f>
        <v>0</v>
      </c>
      <c r="AL679" s="1">
        <f>E74</f>
        <v>0</v>
      </c>
      <c r="AM679" s="1">
        <f t="shared" si="57"/>
        <v>0</v>
      </c>
      <c r="AN679" s="1">
        <f t="shared" si="58"/>
        <v>0</v>
      </c>
      <c r="AO679" s="1">
        <f t="shared" si="59"/>
        <v>0</v>
      </c>
      <c r="AP679" t="b" cm="1">
        <f t="array" ref="AP679">INDEX($AU$8:$BB$25,6*(R679-1)+MATCH(AB679,$AS$8:$AS$13,0),MATCH(O679,$AU$7:$BB$7,0))</f>
        <v>1</v>
      </c>
    </row>
    <row r="680" spans="15:42" ht="14.25" x14ac:dyDescent="0.45">
      <c r="O680" s="43" t="s">
        <v>34</v>
      </c>
      <c r="P680" s="43">
        <v>1</v>
      </c>
      <c r="Q680" s="43">
        <v>10</v>
      </c>
      <c r="R680" s="43">
        <v>1</v>
      </c>
      <c r="S680" s="45"/>
      <c r="T680" t="b">
        <f>(S680+S681+S682)=S2</f>
        <v>0</v>
      </c>
      <c r="X680" s="1">
        <f t="shared" si="60"/>
        <v>0</v>
      </c>
      <c r="Y680" s="48">
        <v>0</v>
      </c>
      <c r="AA680" s="1">
        <v>6</v>
      </c>
      <c r="AB680" s="1" t="s">
        <v>14</v>
      </c>
      <c r="AC680" s="1" t="s">
        <v>20</v>
      </c>
      <c r="AD680" s="1">
        <v>14</v>
      </c>
      <c r="AE680" s="1">
        <v>11</v>
      </c>
      <c r="AF680" s="1">
        <v>0.8</v>
      </c>
      <c r="AG680" s="1">
        <v>0.88</v>
      </c>
      <c r="AH680" s="1">
        <v>0</v>
      </c>
      <c r="AI680" s="1">
        <v>0</v>
      </c>
      <c r="AJ680" s="1">
        <f t="shared" si="56"/>
        <v>0</v>
      </c>
      <c r="AK680" s="1">
        <f>C71</f>
        <v>0</v>
      </c>
      <c r="AL680" s="1">
        <f>C77</f>
        <v>0</v>
      </c>
      <c r="AM680" s="1">
        <f t="shared" si="57"/>
        <v>0</v>
      </c>
      <c r="AN680" s="1">
        <f t="shared" si="58"/>
        <v>0</v>
      </c>
      <c r="AO680" s="1">
        <f t="shared" si="59"/>
        <v>0</v>
      </c>
      <c r="AP680" t="b" cm="1">
        <f t="array" ref="AP680">INDEX($AU$8:$BB$25,6*(R680-1)+MATCH(AB680,$AS$8:$AS$13,0),MATCH(O680,$AU$7:$BB$7,0))</f>
        <v>1</v>
      </c>
    </row>
    <row r="681" spans="15:42" ht="14.25" x14ac:dyDescent="0.45">
      <c r="O681" s="43" t="s">
        <v>34</v>
      </c>
      <c r="P681" s="43">
        <v>1</v>
      </c>
      <c r="Q681" s="43">
        <v>10</v>
      </c>
      <c r="R681" s="43">
        <v>2</v>
      </c>
      <c r="S681" s="45"/>
      <c r="T681" t="b">
        <f>(S680+S681+S682)=S2</f>
        <v>0</v>
      </c>
      <c r="X681" s="1">
        <f t="shared" si="60"/>
        <v>0</v>
      </c>
      <c r="Y681" s="48">
        <v>0</v>
      </c>
      <c r="AA681" s="1">
        <v>6</v>
      </c>
      <c r="AB681" s="1" t="s">
        <v>14</v>
      </c>
      <c r="AC681" s="1" t="s">
        <v>20</v>
      </c>
      <c r="AD681" s="1">
        <v>14</v>
      </c>
      <c r="AE681" s="1">
        <v>11</v>
      </c>
      <c r="AF681" s="1">
        <v>0.8</v>
      </c>
      <c r="AG681" s="1">
        <v>0.88</v>
      </c>
      <c r="AH681" s="1">
        <v>0</v>
      </c>
      <c r="AI681" s="1">
        <v>0</v>
      </c>
      <c r="AJ681" s="1">
        <f t="shared" si="56"/>
        <v>0</v>
      </c>
      <c r="AK681" s="1">
        <f>D71</f>
        <v>0</v>
      </c>
      <c r="AL681" s="1">
        <f>D77</f>
        <v>0</v>
      </c>
      <c r="AM681" s="1">
        <f t="shared" si="57"/>
        <v>0</v>
      </c>
      <c r="AN681" s="1">
        <f t="shared" si="58"/>
        <v>0</v>
      </c>
      <c r="AO681" s="1">
        <f t="shared" si="59"/>
        <v>0</v>
      </c>
      <c r="AP681" t="b" cm="1">
        <f t="array" ref="AP681">INDEX($AU$8:$BB$25,6*(R681-1)+MATCH(AB681,$AS$8:$AS$13,0),MATCH(O681,$AU$7:$BB$7,0))</f>
        <v>1</v>
      </c>
    </row>
    <row r="682" spans="15:42" ht="14.25" x14ac:dyDescent="0.45">
      <c r="O682" s="43" t="s">
        <v>34</v>
      </c>
      <c r="P682" s="43">
        <v>1</v>
      </c>
      <c r="Q682" s="43">
        <v>10</v>
      </c>
      <c r="R682" s="43">
        <v>3</v>
      </c>
      <c r="S682" s="45"/>
      <c r="T682" t="b">
        <f>(S680+S681+S682)=S2</f>
        <v>0</v>
      </c>
      <c r="X682" s="1">
        <f t="shared" si="60"/>
        <v>0</v>
      </c>
      <c r="Y682" s="48">
        <v>0</v>
      </c>
      <c r="AA682" s="1">
        <v>6</v>
      </c>
      <c r="AB682" s="1" t="s">
        <v>14</v>
      </c>
      <c r="AC682" s="1" t="s">
        <v>20</v>
      </c>
      <c r="AD682" s="1">
        <v>14</v>
      </c>
      <c r="AE682" s="1">
        <v>11</v>
      </c>
      <c r="AF682" s="1">
        <v>0.8</v>
      </c>
      <c r="AG682" s="1">
        <v>0.88</v>
      </c>
      <c r="AH682" s="1">
        <v>0</v>
      </c>
      <c r="AI682" s="1">
        <v>0</v>
      </c>
      <c r="AJ682" s="1">
        <f t="shared" si="56"/>
        <v>0</v>
      </c>
      <c r="AK682" s="1">
        <f>E71</f>
        <v>0</v>
      </c>
      <c r="AL682" s="1">
        <f>E77</f>
        <v>0</v>
      </c>
      <c r="AM682" s="1">
        <f t="shared" si="57"/>
        <v>0</v>
      </c>
      <c r="AN682" s="1">
        <f t="shared" si="58"/>
        <v>0</v>
      </c>
      <c r="AO682" s="1">
        <f t="shared" si="59"/>
        <v>0</v>
      </c>
      <c r="AP682" t="b" cm="1">
        <f t="array" ref="AP682">INDEX($AU$8:$BB$25,6*(R682-1)+MATCH(AB682,$AS$8:$AS$13,0),MATCH(O682,$AU$7:$BB$7,0))</f>
        <v>1</v>
      </c>
    </row>
    <row r="683" spans="15:42" ht="14.25" x14ac:dyDescent="0.45">
      <c r="O683" s="43" t="s">
        <v>34</v>
      </c>
      <c r="P683" s="43">
        <v>1</v>
      </c>
      <c r="Q683" s="43">
        <v>11</v>
      </c>
      <c r="R683" s="43">
        <v>1</v>
      </c>
      <c r="S683" s="45"/>
      <c r="T683" t="b">
        <f>(S683+S684+S685)=S2</f>
        <v>0</v>
      </c>
      <c r="X683" s="1">
        <f t="shared" si="60"/>
        <v>0</v>
      </c>
      <c r="Y683" s="48">
        <v>0</v>
      </c>
      <c r="AA683" s="1">
        <v>3</v>
      </c>
      <c r="AB683" s="1" t="s">
        <v>16</v>
      </c>
      <c r="AC683" s="1" t="s">
        <v>22</v>
      </c>
      <c r="AD683" s="1">
        <v>18</v>
      </c>
      <c r="AE683" s="1">
        <v>16</v>
      </c>
      <c r="AF683" s="1">
        <v>0.8</v>
      </c>
      <c r="AG683" s="1">
        <v>0.9</v>
      </c>
      <c r="AH683" s="1">
        <v>0</v>
      </c>
      <c r="AI683" s="1">
        <v>0</v>
      </c>
      <c r="AJ683" s="1">
        <f t="shared" si="56"/>
        <v>0</v>
      </c>
      <c r="AK683" s="1">
        <f>C73</f>
        <v>0</v>
      </c>
      <c r="AL683" s="1">
        <f>C79</f>
        <v>0</v>
      </c>
      <c r="AM683" s="1">
        <f t="shared" si="57"/>
        <v>0</v>
      </c>
      <c r="AN683" s="1">
        <f t="shared" si="58"/>
        <v>0</v>
      </c>
      <c r="AO683" s="1">
        <f t="shared" si="59"/>
        <v>0</v>
      </c>
      <c r="AP683" t="b" cm="1">
        <f t="array" ref="AP683">INDEX($AU$8:$BB$25,6*(R683-1)+MATCH(AB683,$AS$8:$AS$13,0),MATCH(O683,$AU$7:$BB$7,0))</f>
        <v>1</v>
      </c>
    </row>
    <row r="684" spans="15:42" ht="14.25" x14ac:dyDescent="0.45">
      <c r="O684" s="43" t="s">
        <v>34</v>
      </c>
      <c r="P684" s="43">
        <v>1</v>
      </c>
      <c r="Q684" s="43">
        <v>11</v>
      </c>
      <c r="R684" s="43">
        <v>2</v>
      </c>
      <c r="S684" s="45"/>
      <c r="T684" t="b">
        <f>(S683+S684+S685)=S2</f>
        <v>0</v>
      </c>
      <c r="X684" s="1">
        <f t="shared" si="60"/>
        <v>0</v>
      </c>
      <c r="Y684" s="48">
        <v>0</v>
      </c>
      <c r="AA684" s="1">
        <v>3</v>
      </c>
      <c r="AB684" s="1" t="s">
        <v>16</v>
      </c>
      <c r="AC684" s="1" t="s">
        <v>22</v>
      </c>
      <c r="AD684" s="1">
        <v>18</v>
      </c>
      <c r="AE684" s="1">
        <v>16</v>
      </c>
      <c r="AF684" s="1">
        <v>0.8</v>
      </c>
      <c r="AG684" s="1">
        <v>0.9</v>
      </c>
      <c r="AH684" s="1">
        <v>0</v>
      </c>
      <c r="AI684" s="1">
        <v>0</v>
      </c>
      <c r="AJ684" s="1">
        <f t="shared" si="56"/>
        <v>0</v>
      </c>
      <c r="AK684" s="1">
        <f>D73</f>
        <v>0</v>
      </c>
      <c r="AL684" s="1">
        <f>D79</f>
        <v>0</v>
      </c>
      <c r="AM684" s="1">
        <f t="shared" si="57"/>
        <v>0</v>
      </c>
      <c r="AN684" s="1">
        <f t="shared" si="58"/>
        <v>0</v>
      </c>
      <c r="AO684" s="1">
        <f t="shared" si="59"/>
        <v>0</v>
      </c>
      <c r="AP684" t="b" cm="1">
        <f t="array" ref="AP684">INDEX($AU$8:$BB$25,6*(R684-1)+MATCH(AB684,$AS$8:$AS$13,0),MATCH(O684,$AU$7:$BB$7,0))</f>
        <v>1</v>
      </c>
    </row>
    <row r="685" spans="15:42" ht="14.25" x14ac:dyDescent="0.45">
      <c r="O685" s="43" t="s">
        <v>34</v>
      </c>
      <c r="P685" s="43">
        <v>1</v>
      </c>
      <c r="Q685" s="43">
        <v>11</v>
      </c>
      <c r="R685" s="43">
        <v>3</v>
      </c>
      <c r="S685" s="45"/>
      <c r="T685" t="b">
        <f>(S683+S684+S685)=S2</f>
        <v>0</v>
      </c>
      <c r="X685" s="1">
        <f t="shared" si="60"/>
        <v>0</v>
      </c>
      <c r="Y685" s="48">
        <v>0</v>
      </c>
      <c r="AA685" s="1">
        <v>3</v>
      </c>
      <c r="AB685" s="1" t="s">
        <v>16</v>
      </c>
      <c r="AC685" s="1" t="s">
        <v>22</v>
      </c>
      <c r="AD685" s="1">
        <v>18</v>
      </c>
      <c r="AE685" s="1">
        <v>16</v>
      </c>
      <c r="AF685" s="1">
        <v>0.8</v>
      </c>
      <c r="AG685" s="1">
        <v>0.9</v>
      </c>
      <c r="AH685" s="1">
        <v>0</v>
      </c>
      <c r="AI685" s="1">
        <v>0</v>
      </c>
      <c r="AJ685" s="1">
        <f t="shared" si="56"/>
        <v>0</v>
      </c>
      <c r="AK685" s="1">
        <f>E73</f>
        <v>0</v>
      </c>
      <c r="AL685" s="1">
        <f>E79</f>
        <v>0</v>
      </c>
      <c r="AM685" s="1">
        <f t="shared" si="57"/>
        <v>0</v>
      </c>
      <c r="AN685" s="1">
        <f t="shared" si="58"/>
        <v>0</v>
      </c>
      <c r="AO685" s="1">
        <f t="shared" si="59"/>
        <v>0</v>
      </c>
      <c r="AP685" t="b" cm="1">
        <f t="array" ref="AP685">INDEX($AU$8:$BB$25,6*(R685-1)+MATCH(AB685,$AS$8:$AS$13,0),MATCH(O685,$AU$7:$BB$7,0))</f>
        <v>1</v>
      </c>
    </row>
    <row r="686" spans="15:42" ht="14.25" x14ac:dyDescent="0.45">
      <c r="O686" s="43" t="s">
        <v>34</v>
      </c>
      <c r="P686" s="43">
        <v>2</v>
      </c>
      <c r="Q686" s="43">
        <v>1</v>
      </c>
      <c r="R686" s="43">
        <v>1</v>
      </c>
      <c r="S686" s="45"/>
      <c r="T686" t="b">
        <f>(S686+S687+S688)=S3</f>
        <v>0</v>
      </c>
      <c r="X686" s="1">
        <v>0</v>
      </c>
      <c r="Y686" s="48">
        <v>0</v>
      </c>
      <c r="AA686" s="1">
        <v>9</v>
      </c>
      <c r="AB686" s="1" t="s">
        <v>16</v>
      </c>
      <c r="AC686" s="1" t="s">
        <v>22</v>
      </c>
      <c r="AD686" s="1">
        <v>19</v>
      </c>
      <c r="AE686" s="1">
        <v>16</v>
      </c>
      <c r="AF686" s="1">
        <v>0.8</v>
      </c>
      <c r="AG686" s="1">
        <v>0.9</v>
      </c>
      <c r="AH686" s="1">
        <v>0</v>
      </c>
      <c r="AI686" s="1">
        <v>0</v>
      </c>
      <c r="AJ686" s="1">
        <f t="shared" si="56"/>
        <v>0</v>
      </c>
      <c r="AK686" s="1">
        <f>C73</f>
        <v>0</v>
      </c>
      <c r="AL686" s="1">
        <f>C79</f>
        <v>0</v>
      </c>
      <c r="AM686" s="1">
        <f t="shared" si="57"/>
        <v>0</v>
      </c>
      <c r="AN686" s="1">
        <f t="shared" si="58"/>
        <v>0</v>
      </c>
      <c r="AO686" s="1">
        <f t="shared" si="59"/>
        <v>0</v>
      </c>
      <c r="AP686" t="b" cm="1">
        <f t="array" ref="AP686">INDEX($AU$8:$BB$25,6*(R686-1)+MATCH(AB686,$AS$8:$AS$13,0),MATCH(O686,$AU$7:$BB$7,0))</f>
        <v>1</v>
      </c>
    </row>
    <row r="687" spans="15:42" ht="14.25" x14ac:dyDescent="0.45">
      <c r="O687" s="43" t="s">
        <v>34</v>
      </c>
      <c r="P687" s="43">
        <v>2</v>
      </c>
      <c r="Q687" s="43">
        <v>1</v>
      </c>
      <c r="R687" s="43">
        <v>2</v>
      </c>
      <c r="S687" s="45"/>
      <c r="T687" t="b">
        <f>(S686+S687+S688)=S3</f>
        <v>0</v>
      </c>
      <c r="X687" s="1">
        <v>0</v>
      </c>
      <c r="Y687" s="48">
        <v>0</v>
      </c>
      <c r="AA687" s="1">
        <v>9</v>
      </c>
      <c r="AB687" s="1" t="s">
        <v>16</v>
      </c>
      <c r="AC687" s="1" t="s">
        <v>22</v>
      </c>
      <c r="AD687" s="1">
        <v>19</v>
      </c>
      <c r="AE687" s="1">
        <v>16</v>
      </c>
      <c r="AF687" s="1">
        <v>0.8</v>
      </c>
      <c r="AG687" s="1">
        <v>0.9</v>
      </c>
      <c r="AH687" s="1">
        <v>0</v>
      </c>
      <c r="AI687" s="1">
        <v>0</v>
      </c>
      <c r="AJ687" s="1">
        <f t="shared" si="56"/>
        <v>0</v>
      </c>
      <c r="AK687" s="1">
        <f>D73</f>
        <v>0</v>
      </c>
      <c r="AL687" s="1">
        <f>D79</f>
        <v>0</v>
      </c>
      <c r="AM687" s="1">
        <f t="shared" si="57"/>
        <v>0</v>
      </c>
      <c r="AN687" s="1">
        <f t="shared" si="58"/>
        <v>0</v>
      </c>
      <c r="AO687" s="1">
        <f t="shared" si="59"/>
        <v>0</v>
      </c>
      <c r="AP687" t="b" cm="1">
        <f t="array" ref="AP687">INDEX($AU$8:$BB$25,6*(R687-1)+MATCH(AB687,$AS$8:$AS$13,0),MATCH(O687,$AU$7:$BB$7,0))</f>
        <v>1</v>
      </c>
    </row>
    <row r="688" spans="15:42" ht="14.25" x14ac:dyDescent="0.45">
      <c r="O688" s="43" t="s">
        <v>34</v>
      </c>
      <c r="P688" s="43">
        <v>2</v>
      </c>
      <c r="Q688" s="43">
        <v>1</v>
      </c>
      <c r="R688" s="43">
        <v>3</v>
      </c>
      <c r="S688" s="45"/>
      <c r="T688" t="b">
        <f>(S686+S687+S688)=S3</f>
        <v>0</v>
      </c>
      <c r="X688" s="1">
        <v>0</v>
      </c>
      <c r="Y688" s="48">
        <v>0</v>
      </c>
      <c r="AA688" s="1">
        <v>9</v>
      </c>
      <c r="AB688" s="1" t="s">
        <v>16</v>
      </c>
      <c r="AC688" s="1" t="s">
        <v>22</v>
      </c>
      <c r="AD688" s="1">
        <v>19</v>
      </c>
      <c r="AE688" s="1">
        <v>16</v>
      </c>
      <c r="AF688" s="1">
        <v>0.8</v>
      </c>
      <c r="AG688" s="1">
        <v>0.9</v>
      </c>
      <c r="AH688" s="1">
        <v>0</v>
      </c>
      <c r="AI688" s="1">
        <v>0</v>
      </c>
      <c r="AJ688" s="1">
        <f t="shared" si="56"/>
        <v>0</v>
      </c>
      <c r="AK688" s="1">
        <f>E73</f>
        <v>0</v>
      </c>
      <c r="AL688" s="1">
        <f>E79</f>
        <v>0</v>
      </c>
      <c r="AM688" s="1">
        <f t="shared" si="57"/>
        <v>0</v>
      </c>
      <c r="AN688" s="1">
        <f t="shared" si="58"/>
        <v>0</v>
      </c>
      <c r="AO688" s="1">
        <f t="shared" si="59"/>
        <v>0</v>
      </c>
      <c r="AP688" t="b" cm="1">
        <f t="array" ref="AP688">INDEX($AU$8:$BB$25,6*(R688-1)+MATCH(AB688,$AS$8:$AS$13,0),MATCH(O688,$AU$7:$BB$7,0))</f>
        <v>1</v>
      </c>
    </row>
    <row r="689" spans="15:42" ht="14.25" x14ac:dyDescent="0.45">
      <c r="O689" s="43" t="s">
        <v>34</v>
      </c>
      <c r="P689" s="43">
        <v>2</v>
      </c>
      <c r="Q689" s="43">
        <v>2</v>
      </c>
      <c r="R689" s="43">
        <v>1</v>
      </c>
      <c r="S689" s="45"/>
      <c r="T689" t="b">
        <f>(S689+S690+S691)=S3</f>
        <v>0</v>
      </c>
      <c r="X689" s="1">
        <f t="shared" ref="X689:X730" si="61">MAX(S686-S689,0)</f>
        <v>0</v>
      </c>
      <c r="Y689" s="48">
        <v>0</v>
      </c>
      <c r="AA689" s="1">
        <v>1</v>
      </c>
      <c r="AB689" s="1" t="s">
        <v>12</v>
      </c>
      <c r="AC689" s="1" t="s">
        <v>18</v>
      </c>
      <c r="AD689" s="1">
        <v>20</v>
      </c>
      <c r="AE689" s="1">
        <v>18</v>
      </c>
      <c r="AF689" s="1">
        <v>0.76</v>
      </c>
      <c r="AG689" s="1">
        <v>0.81</v>
      </c>
      <c r="AH689" s="1">
        <v>0</v>
      </c>
      <c r="AI689" s="1">
        <v>0</v>
      </c>
      <c r="AJ689" s="1">
        <f t="shared" si="56"/>
        <v>0</v>
      </c>
      <c r="AK689" s="1">
        <f>C69</f>
        <v>0</v>
      </c>
      <c r="AL689" s="1">
        <f>C75</f>
        <v>0</v>
      </c>
      <c r="AM689" s="1">
        <f t="shared" si="57"/>
        <v>0</v>
      </c>
      <c r="AN689" s="1">
        <f t="shared" si="58"/>
        <v>0</v>
      </c>
      <c r="AO689" s="1">
        <f t="shared" si="59"/>
        <v>0</v>
      </c>
      <c r="AP689" t="b" cm="1">
        <f t="array" ref="AP689">INDEX($AU$8:$BB$25,6*(R689-1)+MATCH(AB689,$AS$8:$AS$13,0),MATCH(O689,$AU$7:$BB$7,0))</f>
        <v>1</v>
      </c>
    </row>
    <row r="690" spans="15:42" ht="14.25" x14ac:dyDescent="0.45">
      <c r="O690" s="43" t="s">
        <v>34</v>
      </c>
      <c r="P690" s="43">
        <v>2</v>
      </c>
      <c r="Q690" s="43">
        <v>2</v>
      </c>
      <c r="R690" s="43">
        <v>2</v>
      </c>
      <c r="S690" s="45"/>
      <c r="T690" t="b">
        <f>(S689+S690+S691)=S3</f>
        <v>0</v>
      </c>
      <c r="X690" s="1">
        <f t="shared" si="61"/>
        <v>0</v>
      </c>
      <c r="Y690" s="48">
        <v>0</v>
      </c>
      <c r="AA690" s="1">
        <v>1</v>
      </c>
      <c r="AB690" s="1" t="s">
        <v>12</v>
      </c>
      <c r="AC690" s="1" t="s">
        <v>18</v>
      </c>
      <c r="AD690" s="1">
        <v>20</v>
      </c>
      <c r="AE690" s="1">
        <v>18</v>
      </c>
      <c r="AF690" s="1">
        <v>0.76</v>
      </c>
      <c r="AG690" s="1">
        <v>0.81</v>
      </c>
      <c r="AH690" s="1">
        <v>0</v>
      </c>
      <c r="AI690" s="1">
        <v>0</v>
      </c>
      <c r="AJ690" s="1">
        <f t="shared" si="56"/>
        <v>0</v>
      </c>
      <c r="AK690" s="1">
        <f>D69</f>
        <v>0</v>
      </c>
      <c r="AL690" s="1">
        <f>D75</f>
        <v>0</v>
      </c>
      <c r="AM690" s="1">
        <f t="shared" si="57"/>
        <v>0</v>
      </c>
      <c r="AN690" s="1">
        <f t="shared" si="58"/>
        <v>0</v>
      </c>
      <c r="AO690" s="1">
        <f t="shared" si="59"/>
        <v>0</v>
      </c>
      <c r="AP690" t="b" cm="1">
        <f t="array" ref="AP690">INDEX($AU$8:$BB$25,6*(R690-1)+MATCH(AB690,$AS$8:$AS$13,0),MATCH(O690,$AU$7:$BB$7,0))</f>
        <v>1</v>
      </c>
    </row>
    <row r="691" spans="15:42" ht="14.25" x14ac:dyDescent="0.45">
      <c r="O691" s="43" t="s">
        <v>34</v>
      </c>
      <c r="P691" s="43">
        <v>2</v>
      </c>
      <c r="Q691" s="43">
        <v>2</v>
      </c>
      <c r="R691" s="43">
        <v>3</v>
      </c>
      <c r="S691" s="45"/>
      <c r="T691" t="b">
        <f>(S689+S690+S691)=S3</f>
        <v>0</v>
      </c>
      <c r="X691" s="1">
        <f t="shared" si="61"/>
        <v>0</v>
      </c>
      <c r="Y691" s="48">
        <v>0</v>
      </c>
      <c r="AA691" s="1">
        <v>1</v>
      </c>
      <c r="AB691" s="1" t="s">
        <v>12</v>
      </c>
      <c r="AC691" s="1" t="s">
        <v>18</v>
      </c>
      <c r="AD691" s="1">
        <v>20</v>
      </c>
      <c r="AE691" s="1">
        <v>18</v>
      </c>
      <c r="AF691" s="1">
        <v>0.76</v>
      </c>
      <c r="AG691" s="1">
        <v>0.81</v>
      </c>
      <c r="AH691" s="1">
        <v>0</v>
      </c>
      <c r="AI691" s="1">
        <v>0</v>
      </c>
      <c r="AJ691" s="1">
        <f t="shared" si="56"/>
        <v>0</v>
      </c>
      <c r="AK691" s="1">
        <f>E69</f>
        <v>0</v>
      </c>
      <c r="AL691" s="1">
        <f>E75</f>
        <v>0</v>
      </c>
      <c r="AM691" s="1">
        <f t="shared" si="57"/>
        <v>0</v>
      </c>
      <c r="AN691" s="1">
        <f t="shared" si="58"/>
        <v>0</v>
      </c>
      <c r="AO691" s="1">
        <f t="shared" si="59"/>
        <v>0</v>
      </c>
      <c r="AP691" t="b" cm="1">
        <f t="array" ref="AP691">INDEX($AU$8:$BB$25,6*(R691-1)+MATCH(AB691,$AS$8:$AS$13,0),MATCH(O691,$AU$7:$BB$7,0))</f>
        <v>1</v>
      </c>
    </row>
    <row r="692" spans="15:42" ht="14.25" x14ac:dyDescent="0.45">
      <c r="O692" s="43" t="s">
        <v>34</v>
      </c>
      <c r="P692" s="43">
        <v>2</v>
      </c>
      <c r="Q692" s="43">
        <v>3</v>
      </c>
      <c r="R692" s="43">
        <v>1</v>
      </c>
      <c r="S692" s="45"/>
      <c r="T692" t="b">
        <f>(S692+S693+S694)=S3</f>
        <v>0</v>
      </c>
      <c r="X692" s="1">
        <f t="shared" si="61"/>
        <v>0</v>
      </c>
      <c r="Y692" s="48">
        <v>0</v>
      </c>
      <c r="AA692" s="1">
        <v>11</v>
      </c>
      <c r="AB692" s="1" t="s">
        <v>15</v>
      </c>
      <c r="AC692" s="1" t="s">
        <v>21</v>
      </c>
      <c r="AD692" s="1">
        <v>10</v>
      </c>
      <c r="AE692" s="1">
        <v>7</v>
      </c>
      <c r="AF692" s="1">
        <v>0.76</v>
      </c>
      <c r="AG692" s="1">
        <v>0.84</v>
      </c>
      <c r="AH692" s="1">
        <v>0</v>
      </c>
      <c r="AI692" s="1">
        <v>0</v>
      </c>
      <c r="AJ692" s="1">
        <f t="shared" si="56"/>
        <v>0</v>
      </c>
      <c r="AK692" s="1">
        <f>C72</f>
        <v>0</v>
      </c>
      <c r="AL692" s="1">
        <f>C78</f>
        <v>0</v>
      </c>
      <c r="AM692" s="1">
        <f t="shared" si="57"/>
        <v>0</v>
      </c>
      <c r="AN692" s="1">
        <f t="shared" si="58"/>
        <v>0</v>
      </c>
      <c r="AO692" s="1">
        <f t="shared" si="59"/>
        <v>0</v>
      </c>
      <c r="AP692" t="b" cm="1">
        <f t="array" ref="AP692">INDEX($AU$8:$BB$25,6*(R692-1)+MATCH(AB692,$AS$8:$AS$13,0),MATCH(O692,$AU$7:$BB$7,0))</f>
        <v>1</v>
      </c>
    </row>
    <row r="693" spans="15:42" ht="14.25" x14ac:dyDescent="0.45">
      <c r="O693" s="43" t="s">
        <v>34</v>
      </c>
      <c r="P693" s="43">
        <v>2</v>
      </c>
      <c r="Q693" s="43">
        <v>3</v>
      </c>
      <c r="R693" s="43">
        <v>2</v>
      </c>
      <c r="S693" s="45"/>
      <c r="T693" t="b">
        <f>(S692+S693+S694)=S3</f>
        <v>0</v>
      </c>
      <c r="X693" s="1">
        <f t="shared" si="61"/>
        <v>0</v>
      </c>
      <c r="Y693" s="48">
        <v>0</v>
      </c>
      <c r="AA693" s="1">
        <v>11</v>
      </c>
      <c r="AB693" s="1" t="s">
        <v>15</v>
      </c>
      <c r="AC693" s="1" t="s">
        <v>21</v>
      </c>
      <c r="AD693" s="1">
        <v>10</v>
      </c>
      <c r="AE693" s="1">
        <v>7</v>
      </c>
      <c r="AF693" s="1">
        <v>0.76</v>
      </c>
      <c r="AG693" s="1">
        <v>0.84</v>
      </c>
      <c r="AH693" s="1">
        <v>0</v>
      </c>
      <c r="AI693" s="1">
        <v>0</v>
      </c>
      <c r="AJ693" s="1">
        <f t="shared" si="56"/>
        <v>0</v>
      </c>
      <c r="AK693" s="1">
        <f>D72</f>
        <v>0</v>
      </c>
      <c r="AL693" s="1">
        <f>D78</f>
        <v>0</v>
      </c>
      <c r="AM693" s="1">
        <f t="shared" si="57"/>
        <v>0</v>
      </c>
      <c r="AN693" s="1">
        <f t="shared" si="58"/>
        <v>0</v>
      </c>
      <c r="AO693" s="1">
        <f t="shared" si="59"/>
        <v>0</v>
      </c>
      <c r="AP693" t="b" cm="1">
        <f t="array" ref="AP693">INDEX($AU$8:$BB$25,6*(R693-1)+MATCH(AB693,$AS$8:$AS$13,0),MATCH(O693,$AU$7:$BB$7,0))</f>
        <v>1</v>
      </c>
    </row>
    <row r="694" spans="15:42" ht="14.25" x14ac:dyDescent="0.45">
      <c r="O694" s="43" t="s">
        <v>34</v>
      </c>
      <c r="P694" s="43">
        <v>2</v>
      </c>
      <c r="Q694" s="43">
        <v>3</v>
      </c>
      <c r="R694" s="43">
        <v>3</v>
      </c>
      <c r="S694" s="45"/>
      <c r="T694" t="b">
        <f>(S692+S693+S694)=S3</f>
        <v>0</v>
      </c>
      <c r="X694" s="1">
        <f t="shared" si="61"/>
        <v>0</v>
      </c>
      <c r="Y694" s="48">
        <v>0</v>
      </c>
      <c r="AA694" s="1">
        <v>11</v>
      </c>
      <c r="AB694" s="1" t="s">
        <v>15</v>
      </c>
      <c r="AC694" s="1" t="s">
        <v>21</v>
      </c>
      <c r="AD694" s="1">
        <v>10</v>
      </c>
      <c r="AE694" s="1">
        <v>7</v>
      </c>
      <c r="AF694" s="1">
        <v>0.76</v>
      </c>
      <c r="AG694" s="1">
        <v>0.84</v>
      </c>
      <c r="AH694" s="1">
        <v>0</v>
      </c>
      <c r="AI694" s="1">
        <v>0</v>
      </c>
      <c r="AJ694" s="1">
        <f t="shared" si="56"/>
        <v>0</v>
      </c>
      <c r="AK694" s="1">
        <f>E72</f>
        <v>0</v>
      </c>
      <c r="AL694" s="1">
        <f>E78</f>
        <v>0</v>
      </c>
      <c r="AM694" s="1">
        <f t="shared" si="57"/>
        <v>0</v>
      </c>
      <c r="AN694" s="1">
        <f t="shared" si="58"/>
        <v>0</v>
      </c>
      <c r="AO694" s="1">
        <f t="shared" si="59"/>
        <v>0</v>
      </c>
      <c r="AP694" t="b" cm="1">
        <f t="array" ref="AP694">INDEX($AU$8:$BB$25,6*(R694-1)+MATCH(AB694,$AS$8:$AS$13,0),MATCH(O694,$AU$7:$BB$7,0))</f>
        <v>1</v>
      </c>
    </row>
    <row r="695" spans="15:42" ht="14.25" x14ac:dyDescent="0.45">
      <c r="O695" s="43" t="s">
        <v>34</v>
      </c>
      <c r="P695" s="43">
        <v>2</v>
      </c>
      <c r="Q695" s="43">
        <v>4</v>
      </c>
      <c r="R695" s="43">
        <v>1</v>
      </c>
      <c r="S695" s="45"/>
      <c r="T695" t="b">
        <f>(S695+S696+S697)=S3</f>
        <v>0</v>
      </c>
      <c r="X695" s="1">
        <f t="shared" si="61"/>
        <v>0</v>
      </c>
      <c r="Y695" s="48">
        <v>0</v>
      </c>
      <c r="AA695" s="1">
        <v>2</v>
      </c>
      <c r="AB695" s="1" t="s">
        <v>12</v>
      </c>
      <c r="AC695" s="1" t="s">
        <v>18</v>
      </c>
      <c r="AD695" s="1">
        <v>25</v>
      </c>
      <c r="AE695" s="1">
        <v>19</v>
      </c>
      <c r="AF695" s="1">
        <v>0.76</v>
      </c>
      <c r="AG695" s="1">
        <v>0.81</v>
      </c>
      <c r="AH695" s="1">
        <v>0</v>
      </c>
      <c r="AI695" s="1">
        <v>0</v>
      </c>
      <c r="AJ695" s="1">
        <f t="shared" si="56"/>
        <v>0</v>
      </c>
      <c r="AK695" s="1">
        <f>C69</f>
        <v>0</v>
      </c>
      <c r="AL695" s="1">
        <f>C75</f>
        <v>0</v>
      </c>
      <c r="AM695" s="1">
        <f t="shared" si="57"/>
        <v>0</v>
      </c>
      <c r="AN695" s="1">
        <f t="shared" si="58"/>
        <v>0</v>
      </c>
      <c r="AO695" s="1">
        <f t="shared" si="59"/>
        <v>0</v>
      </c>
      <c r="AP695" t="b" cm="1">
        <f t="array" ref="AP695">INDEX($AU$8:$BB$25,6*(R695-1)+MATCH(AB695,$AS$8:$AS$13,0),MATCH(O695,$AU$7:$BB$7,0))</f>
        <v>1</v>
      </c>
    </row>
    <row r="696" spans="15:42" ht="14.25" x14ac:dyDescent="0.45">
      <c r="O696" s="43" t="s">
        <v>34</v>
      </c>
      <c r="P696" s="43">
        <v>2</v>
      </c>
      <c r="Q696" s="43">
        <v>4</v>
      </c>
      <c r="R696" s="43">
        <v>2</v>
      </c>
      <c r="S696" s="45"/>
      <c r="T696" t="b">
        <f>(S695+S696+S697)=S3</f>
        <v>0</v>
      </c>
      <c r="X696" s="1">
        <f t="shared" si="61"/>
        <v>0</v>
      </c>
      <c r="Y696" s="48">
        <v>0</v>
      </c>
      <c r="AA696" s="1">
        <v>2</v>
      </c>
      <c r="AB696" s="1" t="s">
        <v>12</v>
      </c>
      <c r="AC696" s="1" t="s">
        <v>18</v>
      </c>
      <c r="AD696" s="1">
        <v>25</v>
      </c>
      <c r="AE696" s="1">
        <v>19</v>
      </c>
      <c r="AF696" s="1">
        <v>0.76</v>
      </c>
      <c r="AG696" s="1">
        <v>0.81</v>
      </c>
      <c r="AH696" s="1">
        <v>0</v>
      </c>
      <c r="AI696" s="1">
        <v>0</v>
      </c>
      <c r="AJ696" s="1">
        <f t="shared" si="56"/>
        <v>0</v>
      </c>
      <c r="AK696" s="1">
        <f>D69</f>
        <v>0</v>
      </c>
      <c r="AL696" s="1">
        <f>D75</f>
        <v>0</v>
      </c>
      <c r="AM696" s="1">
        <f t="shared" si="57"/>
        <v>0</v>
      </c>
      <c r="AN696" s="1">
        <f t="shared" si="58"/>
        <v>0</v>
      </c>
      <c r="AO696" s="1">
        <f t="shared" si="59"/>
        <v>0</v>
      </c>
      <c r="AP696" t="b" cm="1">
        <f t="array" ref="AP696">INDEX($AU$8:$BB$25,6*(R696-1)+MATCH(AB696,$AS$8:$AS$13,0),MATCH(O696,$AU$7:$BB$7,0))</f>
        <v>1</v>
      </c>
    </row>
    <row r="697" spans="15:42" ht="14.25" x14ac:dyDescent="0.45">
      <c r="O697" s="43" t="s">
        <v>34</v>
      </c>
      <c r="P697" s="43">
        <v>2</v>
      </c>
      <c r="Q697" s="43">
        <v>4</v>
      </c>
      <c r="R697" s="43">
        <v>3</v>
      </c>
      <c r="S697" s="45"/>
      <c r="T697" t="b">
        <f>(S695+S696+S697)=S3</f>
        <v>0</v>
      </c>
      <c r="X697" s="1">
        <f t="shared" si="61"/>
        <v>0</v>
      </c>
      <c r="Y697" s="48">
        <v>0</v>
      </c>
      <c r="AA697" s="1">
        <v>2</v>
      </c>
      <c r="AB697" s="1" t="s">
        <v>12</v>
      </c>
      <c r="AC697" s="1" t="s">
        <v>18</v>
      </c>
      <c r="AD697" s="1">
        <v>25</v>
      </c>
      <c r="AE697" s="1">
        <v>19</v>
      </c>
      <c r="AF697" s="1">
        <v>0.76</v>
      </c>
      <c r="AG697" s="1">
        <v>0.81</v>
      </c>
      <c r="AH697" s="1">
        <v>0</v>
      </c>
      <c r="AI697" s="1">
        <v>0</v>
      </c>
      <c r="AJ697" s="1">
        <f t="shared" si="56"/>
        <v>0</v>
      </c>
      <c r="AK697" s="1">
        <f>E69</f>
        <v>0</v>
      </c>
      <c r="AL697" s="1">
        <f>E75</f>
        <v>0</v>
      </c>
      <c r="AM697" s="1">
        <f t="shared" si="57"/>
        <v>0</v>
      </c>
      <c r="AN697" s="1">
        <f t="shared" si="58"/>
        <v>0</v>
      </c>
      <c r="AO697" s="1">
        <f t="shared" si="59"/>
        <v>0</v>
      </c>
      <c r="AP697" t="b" cm="1">
        <f t="array" ref="AP697">INDEX($AU$8:$BB$25,6*(R697-1)+MATCH(AB697,$AS$8:$AS$13,0),MATCH(O697,$AU$7:$BB$7,0))</f>
        <v>1</v>
      </c>
    </row>
    <row r="698" spans="15:42" ht="14.25" x14ac:dyDescent="0.45">
      <c r="O698" s="43" t="s">
        <v>34</v>
      </c>
      <c r="P698" s="43">
        <v>2</v>
      </c>
      <c r="Q698" s="43">
        <v>5</v>
      </c>
      <c r="R698" s="43">
        <v>1</v>
      </c>
      <c r="S698" s="45"/>
      <c r="T698" t="b">
        <f>(S698+S699+S700)=S3</f>
        <v>0</v>
      </c>
      <c r="X698" s="1">
        <f t="shared" si="61"/>
        <v>0</v>
      </c>
      <c r="Y698" s="48">
        <v>0</v>
      </c>
      <c r="AA698" s="1">
        <v>3</v>
      </c>
      <c r="AB698" s="1" t="s">
        <v>12</v>
      </c>
      <c r="AC698" s="1" t="s">
        <v>18</v>
      </c>
      <c r="AD698" s="1">
        <v>15</v>
      </c>
      <c r="AE698" s="1">
        <v>11</v>
      </c>
      <c r="AF698" s="1">
        <v>0.76</v>
      </c>
      <c r="AG698" s="1">
        <v>0.81</v>
      </c>
      <c r="AH698" s="1">
        <v>0</v>
      </c>
      <c r="AI698" s="1">
        <v>0</v>
      </c>
      <c r="AJ698" s="1">
        <f t="shared" si="56"/>
        <v>0</v>
      </c>
      <c r="AK698" s="1">
        <f>C69</f>
        <v>0</v>
      </c>
      <c r="AL698" s="1">
        <f>C75</f>
        <v>0</v>
      </c>
      <c r="AM698" s="1">
        <f t="shared" si="57"/>
        <v>0</v>
      </c>
      <c r="AN698" s="1">
        <f t="shared" si="58"/>
        <v>0</v>
      </c>
      <c r="AO698" s="1">
        <f t="shared" si="59"/>
        <v>0</v>
      </c>
      <c r="AP698" t="b" cm="1">
        <f t="array" ref="AP698">INDEX($AU$8:$BB$25,6*(R698-1)+MATCH(AB698,$AS$8:$AS$13,0),MATCH(O698,$AU$7:$BB$7,0))</f>
        <v>1</v>
      </c>
    </row>
    <row r="699" spans="15:42" ht="14.25" x14ac:dyDescent="0.45">
      <c r="O699" s="43" t="s">
        <v>34</v>
      </c>
      <c r="P699" s="43">
        <v>2</v>
      </c>
      <c r="Q699" s="43">
        <v>5</v>
      </c>
      <c r="R699" s="43">
        <v>2</v>
      </c>
      <c r="S699" s="45"/>
      <c r="T699" t="b">
        <f>(S698+S699+S700)=S3</f>
        <v>0</v>
      </c>
      <c r="X699" s="1">
        <f t="shared" si="61"/>
        <v>0</v>
      </c>
      <c r="Y699" s="48">
        <v>0</v>
      </c>
      <c r="AA699" s="1">
        <v>3</v>
      </c>
      <c r="AB699" s="1" t="s">
        <v>12</v>
      </c>
      <c r="AC699" s="1" t="s">
        <v>18</v>
      </c>
      <c r="AD699" s="1">
        <v>15</v>
      </c>
      <c r="AE699" s="1">
        <v>11</v>
      </c>
      <c r="AF699" s="1">
        <v>0.76</v>
      </c>
      <c r="AG699" s="1">
        <v>0.81</v>
      </c>
      <c r="AH699" s="1">
        <v>0</v>
      </c>
      <c r="AI699" s="1">
        <v>0</v>
      </c>
      <c r="AJ699" s="1">
        <f t="shared" si="56"/>
        <v>0</v>
      </c>
      <c r="AK699" s="1">
        <f>D69</f>
        <v>0</v>
      </c>
      <c r="AL699" s="1">
        <f>D75</f>
        <v>0</v>
      </c>
      <c r="AM699" s="1">
        <f t="shared" si="57"/>
        <v>0</v>
      </c>
      <c r="AN699" s="1">
        <f t="shared" si="58"/>
        <v>0</v>
      </c>
      <c r="AO699" s="1">
        <f t="shared" si="59"/>
        <v>0</v>
      </c>
      <c r="AP699" t="b" cm="1">
        <f t="array" ref="AP699">INDEX($AU$8:$BB$25,6*(R699-1)+MATCH(AB699,$AS$8:$AS$13,0),MATCH(O699,$AU$7:$BB$7,0))</f>
        <v>1</v>
      </c>
    </row>
    <row r="700" spans="15:42" ht="14.25" x14ac:dyDescent="0.45">
      <c r="O700" s="43" t="s">
        <v>34</v>
      </c>
      <c r="P700" s="43">
        <v>2</v>
      </c>
      <c r="Q700" s="43">
        <v>5</v>
      </c>
      <c r="R700" s="43">
        <v>3</v>
      </c>
      <c r="S700" s="45"/>
      <c r="T700" t="b">
        <f>(S698+S699+S700)=S3</f>
        <v>0</v>
      </c>
      <c r="X700" s="1">
        <f t="shared" si="61"/>
        <v>0</v>
      </c>
      <c r="Y700" s="48">
        <v>0</v>
      </c>
      <c r="AA700" s="1">
        <v>3</v>
      </c>
      <c r="AB700" s="1" t="s">
        <v>12</v>
      </c>
      <c r="AC700" s="1" t="s">
        <v>18</v>
      </c>
      <c r="AD700" s="1">
        <v>15</v>
      </c>
      <c r="AE700" s="1">
        <v>11</v>
      </c>
      <c r="AF700" s="1">
        <v>0.76</v>
      </c>
      <c r="AG700" s="1">
        <v>0.81</v>
      </c>
      <c r="AH700" s="1">
        <v>0</v>
      </c>
      <c r="AI700" s="1">
        <v>0</v>
      </c>
      <c r="AJ700" s="1">
        <f t="shared" si="56"/>
        <v>0</v>
      </c>
      <c r="AK700" s="1">
        <f>E69</f>
        <v>0</v>
      </c>
      <c r="AL700" s="1">
        <f>E75</f>
        <v>0</v>
      </c>
      <c r="AM700" s="1">
        <f t="shared" si="57"/>
        <v>0</v>
      </c>
      <c r="AN700" s="1">
        <f t="shared" si="58"/>
        <v>0</v>
      </c>
      <c r="AO700" s="1">
        <f t="shared" si="59"/>
        <v>0</v>
      </c>
      <c r="AP700" t="b" cm="1">
        <f t="array" ref="AP700">INDEX($AU$8:$BB$25,6*(R700-1)+MATCH(AB700,$AS$8:$AS$13,0),MATCH(O700,$AU$7:$BB$7,0))</f>
        <v>1</v>
      </c>
    </row>
    <row r="701" spans="15:42" ht="14.25" x14ac:dyDescent="0.45">
      <c r="O701" s="43" t="s">
        <v>34</v>
      </c>
      <c r="P701" s="43">
        <v>2</v>
      </c>
      <c r="Q701" s="43">
        <v>6</v>
      </c>
      <c r="R701" s="43">
        <v>1</v>
      </c>
      <c r="S701" s="45"/>
      <c r="T701" t="b">
        <f>(S701+S702+S703)=S3</f>
        <v>0</v>
      </c>
      <c r="X701" s="1">
        <f t="shared" si="61"/>
        <v>0</v>
      </c>
      <c r="Y701" s="48">
        <v>0</v>
      </c>
      <c r="AA701" s="1">
        <v>5</v>
      </c>
      <c r="AB701" s="1" t="s">
        <v>16</v>
      </c>
      <c r="AC701" s="1" t="s">
        <v>22</v>
      </c>
      <c r="AD701" s="1">
        <v>16</v>
      </c>
      <c r="AE701" s="1">
        <v>14</v>
      </c>
      <c r="AF701" s="1">
        <v>0.8</v>
      </c>
      <c r="AG701" s="1">
        <v>0.9</v>
      </c>
      <c r="AH701" s="1">
        <v>0</v>
      </c>
      <c r="AI701" s="1">
        <v>0</v>
      </c>
      <c r="AJ701" s="1">
        <f t="shared" si="56"/>
        <v>0</v>
      </c>
      <c r="AK701" s="1">
        <f>C73</f>
        <v>0</v>
      </c>
      <c r="AL701" s="1">
        <f>C79</f>
        <v>0</v>
      </c>
      <c r="AM701" s="1">
        <f t="shared" si="57"/>
        <v>0</v>
      </c>
      <c r="AN701" s="1">
        <f t="shared" si="58"/>
        <v>0</v>
      </c>
      <c r="AO701" s="1">
        <f t="shared" si="59"/>
        <v>0</v>
      </c>
      <c r="AP701" t="b" cm="1">
        <f t="array" ref="AP701">INDEX($AU$8:$BB$25,6*(R701-1)+MATCH(AB701,$AS$8:$AS$13,0),MATCH(O701,$AU$7:$BB$7,0))</f>
        <v>1</v>
      </c>
    </row>
    <row r="702" spans="15:42" ht="14.25" x14ac:dyDescent="0.45">
      <c r="O702" s="43" t="s">
        <v>34</v>
      </c>
      <c r="P702" s="43">
        <v>2</v>
      </c>
      <c r="Q702" s="43">
        <v>6</v>
      </c>
      <c r="R702" s="43">
        <v>2</v>
      </c>
      <c r="S702" s="45"/>
      <c r="T702" t="b">
        <f>(S701+S702+S703)=S3</f>
        <v>0</v>
      </c>
      <c r="X702" s="1">
        <f t="shared" si="61"/>
        <v>0</v>
      </c>
      <c r="Y702" s="48">
        <v>0</v>
      </c>
      <c r="AA702" s="1">
        <v>5</v>
      </c>
      <c r="AB702" s="1" t="s">
        <v>16</v>
      </c>
      <c r="AC702" s="1" t="s">
        <v>22</v>
      </c>
      <c r="AD702" s="1">
        <v>16</v>
      </c>
      <c r="AE702" s="1">
        <v>14</v>
      </c>
      <c r="AF702" s="1">
        <v>0.8</v>
      </c>
      <c r="AG702" s="1">
        <v>0.9</v>
      </c>
      <c r="AH702" s="1">
        <v>0</v>
      </c>
      <c r="AI702" s="1">
        <v>0</v>
      </c>
      <c r="AJ702" s="1">
        <f t="shared" si="56"/>
        <v>0</v>
      </c>
      <c r="AK702" s="1">
        <f>D73</f>
        <v>0</v>
      </c>
      <c r="AL702" s="1">
        <f>D79</f>
        <v>0</v>
      </c>
      <c r="AM702" s="1">
        <f t="shared" si="57"/>
        <v>0</v>
      </c>
      <c r="AN702" s="1">
        <f t="shared" si="58"/>
        <v>0</v>
      </c>
      <c r="AO702" s="1">
        <f t="shared" si="59"/>
        <v>0</v>
      </c>
      <c r="AP702" t="b" cm="1">
        <f t="array" ref="AP702">INDEX($AU$8:$BB$25,6*(R702-1)+MATCH(AB702,$AS$8:$AS$13,0),MATCH(O702,$AU$7:$BB$7,0))</f>
        <v>1</v>
      </c>
    </row>
    <row r="703" spans="15:42" ht="14.25" x14ac:dyDescent="0.45">
      <c r="O703" s="43" t="s">
        <v>34</v>
      </c>
      <c r="P703" s="43">
        <v>2</v>
      </c>
      <c r="Q703" s="43">
        <v>6</v>
      </c>
      <c r="R703" s="43">
        <v>3</v>
      </c>
      <c r="S703" s="45"/>
      <c r="T703" t="b">
        <f>(S701+S702+S703)=S3</f>
        <v>0</v>
      </c>
      <c r="X703" s="1">
        <f t="shared" si="61"/>
        <v>0</v>
      </c>
      <c r="Y703" s="48">
        <v>0</v>
      </c>
      <c r="AA703" s="1">
        <v>5</v>
      </c>
      <c r="AB703" s="1" t="s">
        <v>16</v>
      </c>
      <c r="AC703" s="1" t="s">
        <v>22</v>
      </c>
      <c r="AD703" s="1">
        <v>16</v>
      </c>
      <c r="AE703" s="1">
        <v>14</v>
      </c>
      <c r="AF703" s="1">
        <v>0.8</v>
      </c>
      <c r="AG703" s="1">
        <v>0.9</v>
      </c>
      <c r="AH703" s="1">
        <v>0</v>
      </c>
      <c r="AI703" s="1">
        <v>0</v>
      </c>
      <c r="AJ703" s="1">
        <f t="shared" si="56"/>
        <v>0</v>
      </c>
      <c r="AK703" s="1">
        <f>E73</f>
        <v>0</v>
      </c>
      <c r="AL703" s="1">
        <f>E79</f>
        <v>0</v>
      </c>
      <c r="AM703" s="1">
        <f t="shared" si="57"/>
        <v>0</v>
      </c>
      <c r="AN703" s="1">
        <f t="shared" si="58"/>
        <v>0</v>
      </c>
      <c r="AO703" s="1">
        <f t="shared" si="59"/>
        <v>0</v>
      </c>
      <c r="AP703" t="b" cm="1">
        <f t="array" ref="AP703">INDEX($AU$8:$BB$25,6*(R703-1)+MATCH(AB703,$AS$8:$AS$13,0),MATCH(O703,$AU$7:$BB$7,0))</f>
        <v>1</v>
      </c>
    </row>
    <row r="704" spans="15:42" ht="14.25" x14ac:dyDescent="0.45">
      <c r="O704" s="43" t="s">
        <v>34</v>
      </c>
      <c r="P704" s="43">
        <v>2</v>
      </c>
      <c r="Q704" s="43">
        <v>7</v>
      </c>
      <c r="R704" s="43">
        <v>1</v>
      </c>
      <c r="S704" s="45"/>
      <c r="T704" t="b">
        <f>(S704+S705+S706)=S3</f>
        <v>0</v>
      </c>
      <c r="X704" s="1">
        <f t="shared" si="61"/>
        <v>0</v>
      </c>
      <c r="Y704" s="48">
        <v>0</v>
      </c>
      <c r="AA704" s="1">
        <v>4</v>
      </c>
      <c r="AB704" s="1" t="s">
        <v>16</v>
      </c>
      <c r="AC704" s="1" t="s">
        <v>22</v>
      </c>
      <c r="AD704" s="1">
        <v>17</v>
      </c>
      <c r="AE704" s="1">
        <v>15</v>
      </c>
      <c r="AF704" s="1">
        <v>0.8</v>
      </c>
      <c r="AG704" s="1">
        <v>0.9</v>
      </c>
      <c r="AH704" s="1">
        <v>0</v>
      </c>
      <c r="AI704" s="1">
        <v>0</v>
      </c>
      <c r="AJ704" s="1">
        <f t="shared" si="56"/>
        <v>0</v>
      </c>
      <c r="AK704" s="1">
        <f>C73</f>
        <v>0</v>
      </c>
      <c r="AL704" s="1">
        <f>C79</f>
        <v>0</v>
      </c>
      <c r="AM704" s="1">
        <f t="shared" si="57"/>
        <v>0</v>
      </c>
      <c r="AN704" s="1">
        <f t="shared" si="58"/>
        <v>0</v>
      </c>
      <c r="AO704" s="1">
        <f t="shared" si="59"/>
        <v>0</v>
      </c>
      <c r="AP704" t="b" cm="1">
        <f t="array" ref="AP704">INDEX($AU$8:$BB$25,6*(R704-1)+MATCH(AB704,$AS$8:$AS$13,0),MATCH(O704,$AU$7:$BB$7,0))</f>
        <v>1</v>
      </c>
    </row>
    <row r="705" spans="15:42" ht="14.25" x14ac:dyDescent="0.45">
      <c r="O705" s="43" t="s">
        <v>34</v>
      </c>
      <c r="P705" s="43">
        <v>2</v>
      </c>
      <c r="Q705" s="43">
        <v>7</v>
      </c>
      <c r="R705" s="43">
        <v>2</v>
      </c>
      <c r="S705" s="45"/>
      <c r="T705" t="b">
        <f>(S704+S705+S706)=S3</f>
        <v>0</v>
      </c>
      <c r="X705" s="1">
        <f t="shared" si="61"/>
        <v>0</v>
      </c>
      <c r="Y705" s="48">
        <v>0</v>
      </c>
      <c r="AA705" s="1">
        <v>4</v>
      </c>
      <c r="AB705" s="1" t="s">
        <v>16</v>
      </c>
      <c r="AC705" s="1" t="s">
        <v>22</v>
      </c>
      <c r="AD705" s="1">
        <v>17</v>
      </c>
      <c r="AE705" s="1">
        <v>15</v>
      </c>
      <c r="AF705" s="1">
        <v>0.8</v>
      </c>
      <c r="AG705" s="1">
        <v>0.9</v>
      </c>
      <c r="AH705" s="1">
        <v>0</v>
      </c>
      <c r="AI705" s="1">
        <v>0</v>
      </c>
      <c r="AJ705" s="1">
        <f t="shared" si="56"/>
        <v>0</v>
      </c>
      <c r="AK705" s="1">
        <f>D73</f>
        <v>0</v>
      </c>
      <c r="AL705" s="1">
        <f>D79</f>
        <v>0</v>
      </c>
      <c r="AM705" s="1">
        <f t="shared" si="57"/>
        <v>0</v>
      </c>
      <c r="AN705" s="1">
        <f t="shared" si="58"/>
        <v>0</v>
      </c>
      <c r="AO705" s="1">
        <f t="shared" si="59"/>
        <v>0</v>
      </c>
      <c r="AP705" t="b" cm="1">
        <f t="array" ref="AP705">INDEX($AU$8:$BB$25,6*(R705-1)+MATCH(AB705,$AS$8:$AS$13,0),MATCH(O705,$AU$7:$BB$7,0))</f>
        <v>1</v>
      </c>
    </row>
    <row r="706" spans="15:42" ht="14.25" x14ac:dyDescent="0.45">
      <c r="O706" s="43" t="s">
        <v>34</v>
      </c>
      <c r="P706" s="43">
        <v>2</v>
      </c>
      <c r="Q706" s="43">
        <v>7</v>
      </c>
      <c r="R706" s="43">
        <v>3</v>
      </c>
      <c r="S706" s="45"/>
      <c r="T706" t="b">
        <f>(S704+S705+S706)=S3</f>
        <v>0</v>
      </c>
      <c r="X706" s="1">
        <f t="shared" si="61"/>
        <v>0</v>
      </c>
      <c r="Y706" s="48">
        <v>0</v>
      </c>
      <c r="AA706" s="1">
        <v>4</v>
      </c>
      <c r="AB706" s="1" t="s">
        <v>16</v>
      </c>
      <c r="AC706" s="1" t="s">
        <v>22</v>
      </c>
      <c r="AD706" s="1">
        <v>17</v>
      </c>
      <c r="AE706" s="1">
        <v>15</v>
      </c>
      <c r="AF706" s="1">
        <v>0.8</v>
      </c>
      <c r="AG706" s="1">
        <v>0.9</v>
      </c>
      <c r="AH706" s="1">
        <v>0</v>
      </c>
      <c r="AI706" s="1">
        <v>0</v>
      </c>
      <c r="AJ706" s="1">
        <f t="shared" si="56"/>
        <v>0</v>
      </c>
      <c r="AK706" s="1">
        <f>E73</f>
        <v>0</v>
      </c>
      <c r="AL706" s="1">
        <f>E79</f>
        <v>0</v>
      </c>
      <c r="AM706" s="1">
        <f t="shared" si="57"/>
        <v>0</v>
      </c>
      <c r="AN706" s="1">
        <f t="shared" si="58"/>
        <v>0</v>
      </c>
      <c r="AO706" s="1">
        <f t="shared" si="59"/>
        <v>0</v>
      </c>
      <c r="AP706" t="b" cm="1">
        <f t="array" ref="AP706">INDEX($AU$8:$BB$25,6*(R706-1)+MATCH(AB706,$AS$8:$AS$13,0),MATCH(O706,$AU$7:$BB$7,0))</f>
        <v>1</v>
      </c>
    </row>
    <row r="707" spans="15:42" ht="14.25" x14ac:dyDescent="0.45">
      <c r="O707" s="43" t="s">
        <v>34</v>
      </c>
      <c r="P707" s="43">
        <v>2</v>
      </c>
      <c r="Q707" s="43">
        <v>8</v>
      </c>
      <c r="R707" s="43">
        <v>1</v>
      </c>
      <c r="S707" s="45"/>
      <c r="T707" t="b">
        <f>(S707+S708+S709)=S3</f>
        <v>0</v>
      </c>
      <c r="X707" s="1">
        <f t="shared" si="61"/>
        <v>0</v>
      </c>
      <c r="Y707" s="48">
        <v>0</v>
      </c>
      <c r="AA707" s="1">
        <v>4</v>
      </c>
      <c r="AB707" s="1" t="s">
        <v>12</v>
      </c>
      <c r="AC707" s="1" t="s">
        <v>18</v>
      </c>
      <c r="AD707" s="1">
        <v>22</v>
      </c>
      <c r="AE707" s="1">
        <v>16</v>
      </c>
      <c r="AF707" s="1">
        <v>0.76</v>
      </c>
      <c r="AG707" s="1">
        <v>0.81</v>
      </c>
      <c r="AH707" s="1">
        <v>0</v>
      </c>
      <c r="AI707" s="1">
        <v>0</v>
      </c>
      <c r="AJ707" s="1">
        <f t="shared" si="56"/>
        <v>0</v>
      </c>
      <c r="AK707" s="1">
        <f>C69</f>
        <v>0</v>
      </c>
      <c r="AL707" s="1">
        <f>C75</f>
        <v>0</v>
      </c>
      <c r="AM707" s="1">
        <f t="shared" si="57"/>
        <v>0</v>
      </c>
      <c r="AN707" s="1">
        <f t="shared" si="58"/>
        <v>0</v>
      </c>
      <c r="AO707" s="1">
        <f t="shared" si="59"/>
        <v>0</v>
      </c>
      <c r="AP707" t="b" cm="1">
        <f t="array" ref="AP707">INDEX($AU$8:$BB$25,6*(R707-1)+MATCH(AB707,$AS$8:$AS$13,0),MATCH(O707,$AU$7:$BB$7,0))</f>
        <v>1</v>
      </c>
    </row>
    <row r="708" spans="15:42" ht="14.25" x14ac:dyDescent="0.45">
      <c r="O708" s="43" t="s">
        <v>34</v>
      </c>
      <c r="P708" s="43">
        <v>2</v>
      </c>
      <c r="Q708" s="43">
        <v>8</v>
      </c>
      <c r="R708" s="43">
        <v>2</v>
      </c>
      <c r="S708" s="45"/>
      <c r="T708" t="b">
        <f>(S707+S708+S709)=S3</f>
        <v>0</v>
      </c>
      <c r="X708" s="1">
        <f t="shared" si="61"/>
        <v>0</v>
      </c>
      <c r="Y708" s="48">
        <v>0</v>
      </c>
      <c r="AA708" s="1">
        <v>4</v>
      </c>
      <c r="AB708" s="1" t="s">
        <v>12</v>
      </c>
      <c r="AC708" s="1" t="s">
        <v>18</v>
      </c>
      <c r="AD708" s="1">
        <v>22</v>
      </c>
      <c r="AE708" s="1">
        <v>16</v>
      </c>
      <c r="AF708" s="1">
        <v>0.76</v>
      </c>
      <c r="AG708" s="1">
        <v>0.81</v>
      </c>
      <c r="AH708" s="1">
        <v>0</v>
      </c>
      <c r="AI708" s="1">
        <v>0</v>
      </c>
      <c r="AJ708" s="1">
        <f t="shared" si="56"/>
        <v>0</v>
      </c>
      <c r="AK708" s="1">
        <f>D69</f>
        <v>0</v>
      </c>
      <c r="AL708" s="1">
        <f>D75</f>
        <v>0</v>
      </c>
      <c r="AM708" s="1">
        <f t="shared" si="57"/>
        <v>0</v>
      </c>
      <c r="AN708" s="1">
        <f t="shared" si="58"/>
        <v>0</v>
      </c>
      <c r="AO708" s="1">
        <f t="shared" si="59"/>
        <v>0</v>
      </c>
      <c r="AP708" t="b" cm="1">
        <f t="array" ref="AP708">INDEX($AU$8:$BB$25,6*(R708-1)+MATCH(AB708,$AS$8:$AS$13,0),MATCH(O708,$AU$7:$BB$7,0))</f>
        <v>1</v>
      </c>
    </row>
    <row r="709" spans="15:42" ht="14.25" x14ac:dyDescent="0.45">
      <c r="O709" s="43" t="s">
        <v>34</v>
      </c>
      <c r="P709" s="43">
        <v>2</v>
      </c>
      <c r="Q709" s="43">
        <v>8</v>
      </c>
      <c r="R709" s="43">
        <v>3</v>
      </c>
      <c r="S709" s="45"/>
      <c r="T709" t="b">
        <f>(S707+S708+S709)=S3</f>
        <v>0</v>
      </c>
      <c r="X709" s="1">
        <f t="shared" si="61"/>
        <v>0</v>
      </c>
      <c r="Y709" s="48">
        <v>0</v>
      </c>
      <c r="AA709" s="1">
        <v>4</v>
      </c>
      <c r="AB709" s="1" t="s">
        <v>12</v>
      </c>
      <c r="AC709" s="1" t="s">
        <v>18</v>
      </c>
      <c r="AD709" s="1">
        <v>22</v>
      </c>
      <c r="AE709" s="1">
        <v>16</v>
      </c>
      <c r="AF709" s="1">
        <v>0.76</v>
      </c>
      <c r="AG709" s="1">
        <v>0.81</v>
      </c>
      <c r="AH709" s="1">
        <v>0</v>
      </c>
      <c r="AI709" s="1">
        <v>0</v>
      </c>
      <c r="AJ709" s="1">
        <f t="shared" si="56"/>
        <v>0</v>
      </c>
      <c r="AK709" s="1">
        <f>E69</f>
        <v>0</v>
      </c>
      <c r="AL709" s="1">
        <f>E75</f>
        <v>0</v>
      </c>
      <c r="AM709" s="1">
        <f t="shared" si="57"/>
        <v>0</v>
      </c>
      <c r="AN709" s="1">
        <f t="shared" si="58"/>
        <v>0</v>
      </c>
      <c r="AO709" s="1">
        <f t="shared" si="59"/>
        <v>0</v>
      </c>
      <c r="AP709" t="b" cm="1">
        <f t="array" ref="AP709">INDEX($AU$8:$BB$25,6*(R709-1)+MATCH(AB709,$AS$8:$AS$13,0),MATCH(O709,$AU$7:$BB$7,0))</f>
        <v>1</v>
      </c>
    </row>
    <row r="710" spans="15:42" ht="14.25" x14ac:dyDescent="0.45">
      <c r="O710" s="43" t="s">
        <v>34</v>
      </c>
      <c r="P710" s="43">
        <v>2</v>
      </c>
      <c r="Q710" s="43">
        <v>9</v>
      </c>
      <c r="R710" s="43">
        <v>1</v>
      </c>
      <c r="S710" s="45"/>
      <c r="T710" t="b">
        <f>(S710+S711+S712)=S3</f>
        <v>0</v>
      </c>
      <c r="X710" s="1">
        <f t="shared" si="61"/>
        <v>0</v>
      </c>
      <c r="Y710" s="48">
        <v>0</v>
      </c>
      <c r="AA710" s="1">
        <v>4</v>
      </c>
      <c r="AB710" s="1" t="s">
        <v>15</v>
      </c>
      <c r="AC710" s="1" t="s">
        <v>21</v>
      </c>
      <c r="AD710" s="1">
        <v>7</v>
      </c>
      <c r="AE710" s="1">
        <v>6</v>
      </c>
      <c r="AF710" s="1">
        <v>0.76</v>
      </c>
      <c r="AG710" s="1">
        <v>0.84</v>
      </c>
      <c r="AH710" s="1">
        <v>0</v>
      </c>
      <c r="AI710" s="1">
        <v>0</v>
      </c>
      <c r="AJ710" s="1">
        <f t="shared" si="56"/>
        <v>0</v>
      </c>
      <c r="AK710" s="1">
        <f>C72</f>
        <v>0</v>
      </c>
      <c r="AL710" s="1">
        <f>C78</f>
        <v>0</v>
      </c>
      <c r="AM710" s="1">
        <f t="shared" si="57"/>
        <v>0</v>
      </c>
      <c r="AN710" s="1">
        <f t="shared" si="58"/>
        <v>0</v>
      </c>
      <c r="AO710" s="1">
        <f t="shared" si="59"/>
        <v>0</v>
      </c>
      <c r="AP710" t="b" cm="1">
        <f t="array" ref="AP710">INDEX($AU$8:$BB$25,6*(R710-1)+MATCH(AB710,$AS$8:$AS$13,0),MATCH(O710,$AU$7:$BB$7,0))</f>
        <v>1</v>
      </c>
    </row>
    <row r="711" spans="15:42" ht="14.25" x14ac:dyDescent="0.45">
      <c r="O711" s="43" t="s">
        <v>34</v>
      </c>
      <c r="P711" s="43">
        <v>2</v>
      </c>
      <c r="Q711" s="43">
        <v>9</v>
      </c>
      <c r="R711" s="43">
        <v>2</v>
      </c>
      <c r="S711" s="45"/>
      <c r="T711" t="b">
        <f>(S710+S711+S712)=S3</f>
        <v>0</v>
      </c>
      <c r="X711" s="1">
        <f t="shared" si="61"/>
        <v>0</v>
      </c>
      <c r="Y711" s="48">
        <v>0</v>
      </c>
      <c r="AA711" s="1">
        <v>4</v>
      </c>
      <c r="AB711" s="1" t="s">
        <v>15</v>
      </c>
      <c r="AC711" s="1" t="s">
        <v>21</v>
      </c>
      <c r="AD711" s="1">
        <v>7</v>
      </c>
      <c r="AE711" s="1">
        <v>6</v>
      </c>
      <c r="AF711" s="1">
        <v>0.76</v>
      </c>
      <c r="AG711" s="1">
        <v>0.84</v>
      </c>
      <c r="AH711" s="1">
        <v>0</v>
      </c>
      <c r="AI711" s="1">
        <v>0</v>
      </c>
      <c r="AJ711" s="1">
        <f t="shared" si="56"/>
        <v>0</v>
      </c>
      <c r="AK711" s="1">
        <f>D72</f>
        <v>0</v>
      </c>
      <c r="AL711" s="1">
        <f>D78</f>
        <v>0</v>
      </c>
      <c r="AM711" s="1">
        <f t="shared" si="57"/>
        <v>0</v>
      </c>
      <c r="AN711" s="1">
        <f t="shared" si="58"/>
        <v>0</v>
      </c>
      <c r="AO711" s="1">
        <f t="shared" si="59"/>
        <v>0</v>
      </c>
      <c r="AP711" t="b" cm="1">
        <f t="array" ref="AP711">INDEX($AU$8:$BB$25,6*(R711-1)+MATCH(AB711,$AS$8:$AS$13,0),MATCH(O711,$AU$7:$BB$7,0))</f>
        <v>1</v>
      </c>
    </row>
    <row r="712" spans="15:42" ht="14.25" x14ac:dyDescent="0.45">
      <c r="O712" s="43" t="s">
        <v>34</v>
      </c>
      <c r="P712" s="43">
        <v>2</v>
      </c>
      <c r="Q712" s="43">
        <v>9</v>
      </c>
      <c r="R712" s="43">
        <v>3</v>
      </c>
      <c r="S712" s="45"/>
      <c r="T712" t="b">
        <f>(S710+S711+S712)=S3</f>
        <v>0</v>
      </c>
      <c r="X712" s="1">
        <f t="shared" si="61"/>
        <v>0</v>
      </c>
      <c r="Y712" s="48">
        <v>0</v>
      </c>
      <c r="AA712" s="1">
        <v>4</v>
      </c>
      <c r="AB712" s="1" t="s">
        <v>15</v>
      </c>
      <c r="AC712" s="1" t="s">
        <v>21</v>
      </c>
      <c r="AD712" s="1">
        <v>7</v>
      </c>
      <c r="AE712" s="1">
        <v>6</v>
      </c>
      <c r="AF712" s="1">
        <v>0.76</v>
      </c>
      <c r="AG712" s="1">
        <v>0.84</v>
      </c>
      <c r="AH712" s="1">
        <v>0</v>
      </c>
      <c r="AI712" s="1">
        <v>0</v>
      </c>
      <c r="AJ712" s="1">
        <f t="shared" si="56"/>
        <v>0</v>
      </c>
      <c r="AK712" s="1">
        <f>E72</f>
        <v>0</v>
      </c>
      <c r="AL712" s="1">
        <f>E78</f>
        <v>0</v>
      </c>
      <c r="AM712" s="1">
        <f t="shared" si="57"/>
        <v>0</v>
      </c>
      <c r="AN712" s="1">
        <f t="shared" si="58"/>
        <v>0</v>
      </c>
      <c r="AO712" s="1">
        <f t="shared" si="59"/>
        <v>0</v>
      </c>
      <c r="AP712" t="b" cm="1">
        <f t="array" ref="AP712">INDEX($AU$8:$BB$25,6*(R712-1)+MATCH(AB712,$AS$8:$AS$13,0),MATCH(O712,$AU$7:$BB$7,0))</f>
        <v>1</v>
      </c>
    </row>
    <row r="713" spans="15:42" ht="14.25" x14ac:dyDescent="0.45">
      <c r="O713" s="43" t="s">
        <v>34</v>
      </c>
      <c r="P713" s="43">
        <v>2</v>
      </c>
      <c r="Q713" s="43">
        <v>10</v>
      </c>
      <c r="R713" s="43">
        <v>1</v>
      </c>
      <c r="S713" s="45"/>
      <c r="T713" t="b">
        <f>(S713+S714+S715)=S3</f>
        <v>0</v>
      </c>
      <c r="X713" s="1">
        <f t="shared" si="61"/>
        <v>0</v>
      </c>
      <c r="Y713" s="48">
        <v>0</v>
      </c>
      <c r="AA713" s="1">
        <v>6</v>
      </c>
      <c r="AB713" s="1" t="s">
        <v>15</v>
      </c>
      <c r="AC713" s="1" t="s">
        <v>21</v>
      </c>
      <c r="AD713" s="1">
        <v>9</v>
      </c>
      <c r="AE713" s="1">
        <v>7</v>
      </c>
      <c r="AF713" s="1">
        <v>0.76</v>
      </c>
      <c r="AG713" s="1">
        <v>0.84</v>
      </c>
      <c r="AH713" s="1">
        <v>0</v>
      </c>
      <c r="AI713" s="1">
        <v>0</v>
      </c>
      <c r="AJ713" s="1">
        <f t="shared" ref="AJ713:AJ776" si="62">SUMIFS(AH$8:AH$1039,$O$8:$O$1039,O713,$AB$8:$AB$1039,AB713,$R$8:$R$1039,R713,$AA$8:$AA$1039,"&lt;="&amp;AA713)</f>
        <v>0</v>
      </c>
      <c r="AK713" s="1">
        <f>C72</f>
        <v>0</v>
      </c>
      <c r="AL713" s="1">
        <f>C78</f>
        <v>0</v>
      </c>
      <c r="AM713" s="1">
        <f t="shared" ref="AM713:AM776" si="63">MAX(0,AJ713-AK713)</f>
        <v>0</v>
      </c>
      <c r="AN713" s="1">
        <f t="shared" ref="AN713:AN776" si="64">IF(AM713=0,AH713,IF(AM713&gt;=AH713,0,AH713-AM713))</f>
        <v>0</v>
      </c>
      <c r="AO713" s="1">
        <f t="shared" ref="AO713:AO776" si="65">IF(AM713&gt;=AH713,AI713,AI713*AM713/AH713)</f>
        <v>0</v>
      </c>
      <c r="AP713" t="b" cm="1">
        <f t="array" ref="AP713">INDEX($AU$8:$BB$25,6*(R713-1)+MATCH(AB713,$AS$8:$AS$13,0),MATCH(O713,$AU$7:$BB$7,0))</f>
        <v>1</v>
      </c>
    </row>
    <row r="714" spans="15:42" ht="14.25" x14ac:dyDescent="0.45">
      <c r="O714" s="43" t="s">
        <v>34</v>
      </c>
      <c r="P714" s="43">
        <v>2</v>
      </c>
      <c r="Q714" s="43">
        <v>10</v>
      </c>
      <c r="R714" s="43">
        <v>2</v>
      </c>
      <c r="S714" s="45"/>
      <c r="T714" t="b">
        <f>(S713+S714+S715)=S3</f>
        <v>0</v>
      </c>
      <c r="X714" s="1">
        <f t="shared" si="61"/>
        <v>0</v>
      </c>
      <c r="Y714" s="48">
        <v>0</v>
      </c>
      <c r="AA714" s="1">
        <v>6</v>
      </c>
      <c r="AB714" s="1" t="s">
        <v>15</v>
      </c>
      <c r="AC714" s="1" t="s">
        <v>21</v>
      </c>
      <c r="AD714" s="1">
        <v>9</v>
      </c>
      <c r="AE714" s="1">
        <v>7</v>
      </c>
      <c r="AF714" s="1">
        <v>0.76</v>
      </c>
      <c r="AG714" s="1">
        <v>0.84</v>
      </c>
      <c r="AH714" s="1">
        <v>0</v>
      </c>
      <c r="AI714" s="1">
        <v>0</v>
      </c>
      <c r="AJ714" s="1">
        <f t="shared" si="62"/>
        <v>0</v>
      </c>
      <c r="AK714" s="1">
        <f>D72</f>
        <v>0</v>
      </c>
      <c r="AL714" s="1">
        <f>D78</f>
        <v>0</v>
      </c>
      <c r="AM714" s="1">
        <f t="shared" si="63"/>
        <v>0</v>
      </c>
      <c r="AN714" s="1">
        <f t="shared" si="64"/>
        <v>0</v>
      </c>
      <c r="AO714" s="1">
        <f t="shared" si="65"/>
        <v>0</v>
      </c>
      <c r="AP714" t="b" cm="1">
        <f t="array" ref="AP714">INDEX($AU$8:$BB$25,6*(R714-1)+MATCH(AB714,$AS$8:$AS$13,0),MATCH(O714,$AU$7:$BB$7,0))</f>
        <v>1</v>
      </c>
    </row>
    <row r="715" spans="15:42" ht="14.25" x14ac:dyDescent="0.45">
      <c r="O715" s="43" t="s">
        <v>34</v>
      </c>
      <c r="P715" s="43">
        <v>2</v>
      </c>
      <c r="Q715" s="43">
        <v>10</v>
      </c>
      <c r="R715" s="43">
        <v>3</v>
      </c>
      <c r="S715" s="45"/>
      <c r="T715" t="b">
        <f>(S713+S714+S715)=S3</f>
        <v>0</v>
      </c>
      <c r="X715" s="1">
        <f t="shared" si="61"/>
        <v>0</v>
      </c>
      <c r="Y715" s="48">
        <v>0</v>
      </c>
      <c r="AA715" s="1">
        <v>6</v>
      </c>
      <c r="AB715" s="1" t="s">
        <v>15</v>
      </c>
      <c r="AC715" s="1" t="s">
        <v>21</v>
      </c>
      <c r="AD715" s="1">
        <v>9</v>
      </c>
      <c r="AE715" s="1">
        <v>7</v>
      </c>
      <c r="AF715" s="1">
        <v>0.76</v>
      </c>
      <c r="AG715" s="1">
        <v>0.84</v>
      </c>
      <c r="AH715" s="1">
        <v>0</v>
      </c>
      <c r="AI715" s="1">
        <v>0</v>
      </c>
      <c r="AJ715" s="1">
        <f t="shared" si="62"/>
        <v>0</v>
      </c>
      <c r="AK715" s="1">
        <f>E72</f>
        <v>0</v>
      </c>
      <c r="AL715" s="1">
        <f>E78</f>
        <v>0</v>
      </c>
      <c r="AM715" s="1">
        <f t="shared" si="63"/>
        <v>0</v>
      </c>
      <c r="AN715" s="1">
        <f t="shared" si="64"/>
        <v>0</v>
      </c>
      <c r="AO715" s="1">
        <f t="shared" si="65"/>
        <v>0</v>
      </c>
      <c r="AP715" t="b" cm="1">
        <f t="array" ref="AP715">INDEX($AU$8:$BB$25,6*(R715-1)+MATCH(AB715,$AS$8:$AS$13,0),MATCH(O715,$AU$7:$BB$7,0))</f>
        <v>1</v>
      </c>
    </row>
    <row r="716" spans="15:42" ht="14.25" x14ac:dyDescent="0.45">
      <c r="O716" s="43" t="s">
        <v>34</v>
      </c>
      <c r="P716" s="43">
        <v>2</v>
      </c>
      <c r="Q716" s="43">
        <v>11</v>
      </c>
      <c r="R716" s="43">
        <v>1</v>
      </c>
      <c r="S716" s="45"/>
      <c r="T716" t="b">
        <f>(S716+S717+S718)=S3</f>
        <v>0</v>
      </c>
      <c r="X716" s="1">
        <f t="shared" si="61"/>
        <v>0</v>
      </c>
      <c r="Y716" s="48">
        <v>0</v>
      </c>
      <c r="AA716" s="1">
        <v>2</v>
      </c>
      <c r="AB716" s="1" t="s">
        <v>15</v>
      </c>
      <c r="AC716" s="1" t="s">
        <v>21</v>
      </c>
      <c r="AD716" s="1">
        <v>20</v>
      </c>
      <c r="AE716" s="1">
        <v>19</v>
      </c>
      <c r="AF716" s="1">
        <v>0.76</v>
      </c>
      <c r="AG716" s="1">
        <v>0.84</v>
      </c>
      <c r="AH716" s="1">
        <v>0</v>
      </c>
      <c r="AI716" s="1">
        <v>0</v>
      </c>
      <c r="AJ716" s="1">
        <f t="shared" si="62"/>
        <v>0</v>
      </c>
      <c r="AK716" s="1">
        <f>C72</f>
        <v>0</v>
      </c>
      <c r="AL716" s="1">
        <f>C78</f>
        <v>0</v>
      </c>
      <c r="AM716" s="1">
        <f t="shared" si="63"/>
        <v>0</v>
      </c>
      <c r="AN716" s="1">
        <f t="shared" si="64"/>
        <v>0</v>
      </c>
      <c r="AO716" s="1">
        <f t="shared" si="65"/>
        <v>0</v>
      </c>
      <c r="AP716" t="b" cm="1">
        <f t="array" ref="AP716">INDEX($AU$8:$BB$25,6*(R716-1)+MATCH(AB716,$AS$8:$AS$13,0),MATCH(O716,$AU$7:$BB$7,0))</f>
        <v>1</v>
      </c>
    </row>
    <row r="717" spans="15:42" ht="14.25" x14ac:dyDescent="0.45">
      <c r="O717" s="43" t="s">
        <v>34</v>
      </c>
      <c r="P717" s="43">
        <v>2</v>
      </c>
      <c r="Q717" s="43">
        <v>11</v>
      </c>
      <c r="R717" s="43">
        <v>2</v>
      </c>
      <c r="S717" s="45"/>
      <c r="T717" t="b">
        <f>(S716+S717+S718)=S3</f>
        <v>0</v>
      </c>
      <c r="X717" s="1">
        <f t="shared" si="61"/>
        <v>0</v>
      </c>
      <c r="Y717" s="48">
        <v>0</v>
      </c>
      <c r="AA717" s="1">
        <v>2</v>
      </c>
      <c r="AB717" s="1" t="s">
        <v>15</v>
      </c>
      <c r="AC717" s="1" t="s">
        <v>21</v>
      </c>
      <c r="AD717" s="1">
        <v>20</v>
      </c>
      <c r="AE717" s="1">
        <v>19</v>
      </c>
      <c r="AF717" s="1">
        <v>0.76</v>
      </c>
      <c r="AG717" s="1">
        <v>0.84</v>
      </c>
      <c r="AH717" s="1">
        <v>0</v>
      </c>
      <c r="AI717" s="1">
        <v>0</v>
      </c>
      <c r="AJ717" s="1">
        <f t="shared" si="62"/>
        <v>0</v>
      </c>
      <c r="AK717" s="1">
        <f>D72</f>
        <v>0</v>
      </c>
      <c r="AL717" s="1">
        <f>D78</f>
        <v>0</v>
      </c>
      <c r="AM717" s="1">
        <f t="shared" si="63"/>
        <v>0</v>
      </c>
      <c r="AN717" s="1">
        <f t="shared" si="64"/>
        <v>0</v>
      </c>
      <c r="AO717" s="1">
        <f t="shared" si="65"/>
        <v>0</v>
      </c>
      <c r="AP717" t="b" cm="1">
        <f t="array" ref="AP717">INDEX($AU$8:$BB$25,6*(R717-1)+MATCH(AB717,$AS$8:$AS$13,0),MATCH(O717,$AU$7:$BB$7,0))</f>
        <v>1</v>
      </c>
    </row>
    <row r="718" spans="15:42" ht="14.25" x14ac:dyDescent="0.45">
      <c r="O718" s="43" t="s">
        <v>34</v>
      </c>
      <c r="P718" s="43">
        <v>2</v>
      </c>
      <c r="Q718" s="43">
        <v>11</v>
      </c>
      <c r="R718" s="43">
        <v>3</v>
      </c>
      <c r="S718" s="45"/>
      <c r="T718" t="b">
        <f>(S716+S717+S718)=S3</f>
        <v>0</v>
      </c>
      <c r="X718" s="1">
        <f t="shared" si="61"/>
        <v>0</v>
      </c>
      <c r="Y718" s="48">
        <v>0</v>
      </c>
      <c r="AA718" s="1">
        <v>2</v>
      </c>
      <c r="AB718" s="1" t="s">
        <v>15</v>
      </c>
      <c r="AC718" s="1" t="s">
        <v>21</v>
      </c>
      <c r="AD718" s="1">
        <v>20</v>
      </c>
      <c r="AE718" s="1">
        <v>19</v>
      </c>
      <c r="AF718" s="1">
        <v>0.76</v>
      </c>
      <c r="AG718" s="1">
        <v>0.84</v>
      </c>
      <c r="AH718" s="1">
        <v>0</v>
      </c>
      <c r="AI718" s="1">
        <v>0</v>
      </c>
      <c r="AJ718" s="1">
        <f t="shared" si="62"/>
        <v>0</v>
      </c>
      <c r="AK718" s="1">
        <f>E72</f>
        <v>0</v>
      </c>
      <c r="AL718" s="1">
        <f>E78</f>
        <v>0</v>
      </c>
      <c r="AM718" s="1">
        <f t="shared" si="63"/>
        <v>0</v>
      </c>
      <c r="AN718" s="1">
        <f t="shared" si="64"/>
        <v>0</v>
      </c>
      <c r="AO718" s="1">
        <f t="shared" si="65"/>
        <v>0</v>
      </c>
      <c r="AP718" t="b" cm="1">
        <f t="array" ref="AP718">INDEX($AU$8:$BB$25,6*(R718-1)+MATCH(AB718,$AS$8:$AS$13,0),MATCH(O718,$AU$7:$BB$7,0))</f>
        <v>1</v>
      </c>
    </row>
    <row r="719" spans="15:42" ht="14.25" x14ac:dyDescent="0.45">
      <c r="O719" s="43" t="s">
        <v>34</v>
      </c>
      <c r="P719" s="43">
        <v>2</v>
      </c>
      <c r="Q719" s="43">
        <v>12</v>
      </c>
      <c r="R719" s="43">
        <v>1</v>
      </c>
      <c r="S719" s="45"/>
      <c r="T719" t="b">
        <f>(S719+S720+S721)=S3</f>
        <v>0</v>
      </c>
      <c r="X719" s="1">
        <f t="shared" si="61"/>
        <v>0</v>
      </c>
      <c r="Y719" s="48">
        <v>0</v>
      </c>
      <c r="AA719" s="1">
        <v>7</v>
      </c>
      <c r="AB719" s="1" t="s">
        <v>16</v>
      </c>
      <c r="AC719" s="1" t="s">
        <v>22</v>
      </c>
      <c r="AD719" s="1">
        <v>21</v>
      </c>
      <c r="AE719" s="1">
        <v>18</v>
      </c>
      <c r="AF719" s="1">
        <v>0.8</v>
      </c>
      <c r="AG719" s="1">
        <v>0.9</v>
      </c>
      <c r="AH719" s="1">
        <v>0</v>
      </c>
      <c r="AI719" s="1">
        <v>0</v>
      </c>
      <c r="AJ719" s="1">
        <f t="shared" si="62"/>
        <v>0</v>
      </c>
      <c r="AK719" s="1">
        <f>C73</f>
        <v>0</v>
      </c>
      <c r="AL719" s="1">
        <f>C79</f>
        <v>0</v>
      </c>
      <c r="AM719" s="1">
        <f t="shared" si="63"/>
        <v>0</v>
      </c>
      <c r="AN719" s="1">
        <f t="shared" si="64"/>
        <v>0</v>
      </c>
      <c r="AO719" s="1">
        <f t="shared" si="65"/>
        <v>0</v>
      </c>
      <c r="AP719" t="b" cm="1">
        <f t="array" ref="AP719">INDEX($AU$8:$BB$25,6*(R719-1)+MATCH(AB719,$AS$8:$AS$13,0),MATCH(O719,$AU$7:$BB$7,0))</f>
        <v>1</v>
      </c>
    </row>
    <row r="720" spans="15:42" ht="14.25" x14ac:dyDescent="0.45">
      <c r="O720" s="43" t="s">
        <v>34</v>
      </c>
      <c r="P720" s="43">
        <v>2</v>
      </c>
      <c r="Q720" s="43">
        <v>12</v>
      </c>
      <c r="R720" s="43">
        <v>2</v>
      </c>
      <c r="S720" s="45"/>
      <c r="T720" t="b">
        <f>(S719+S720+S721)=S3</f>
        <v>0</v>
      </c>
      <c r="X720" s="1">
        <f t="shared" si="61"/>
        <v>0</v>
      </c>
      <c r="Y720" s="48">
        <v>0</v>
      </c>
      <c r="AA720" s="1">
        <v>7</v>
      </c>
      <c r="AB720" s="1" t="s">
        <v>16</v>
      </c>
      <c r="AC720" s="1" t="s">
        <v>22</v>
      </c>
      <c r="AD720" s="1">
        <v>21</v>
      </c>
      <c r="AE720" s="1">
        <v>18</v>
      </c>
      <c r="AF720" s="1">
        <v>0.8</v>
      </c>
      <c r="AG720" s="1">
        <v>0.9</v>
      </c>
      <c r="AH720" s="1">
        <v>0</v>
      </c>
      <c r="AI720" s="1">
        <v>0</v>
      </c>
      <c r="AJ720" s="1">
        <f t="shared" si="62"/>
        <v>0</v>
      </c>
      <c r="AK720" s="1">
        <f>D73</f>
        <v>0</v>
      </c>
      <c r="AL720" s="1">
        <f>D79</f>
        <v>0</v>
      </c>
      <c r="AM720" s="1">
        <f t="shared" si="63"/>
        <v>0</v>
      </c>
      <c r="AN720" s="1">
        <f t="shared" si="64"/>
        <v>0</v>
      </c>
      <c r="AO720" s="1">
        <f t="shared" si="65"/>
        <v>0</v>
      </c>
      <c r="AP720" t="b" cm="1">
        <f t="array" ref="AP720">INDEX($AU$8:$BB$25,6*(R720-1)+MATCH(AB720,$AS$8:$AS$13,0),MATCH(O720,$AU$7:$BB$7,0))</f>
        <v>1</v>
      </c>
    </row>
    <row r="721" spans="15:42" ht="14.25" x14ac:dyDescent="0.45">
      <c r="O721" s="43" t="s">
        <v>34</v>
      </c>
      <c r="P721" s="43">
        <v>2</v>
      </c>
      <c r="Q721" s="43">
        <v>12</v>
      </c>
      <c r="R721" s="43">
        <v>3</v>
      </c>
      <c r="S721" s="45"/>
      <c r="T721" t="b">
        <f>(S719+S720+S721)=S3</f>
        <v>0</v>
      </c>
      <c r="X721" s="1">
        <f t="shared" si="61"/>
        <v>0</v>
      </c>
      <c r="Y721" s="48">
        <v>0</v>
      </c>
      <c r="AA721" s="1">
        <v>7</v>
      </c>
      <c r="AB721" s="1" t="s">
        <v>16</v>
      </c>
      <c r="AC721" s="1" t="s">
        <v>22</v>
      </c>
      <c r="AD721" s="1">
        <v>21</v>
      </c>
      <c r="AE721" s="1">
        <v>18</v>
      </c>
      <c r="AF721" s="1">
        <v>0.8</v>
      </c>
      <c r="AG721" s="1">
        <v>0.9</v>
      </c>
      <c r="AH721" s="1">
        <v>0</v>
      </c>
      <c r="AI721" s="1">
        <v>0</v>
      </c>
      <c r="AJ721" s="1">
        <f t="shared" si="62"/>
        <v>0</v>
      </c>
      <c r="AK721" s="1">
        <f>E73</f>
        <v>0</v>
      </c>
      <c r="AL721" s="1">
        <f>E79</f>
        <v>0</v>
      </c>
      <c r="AM721" s="1">
        <f t="shared" si="63"/>
        <v>0</v>
      </c>
      <c r="AN721" s="1">
        <f t="shared" si="64"/>
        <v>0</v>
      </c>
      <c r="AO721" s="1">
        <f t="shared" si="65"/>
        <v>0</v>
      </c>
      <c r="AP721" t="b" cm="1">
        <f t="array" ref="AP721">INDEX($AU$8:$BB$25,6*(R721-1)+MATCH(AB721,$AS$8:$AS$13,0),MATCH(O721,$AU$7:$BB$7,0))</f>
        <v>1</v>
      </c>
    </row>
    <row r="722" spans="15:42" ht="14.25" x14ac:dyDescent="0.45">
      <c r="O722" s="43" t="s">
        <v>34</v>
      </c>
      <c r="P722" s="43">
        <v>2</v>
      </c>
      <c r="Q722" s="43">
        <v>13</v>
      </c>
      <c r="R722" s="43">
        <v>1</v>
      </c>
      <c r="S722" s="45"/>
      <c r="T722" t="b">
        <f>(S722+S723+S724)=S3</f>
        <v>0</v>
      </c>
      <c r="X722" s="1">
        <f t="shared" si="61"/>
        <v>0</v>
      </c>
      <c r="Y722" s="48">
        <v>0</v>
      </c>
      <c r="AA722" s="1">
        <v>8</v>
      </c>
      <c r="AB722" s="1" t="s">
        <v>15</v>
      </c>
      <c r="AC722" s="1" t="s">
        <v>21</v>
      </c>
      <c r="AD722" s="1">
        <v>12</v>
      </c>
      <c r="AE722" s="1">
        <v>9</v>
      </c>
      <c r="AF722" s="1">
        <v>0.76</v>
      </c>
      <c r="AG722" s="1">
        <v>0.84</v>
      </c>
      <c r="AH722" s="1">
        <v>0</v>
      </c>
      <c r="AI722" s="1">
        <v>0</v>
      </c>
      <c r="AJ722" s="1">
        <f t="shared" si="62"/>
        <v>0</v>
      </c>
      <c r="AK722" s="1">
        <f>C72</f>
        <v>0</v>
      </c>
      <c r="AL722" s="1">
        <f>C78</f>
        <v>0</v>
      </c>
      <c r="AM722" s="1">
        <f t="shared" si="63"/>
        <v>0</v>
      </c>
      <c r="AN722" s="1">
        <f t="shared" si="64"/>
        <v>0</v>
      </c>
      <c r="AO722" s="1">
        <f t="shared" si="65"/>
        <v>0</v>
      </c>
      <c r="AP722" t="b" cm="1">
        <f t="array" ref="AP722">INDEX($AU$8:$BB$25,6*(R722-1)+MATCH(AB722,$AS$8:$AS$13,0),MATCH(O722,$AU$7:$BB$7,0))</f>
        <v>1</v>
      </c>
    </row>
    <row r="723" spans="15:42" ht="14.25" x14ac:dyDescent="0.45">
      <c r="O723" s="43" t="s">
        <v>34</v>
      </c>
      <c r="P723" s="43">
        <v>2</v>
      </c>
      <c r="Q723" s="43">
        <v>13</v>
      </c>
      <c r="R723" s="43">
        <v>2</v>
      </c>
      <c r="S723" s="45"/>
      <c r="T723" t="b">
        <f>(S722+S723+S724)=S3</f>
        <v>0</v>
      </c>
      <c r="X723" s="1">
        <f t="shared" si="61"/>
        <v>0</v>
      </c>
      <c r="Y723" s="48">
        <v>0</v>
      </c>
      <c r="AA723" s="1">
        <v>8</v>
      </c>
      <c r="AB723" s="1" t="s">
        <v>15</v>
      </c>
      <c r="AC723" s="1" t="s">
        <v>21</v>
      </c>
      <c r="AD723" s="1">
        <v>12</v>
      </c>
      <c r="AE723" s="1">
        <v>9</v>
      </c>
      <c r="AF723" s="1">
        <v>0.76</v>
      </c>
      <c r="AG723" s="1">
        <v>0.84</v>
      </c>
      <c r="AH723" s="1">
        <v>0</v>
      </c>
      <c r="AI723" s="1">
        <v>0</v>
      </c>
      <c r="AJ723" s="1">
        <f t="shared" si="62"/>
        <v>0</v>
      </c>
      <c r="AK723" s="1">
        <f>D72</f>
        <v>0</v>
      </c>
      <c r="AL723" s="1">
        <f>D78</f>
        <v>0</v>
      </c>
      <c r="AM723" s="1">
        <f t="shared" si="63"/>
        <v>0</v>
      </c>
      <c r="AN723" s="1">
        <f t="shared" si="64"/>
        <v>0</v>
      </c>
      <c r="AO723" s="1">
        <f t="shared" si="65"/>
        <v>0</v>
      </c>
      <c r="AP723" t="b" cm="1">
        <f t="array" ref="AP723">INDEX($AU$8:$BB$25,6*(R723-1)+MATCH(AB723,$AS$8:$AS$13,0),MATCH(O723,$AU$7:$BB$7,0))</f>
        <v>1</v>
      </c>
    </row>
    <row r="724" spans="15:42" ht="14.25" x14ac:dyDescent="0.45">
      <c r="O724" s="43" t="s">
        <v>34</v>
      </c>
      <c r="P724" s="43">
        <v>2</v>
      </c>
      <c r="Q724" s="43">
        <v>13</v>
      </c>
      <c r="R724" s="43">
        <v>3</v>
      </c>
      <c r="S724" s="45"/>
      <c r="T724" t="b">
        <f>(S722+S723+S724)=S3</f>
        <v>0</v>
      </c>
      <c r="X724" s="1">
        <f t="shared" si="61"/>
        <v>0</v>
      </c>
      <c r="Y724" s="48">
        <v>0</v>
      </c>
      <c r="AA724" s="1">
        <v>8</v>
      </c>
      <c r="AB724" s="1" t="s">
        <v>15</v>
      </c>
      <c r="AC724" s="1" t="s">
        <v>21</v>
      </c>
      <c r="AD724" s="1">
        <v>12</v>
      </c>
      <c r="AE724" s="1">
        <v>9</v>
      </c>
      <c r="AF724" s="1">
        <v>0.76</v>
      </c>
      <c r="AG724" s="1">
        <v>0.84</v>
      </c>
      <c r="AH724" s="1">
        <v>0</v>
      </c>
      <c r="AI724" s="1">
        <v>0</v>
      </c>
      <c r="AJ724" s="1">
        <f t="shared" si="62"/>
        <v>0</v>
      </c>
      <c r="AK724" s="1">
        <f>E72</f>
        <v>0</v>
      </c>
      <c r="AL724" s="1">
        <f>E78</f>
        <v>0</v>
      </c>
      <c r="AM724" s="1">
        <f t="shared" si="63"/>
        <v>0</v>
      </c>
      <c r="AN724" s="1">
        <f t="shared" si="64"/>
        <v>0</v>
      </c>
      <c r="AO724" s="1">
        <f t="shared" si="65"/>
        <v>0</v>
      </c>
      <c r="AP724" t="b" cm="1">
        <f t="array" ref="AP724">INDEX($AU$8:$BB$25,6*(R724-1)+MATCH(AB724,$AS$8:$AS$13,0),MATCH(O724,$AU$7:$BB$7,0))</f>
        <v>1</v>
      </c>
    </row>
    <row r="725" spans="15:42" ht="14.25" x14ac:dyDescent="0.45">
      <c r="O725" s="43" t="s">
        <v>34</v>
      </c>
      <c r="P725" s="43">
        <v>2</v>
      </c>
      <c r="Q725" s="43">
        <v>14</v>
      </c>
      <c r="R725" s="43">
        <v>1</v>
      </c>
      <c r="S725" s="45"/>
      <c r="T725" t="b">
        <f>(S725+S726+S727)=S3</f>
        <v>0</v>
      </c>
      <c r="X725" s="1">
        <f t="shared" si="61"/>
        <v>0</v>
      </c>
      <c r="Y725" s="48">
        <v>0</v>
      </c>
      <c r="AA725" s="1">
        <v>5</v>
      </c>
      <c r="AB725" s="1" t="s">
        <v>15</v>
      </c>
      <c r="AC725" s="1" t="s">
        <v>21</v>
      </c>
      <c r="AD725" s="1">
        <v>15</v>
      </c>
      <c r="AE725" s="1">
        <v>12</v>
      </c>
      <c r="AF725" s="1">
        <v>0.76</v>
      </c>
      <c r="AG725" s="1">
        <v>0.84</v>
      </c>
      <c r="AH725" s="1">
        <v>0</v>
      </c>
      <c r="AI725" s="1">
        <v>0</v>
      </c>
      <c r="AJ725" s="1">
        <f t="shared" si="62"/>
        <v>0</v>
      </c>
      <c r="AK725" s="1">
        <f>C72</f>
        <v>0</v>
      </c>
      <c r="AL725" s="1">
        <f>C78</f>
        <v>0</v>
      </c>
      <c r="AM725" s="1">
        <f t="shared" si="63"/>
        <v>0</v>
      </c>
      <c r="AN725" s="1">
        <f t="shared" si="64"/>
        <v>0</v>
      </c>
      <c r="AO725" s="1">
        <f t="shared" si="65"/>
        <v>0</v>
      </c>
      <c r="AP725" t="b" cm="1">
        <f t="array" ref="AP725">INDEX($AU$8:$BB$25,6*(R725-1)+MATCH(AB725,$AS$8:$AS$13,0),MATCH(O725,$AU$7:$BB$7,0))</f>
        <v>1</v>
      </c>
    </row>
    <row r="726" spans="15:42" ht="14.25" x14ac:dyDescent="0.45">
      <c r="O726" s="43" t="s">
        <v>34</v>
      </c>
      <c r="P726" s="43">
        <v>2</v>
      </c>
      <c r="Q726" s="43">
        <v>14</v>
      </c>
      <c r="R726" s="43">
        <v>2</v>
      </c>
      <c r="S726" s="45"/>
      <c r="T726" t="b">
        <f>(S725+S726+S727)=S3</f>
        <v>0</v>
      </c>
      <c r="X726" s="1">
        <f t="shared" si="61"/>
        <v>0</v>
      </c>
      <c r="Y726" s="48">
        <v>0</v>
      </c>
      <c r="AA726" s="1">
        <v>5</v>
      </c>
      <c r="AB726" s="1" t="s">
        <v>15</v>
      </c>
      <c r="AC726" s="1" t="s">
        <v>21</v>
      </c>
      <c r="AD726" s="1">
        <v>15</v>
      </c>
      <c r="AE726" s="1">
        <v>12</v>
      </c>
      <c r="AF726" s="1">
        <v>0.76</v>
      </c>
      <c r="AG726" s="1">
        <v>0.84</v>
      </c>
      <c r="AH726" s="1">
        <v>0</v>
      </c>
      <c r="AI726" s="1">
        <v>0</v>
      </c>
      <c r="AJ726" s="1">
        <f t="shared" si="62"/>
        <v>0</v>
      </c>
      <c r="AK726" s="1">
        <f>D72</f>
        <v>0</v>
      </c>
      <c r="AL726" s="1">
        <f>D78</f>
        <v>0</v>
      </c>
      <c r="AM726" s="1">
        <f t="shared" si="63"/>
        <v>0</v>
      </c>
      <c r="AN726" s="1">
        <f t="shared" si="64"/>
        <v>0</v>
      </c>
      <c r="AO726" s="1">
        <f t="shared" si="65"/>
        <v>0</v>
      </c>
      <c r="AP726" t="b" cm="1">
        <f t="array" ref="AP726">INDEX($AU$8:$BB$25,6*(R726-1)+MATCH(AB726,$AS$8:$AS$13,0),MATCH(O726,$AU$7:$BB$7,0))</f>
        <v>1</v>
      </c>
    </row>
    <row r="727" spans="15:42" ht="14.25" x14ac:dyDescent="0.45">
      <c r="O727" s="43" t="s">
        <v>34</v>
      </c>
      <c r="P727" s="43">
        <v>2</v>
      </c>
      <c r="Q727" s="43">
        <v>14</v>
      </c>
      <c r="R727" s="43">
        <v>3</v>
      </c>
      <c r="S727" s="45"/>
      <c r="T727" t="b">
        <f>(S725+S726+S727)=S3</f>
        <v>0</v>
      </c>
      <c r="X727" s="1">
        <f t="shared" si="61"/>
        <v>0</v>
      </c>
      <c r="Y727" s="48">
        <v>0</v>
      </c>
      <c r="AA727" s="1">
        <v>5</v>
      </c>
      <c r="AB727" s="1" t="s">
        <v>15</v>
      </c>
      <c r="AC727" s="1" t="s">
        <v>21</v>
      </c>
      <c r="AD727" s="1">
        <v>15</v>
      </c>
      <c r="AE727" s="1">
        <v>12</v>
      </c>
      <c r="AF727" s="1">
        <v>0.76</v>
      </c>
      <c r="AG727" s="1">
        <v>0.84</v>
      </c>
      <c r="AH727" s="1">
        <v>0</v>
      </c>
      <c r="AI727" s="1">
        <v>0</v>
      </c>
      <c r="AJ727" s="1">
        <f t="shared" si="62"/>
        <v>0</v>
      </c>
      <c r="AK727" s="1">
        <f>E72</f>
        <v>0</v>
      </c>
      <c r="AL727" s="1">
        <f>E78</f>
        <v>0</v>
      </c>
      <c r="AM727" s="1">
        <f t="shared" si="63"/>
        <v>0</v>
      </c>
      <c r="AN727" s="1">
        <f t="shared" si="64"/>
        <v>0</v>
      </c>
      <c r="AO727" s="1">
        <f t="shared" si="65"/>
        <v>0</v>
      </c>
      <c r="AP727" t="b" cm="1">
        <f t="array" ref="AP727">INDEX($AU$8:$BB$25,6*(R727-1)+MATCH(AB727,$AS$8:$AS$13,0),MATCH(O727,$AU$7:$BB$7,0))</f>
        <v>1</v>
      </c>
    </row>
    <row r="728" spans="15:42" ht="14.25" x14ac:dyDescent="0.45">
      <c r="O728" s="43" t="s">
        <v>34</v>
      </c>
      <c r="P728" s="43">
        <v>2</v>
      </c>
      <c r="Q728" s="43">
        <v>15</v>
      </c>
      <c r="R728" s="43">
        <v>1</v>
      </c>
      <c r="S728" s="45"/>
      <c r="T728" t="b">
        <f>(S728+S729+S730)=S3</f>
        <v>0</v>
      </c>
      <c r="X728" s="1">
        <f t="shared" si="61"/>
        <v>0</v>
      </c>
      <c r="Y728" s="48">
        <v>0</v>
      </c>
      <c r="AA728" s="1">
        <v>7</v>
      </c>
      <c r="AB728" s="1" t="s">
        <v>15</v>
      </c>
      <c r="AC728" s="1" t="s">
        <v>21</v>
      </c>
      <c r="AD728" s="1">
        <v>13</v>
      </c>
      <c r="AE728" s="1">
        <v>10</v>
      </c>
      <c r="AF728" s="1">
        <v>0.76</v>
      </c>
      <c r="AG728" s="1">
        <v>0.84</v>
      </c>
      <c r="AH728" s="1">
        <v>0</v>
      </c>
      <c r="AI728" s="1">
        <v>0</v>
      </c>
      <c r="AJ728" s="1">
        <f t="shared" si="62"/>
        <v>0</v>
      </c>
      <c r="AK728" s="1">
        <f>C72</f>
        <v>0</v>
      </c>
      <c r="AL728" s="1">
        <f>C78</f>
        <v>0</v>
      </c>
      <c r="AM728" s="1">
        <f t="shared" si="63"/>
        <v>0</v>
      </c>
      <c r="AN728" s="1">
        <f t="shared" si="64"/>
        <v>0</v>
      </c>
      <c r="AO728" s="1">
        <f t="shared" si="65"/>
        <v>0</v>
      </c>
      <c r="AP728" t="b" cm="1">
        <f t="array" ref="AP728">INDEX($AU$8:$BB$25,6*(R728-1)+MATCH(AB728,$AS$8:$AS$13,0),MATCH(O728,$AU$7:$BB$7,0))</f>
        <v>1</v>
      </c>
    </row>
    <row r="729" spans="15:42" ht="14.25" x14ac:dyDescent="0.45">
      <c r="O729" s="43" t="s">
        <v>34</v>
      </c>
      <c r="P729" s="43">
        <v>2</v>
      </c>
      <c r="Q729" s="43">
        <v>15</v>
      </c>
      <c r="R729" s="43">
        <v>2</v>
      </c>
      <c r="S729" s="45"/>
      <c r="T729" t="b">
        <f>(S728+S729+S730)=S3</f>
        <v>0</v>
      </c>
      <c r="X729" s="1">
        <f t="shared" si="61"/>
        <v>0</v>
      </c>
      <c r="Y729" s="48">
        <v>0</v>
      </c>
      <c r="AA729" s="1">
        <v>7</v>
      </c>
      <c r="AB729" s="1" t="s">
        <v>15</v>
      </c>
      <c r="AC729" s="1" t="s">
        <v>21</v>
      </c>
      <c r="AD729" s="1">
        <v>13</v>
      </c>
      <c r="AE729" s="1">
        <v>10</v>
      </c>
      <c r="AF729" s="1">
        <v>0.76</v>
      </c>
      <c r="AG729" s="1">
        <v>0.84</v>
      </c>
      <c r="AH729" s="1">
        <v>0</v>
      </c>
      <c r="AI729" s="1">
        <v>0</v>
      </c>
      <c r="AJ729" s="1">
        <f t="shared" si="62"/>
        <v>0</v>
      </c>
      <c r="AK729" s="1">
        <f>D72</f>
        <v>0</v>
      </c>
      <c r="AL729" s="1">
        <f>D78</f>
        <v>0</v>
      </c>
      <c r="AM729" s="1">
        <f t="shared" si="63"/>
        <v>0</v>
      </c>
      <c r="AN729" s="1">
        <f t="shared" si="64"/>
        <v>0</v>
      </c>
      <c r="AO729" s="1">
        <f t="shared" si="65"/>
        <v>0</v>
      </c>
      <c r="AP729" t="b" cm="1">
        <f t="array" ref="AP729">INDEX($AU$8:$BB$25,6*(R729-1)+MATCH(AB729,$AS$8:$AS$13,0),MATCH(O729,$AU$7:$BB$7,0))</f>
        <v>1</v>
      </c>
    </row>
    <row r="730" spans="15:42" ht="14.25" x14ac:dyDescent="0.45">
      <c r="O730" s="43" t="s">
        <v>34</v>
      </c>
      <c r="P730" s="43">
        <v>2</v>
      </c>
      <c r="Q730" s="43">
        <v>15</v>
      </c>
      <c r="R730" s="43">
        <v>3</v>
      </c>
      <c r="S730" s="45"/>
      <c r="T730" t="b">
        <f>(S728+S729+S730)=S3</f>
        <v>0</v>
      </c>
      <c r="X730" s="1">
        <f t="shared" si="61"/>
        <v>0</v>
      </c>
      <c r="Y730" s="48">
        <v>0</v>
      </c>
      <c r="AA730" s="1">
        <v>7</v>
      </c>
      <c r="AB730" s="1" t="s">
        <v>15</v>
      </c>
      <c r="AC730" s="1" t="s">
        <v>21</v>
      </c>
      <c r="AD730" s="1">
        <v>13</v>
      </c>
      <c r="AE730" s="1">
        <v>10</v>
      </c>
      <c r="AF730" s="1">
        <v>0.76</v>
      </c>
      <c r="AG730" s="1">
        <v>0.84</v>
      </c>
      <c r="AH730" s="1">
        <v>0</v>
      </c>
      <c r="AI730" s="1">
        <v>0</v>
      </c>
      <c r="AJ730" s="1">
        <f t="shared" si="62"/>
        <v>0</v>
      </c>
      <c r="AK730" s="1">
        <f>E72</f>
        <v>0</v>
      </c>
      <c r="AL730" s="1">
        <f>E78</f>
        <v>0</v>
      </c>
      <c r="AM730" s="1">
        <f t="shared" si="63"/>
        <v>0</v>
      </c>
      <c r="AN730" s="1">
        <f t="shared" si="64"/>
        <v>0</v>
      </c>
      <c r="AO730" s="1">
        <f t="shared" si="65"/>
        <v>0</v>
      </c>
      <c r="AP730" t="b" cm="1">
        <f t="array" ref="AP730">INDEX($AU$8:$BB$25,6*(R730-1)+MATCH(AB730,$AS$8:$AS$13,0),MATCH(O730,$AU$7:$BB$7,0))</f>
        <v>1</v>
      </c>
    </row>
    <row r="731" spans="15:42" ht="14.25" x14ac:dyDescent="0.45">
      <c r="O731" s="43" t="s">
        <v>34</v>
      </c>
      <c r="P731" s="43">
        <v>3</v>
      </c>
      <c r="Q731" s="43">
        <v>1</v>
      </c>
      <c r="R731" s="43">
        <v>1</v>
      </c>
      <c r="S731" s="45"/>
      <c r="T731" t="b">
        <f>(S731+S732+S733)=S4</f>
        <v>0</v>
      </c>
      <c r="X731" s="1">
        <v>0</v>
      </c>
      <c r="Y731" s="48">
        <v>0</v>
      </c>
      <c r="AA731" s="1">
        <v>1</v>
      </c>
      <c r="AB731" s="1" t="s">
        <v>13</v>
      </c>
      <c r="AC731" s="1" t="s">
        <v>19</v>
      </c>
      <c r="AD731" s="1">
        <v>21</v>
      </c>
      <c r="AE731" s="1">
        <v>20</v>
      </c>
      <c r="AF731" s="1">
        <v>0.8</v>
      </c>
      <c r="AG731" s="1">
        <v>0.86</v>
      </c>
      <c r="AH731" s="1">
        <v>0</v>
      </c>
      <c r="AI731" s="1">
        <v>0</v>
      </c>
      <c r="AJ731" s="1">
        <f t="shared" si="62"/>
        <v>0</v>
      </c>
      <c r="AK731" s="1">
        <f>C70</f>
        <v>0</v>
      </c>
      <c r="AL731" s="1">
        <f>C76</f>
        <v>0</v>
      </c>
      <c r="AM731" s="1">
        <f t="shared" si="63"/>
        <v>0</v>
      </c>
      <c r="AN731" s="1">
        <f t="shared" si="64"/>
        <v>0</v>
      </c>
      <c r="AO731" s="1">
        <f t="shared" si="65"/>
        <v>0</v>
      </c>
      <c r="AP731" t="b" cm="1">
        <f t="array" ref="AP731">INDEX($AU$8:$BB$25,6*(R731-1)+MATCH(AB731,$AS$8:$AS$13,0),MATCH(O731,$AU$7:$BB$7,0))</f>
        <v>1</v>
      </c>
    </row>
    <row r="732" spans="15:42" ht="14.25" x14ac:dyDescent="0.45">
      <c r="O732" s="43" t="s">
        <v>34</v>
      </c>
      <c r="P732" s="43">
        <v>3</v>
      </c>
      <c r="Q732" s="43">
        <v>1</v>
      </c>
      <c r="R732" s="43">
        <v>2</v>
      </c>
      <c r="S732" s="45"/>
      <c r="T732" t="b">
        <f>(S731+S732+S733)=S4</f>
        <v>0</v>
      </c>
      <c r="X732" s="1">
        <v>0</v>
      </c>
      <c r="Y732" s="48">
        <v>0</v>
      </c>
      <c r="AA732" s="1">
        <v>1</v>
      </c>
      <c r="AB732" s="1" t="s">
        <v>13</v>
      </c>
      <c r="AC732" s="1" t="s">
        <v>19</v>
      </c>
      <c r="AD732" s="1">
        <v>21</v>
      </c>
      <c r="AE732" s="1">
        <v>20</v>
      </c>
      <c r="AF732" s="1">
        <v>0.8</v>
      </c>
      <c r="AG732" s="1">
        <v>0.86</v>
      </c>
      <c r="AH732" s="1">
        <v>0</v>
      </c>
      <c r="AI732" s="1">
        <v>0</v>
      </c>
      <c r="AJ732" s="1">
        <f t="shared" si="62"/>
        <v>0</v>
      </c>
      <c r="AK732" s="1">
        <f>D70</f>
        <v>0</v>
      </c>
      <c r="AL732" s="1">
        <f>D76</f>
        <v>0</v>
      </c>
      <c r="AM732" s="1">
        <f t="shared" si="63"/>
        <v>0</v>
      </c>
      <c r="AN732" s="1">
        <f t="shared" si="64"/>
        <v>0</v>
      </c>
      <c r="AO732" s="1">
        <f t="shared" si="65"/>
        <v>0</v>
      </c>
      <c r="AP732" t="b" cm="1">
        <f t="array" ref="AP732">INDEX($AU$8:$BB$25,6*(R732-1)+MATCH(AB732,$AS$8:$AS$13,0),MATCH(O732,$AU$7:$BB$7,0))</f>
        <v>1</v>
      </c>
    </row>
    <row r="733" spans="15:42" ht="14.25" x14ac:dyDescent="0.45">
      <c r="O733" s="43" t="s">
        <v>34</v>
      </c>
      <c r="P733" s="43">
        <v>3</v>
      </c>
      <c r="Q733" s="43">
        <v>1</v>
      </c>
      <c r="R733" s="43">
        <v>3</v>
      </c>
      <c r="S733" s="45"/>
      <c r="T733" t="b">
        <f>(S731+S732+S733)=S4</f>
        <v>0</v>
      </c>
      <c r="X733" s="1">
        <v>0</v>
      </c>
      <c r="Y733" s="48">
        <v>0</v>
      </c>
      <c r="AA733" s="1">
        <v>1</v>
      </c>
      <c r="AB733" s="1" t="s">
        <v>13</v>
      </c>
      <c r="AC733" s="1" t="s">
        <v>19</v>
      </c>
      <c r="AD733" s="1">
        <v>21</v>
      </c>
      <c r="AE733" s="1">
        <v>20</v>
      </c>
      <c r="AF733" s="1">
        <v>0.8</v>
      </c>
      <c r="AG733" s="1">
        <v>0.86</v>
      </c>
      <c r="AH733" s="1">
        <v>0</v>
      </c>
      <c r="AI733" s="1">
        <v>0</v>
      </c>
      <c r="AJ733" s="1">
        <f t="shared" si="62"/>
        <v>0</v>
      </c>
      <c r="AK733" s="1">
        <f>E70</f>
        <v>0</v>
      </c>
      <c r="AL733" s="1">
        <f>E76</f>
        <v>0</v>
      </c>
      <c r="AM733" s="1">
        <f t="shared" si="63"/>
        <v>0</v>
      </c>
      <c r="AN733" s="1">
        <f t="shared" si="64"/>
        <v>0</v>
      </c>
      <c r="AO733" s="1">
        <f t="shared" si="65"/>
        <v>0</v>
      </c>
      <c r="AP733" t="b" cm="1">
        <f t="array" ref="AP733">INDEX($AU$8:$BB$25,6*(R733-1)+MATCH(AB733,$AS$8:$AS$13,0),MATCH(O733,$AU$7:$BB$7,0))</f>
        <v>1</v>
      </c>
    </row>
    <row r="734" spans="15:42" ht="14.25" x14ac:dyDescent="0.45">
      <c r="O734" s="43" t="s">
        <v>34</v>
      </c>
      <c r="P734" s="43">
        <v>3</v>
      </c>
      <c r="Q734" s="43">
        <v>2</v>
      </c>
      <c r="R734" s="43">
        <v>1</v>
      </c>
      <c r="S734" s="45"/>
      <c r="T734" t="b">
        <f>(S734+S735+S736)=S4</f>
        <v>0</v>
      </c>
      <c r="X734" s="1">
        <f t="shared" ref="X734:X781" si="66">MAX(S731-S734,0)</f>
        <v>0</v>
      </c>
      <c r="Y734" s="48">
        <v>0</v>
      </c>
      <c r="AA734" s="1">
        <v>8</v>
      </c>
      <c r="AB734" s="1" t="s">
        <v>14</v>
      </c>
      <c r="AC734" s="1" t="s">
        <v>20</v>
      </c>
      <c r="AD734" s="1">
        <v>9</v>
      </c>
      <c r="AE734" s="1">
        <v>7</v>
      </c>
      <c r="AF734" s="1">
        <v>0.8</v>
      </c>
      <c r="AG734" s="1">
        <v>0.88</v>
      </c>
      <c r="AH734" s="1">
        <v>0</v>
      </c>
      <c r="AI734" s="1">
        <v>0</v>
      </c>
      <c r="AJ734" s="1">
        <f t="shared" si="62"/>
        <v>0</v>
      </c>
      <c r="AK734" s="1">
        <f>C71</f>
        <v>0</v>
      </c>
      <c r="AL734" s="1">
        <f>C77</f>
        <v>0</v>
      </c>
      <c r="AM734" s="1">
        <f t="shared" si="63"/>
        <v>0</v>
      </c>
      <c r="AN734" s="1">
        <f t="shared" si="64"/>
        <v>0</v>
      </c>
      <c r="AO734" s="1">
        <f t="shared" si="65"/>
        <v>0</v>
      </c>
      <c r="AP734" t="b" cm="1">
        <f t="array" ref="AP734">INDEX($AU$8:$BB$25,6*(R734-1)+MATCH(AB734,$AS$8:$AS$13,0),MATCH(O734,$AU$7:$BB$7,0))</f>
        <v>1</v>
      </c>
    </row>
    <row r="735" spans="15:42" ht="14.25" x14ac:dyDescent="0.45">
      <c r="O735" s="43" t="s">
        <v>34</v>
      </c>
      <c r="P735" s="43">
        <v>3</v>
      </c>
      <c r="Q735" s="43">
        <v>2</v>
      </c>
      <c r="R735" s="43">
        <v>2</v>
      </c>
      <c r="S735" s="45"/>
      <c r="T735" t="b">
        <f>(S734+S735+S736)=S4</f>
        <v>0</v>
      </c>
      <c r="X735" s="1">
        <f t="shared" si="66"/>
        <v>0</v>
      </c>
      <c r="Y735" s="48">
        <v>0</v>
      </c>
      <c r="AA735" s="1">
        <v>8</v>
      </c>
      <c r="AB735" s="1" t="s">
        <v>14</v>
      </c>
      <c r="AC735" s="1" t="s">
        <v>20</v>
      </c>
      <c r="AD735" s="1">
        <v>9</v>
      </c>
      <c r="AE735" s="1">
        <v>7</v>
      </c>
      <c r="AF735" s="1">
        <v>0.8</v>
      </c>
      <c r="AG735" s="1">
        <v>0.88</v>
      </c>
      <c r="AH735" s="1">
        <v>0</v>
      </c>
      <c r="AI735" s="1">
        <v>0</v>
      </c>
      <c r="AJ735" s="1">
        <f t="shared" si="62"/>
        <v>0</v>
      </c>
      <c r="AK735" s="1">
        <f>D71</f>
        <v>0</v>
      </c>
      <c r="AL735" s="1">
        <f>D77</f>
        <v>0</v>
      </c>
      <c r="AM735" s="1">
        <f t="shared" si="63"/>
        <v>0</v>
      </c>
      <c r="AN735" s="1">
        <f t="shared" si="64"/>
        <v>0</v>
      </c>
      <c r="AO735" s="1">
        <f t="shared" si="65"/>
        <v>0</v>
      </c>
      <c r="AP735" t="b" cm="1">
        <f t="array" ref="AP735">INDEX($AU$8:$BB$25,6*(R735-1)+MATCH(AB735,$AS$8:$AS$13,0),MATCH(O735,$AU$7:$BB$7,0))</f>
        <v>1</v>
      </c>
    </row>
    <row r="736" spans="15:42" ht="14.25" x14ac:dyDescent="0.45">
      <c r="O736" s="43" t="s">
        <v>34</v>
      </c>
      <c r="P736" s="43">
        <v>3</v>
      </c>
      <c r="Q736" s="43">
        <v>2</v>
      </c>
      <c r="R736" s="43">
        <v>3</v>
      </c>
      <c r="S736" s="45"/>
      <c r="T736" t="b">
        <f>(S734+S735+S736)=S4</f>
        <v>0</v>
      </c>
      <c r="X736" s="1">
        <f t="shared" si="66"/>
        <v>0</v>
      </c>
      <c r="Y736" s="48">
        <v>0</v>
      </c>
      <c r="AA736" s="1">
        <v>8</v>
      </c>
      <c r="AB736" s="1" t="s">
        <v>14</v>
      </c>
      <c r="AC736" s="1" t="s">
        <v>20</v>
      </c>
      <c r="AD736" s="1">
        <v>9</v>
      </c>
      <c r="AE736" s="1">
        <v>7</v>
      </c>
      <c r="AF736" s="1">
        <v>0.8</v>
      </c>
      <c r="AG736" s="1">
        <v>0.88</v>
      </c>
      <c r="AH736" s="1">
        <v>0</v>
      </c>
      <c r="AI736" s="1">
        <v>0</v>
      </c>
      <c r="AJ736" s="1">
        <f t="shared" si="62"/>
        <v>0</v>
      </c>
      <c r="AK736" s="1">
        <f>E71</f>
        <v>0</v>
      </c>
      <c r="AL736" s="1">
        <f>E77</f>
        <v>0</v>
      </c>
      <c r="AM736" s="1">
        <f t="shared" si="63"/>
        <v>0</v>
      </c>
      <c r="AN736" s="1">
        <f t="shared" si="64"/>
        <v>0</v>
      </c>
      <c r="AO736" s="1">
        <f t="shared" si="65"/>
        <v>0</v>
      </c>
      <c r="AP736" t="b" cm="1">
        <f t="array" ref="AP736">INDEX($AU$8:$BB$25,6*(R736-1)+MATCH(AB736,$AS$8:$AS$13,0),MATCH(O736,$AU$7:$BB$7,0))</f>
        <v>1</v>
      </c>
    </row>
    <row r="737" spans="15:42" ht="14.25" x14ac:dyDescent="0.45">
      <c r="O737" s="43" t="s">
        <v>34</v>
      </c>
      <c r="P737" s="43">
        <v>3</v>
      </c>
      <c r="Q737" s="43">
        <v>3</v>
      </c>
      <c r="R737" s="43">
        <v>1</v>
      </c>
      <c r="S737" s="45"/>
      <c r="T737" t="b">
        <f>(S737+S738+S739)=S4</f>
        <v>0</v>
      </c>
      <c r="X737" s="1">
        <f t="shared" si="66"/>
        <v>0</v>
      </c>
      <c r="Y737" s="48">
        <v>0</v>
      </c>
      <c r="AA737" s="1">
        <v>1</v>
      </c>
      <c r="AB737" s="1" t="s">
        <v>15</v>
      </c>
      <c r="AC737" s="1" t="s">
        <v>21</v>
      </c>
      <c r="AD737" s="1">
        <v>24</v>
      </c>
      <c r="AE737" s="1">
        <v>23</v>
      </c>
      <c r="AF737" s="1">
        <v>0.76</v>
      </c>
      <c r="AG737" s="1">
        <v>0.84</v>
      </c>
      <c r="AH737" s="1">
        <v>0</v>
      </c>
      <c r="AI737" s="1">
        <v>0</v>
      </c>
      <c r="AJ737" s="1">
        <f t="shared" si="62"/>
        <v>0</v>
      </c>
      <c r="AK737" s="1">
        <f>C72</f>
        <v>0</v>
      </c>
      <c r="AL737" s="1">
        <f>C78</f>
        <v>0</v>
      </c>
      <c r="AM737" s="1">
        <f t="shared" si="63"/>
        <v>0</v>
      </c>
      <c r="AN737" s="1">
        <f t="shared" si="64"/>
        <v>0</v>
      </c>
      <c r="AO737" s="1">
        <f t="shared" si="65"/>
        <v>0</v>
      </c>
      <c r="AP737" t="b" cm="1">
        <f t="array" ref="AP737">INDEX($AU$8:$BB$25,6*(R737-1)+MATCH(AB737,$AS$8:$AS$13,0),MATCH(O737,$AU$7:$BB$7,0))</f>
        <v>1</v>
      </c>
    </row>
    <row r="738" spans="15:42" ht="14.25" x14ac:dyDescent="0.45">
      <c r="O738" s="43" t="s">
        <v>34</v>
      </c>
      <c r="P738" s="43">
        <v>3</v>
      </c>
      <c r="Q738" s="43">
        <v>3</v>
      </c>
      <c r="R738" s="43">
        <v>2</v>
      </c>
      <c r="S738" s="45"/>
      <c r="T738" t="b">
        <f>(S737+S738+S739)=S4</f>
        <v>0</v>
      </c>
      <c r="X738" s="1">
        <f t="shared" si="66"/>
        <v>0</v>
      </c>
      <c r="Y738" s="48">
        <v>0</v>
      </c>
      <c r="AA738" s="1">
        <v>1</v>
      </c>
      <c r="AB738" s="1" t="s">
        <v>15</v>
      </c>
      <c r="AC738" s="1" t="s">
        <v>21</v>
      </c>
      <c r="AD738" s="1">
        <v>24</v>
      </c>
      <c r="AE738" s="1">
        <v>23</v>
      </c>
      <c r="AF738" s="1">
        <v>0.76</v>
      </c>
      <c r="AG738" s="1">
        <v>0.84</v>
      </c>
      <c r="AH738" s="1">
        <v>0</v>
      </c>
      <c r="AI738" s="1">
        <v>0</v>
      </c>
      <c r="AJ738" s="1">
        <f t="shared" si="62"/>
        <v>0</v>
      </c>
      <c r="AK738" s="1">
        <f>D72</f>
        <v>0</v>
      </c>
      <c r="AL738" s="1">
        <f>D78</f>
        <v>0</v>
      </c>
      <c r="AM738" s="1">
        <f t="shared" si="63"/>
        <v>0</v>
      </c>
      <c r="AN738" s="1">
        <f t="shared" si="64"/>
        <v>0</v>
      </c>
      <c r="AO738" s="1">
        <f t="shared" si="65"/>
        <v>0</v>
      </c>
      <c r="AP738" t="b" cm="1">
        <f t="array" ref="AP738">INDEX($AU$8:$BB$25,6*(R738-1)+MATCH(AB738,$AS$8:$AS$13,0),MATCH(O738,$AU$7:$BB$7,0))</f>
        <v>1</v>
      </c>
    </row>
    <row r="739" spans="15:42" ht="14.25" x14ac:dyDescent="0.45">
      <c r="O739" s="43" t="s">
        <v>34</v>
      </c>
      <c r="P739" s="43">
        <v>3</v>
      </c>
      <c r="Q739" s="43">
        <v>3</v>
      </c>
      <c r="R739" s="43">
        <v>3</v>
      </c>
      <c r="S739" s="45"/>
      <c r="T739" t="b">
        <f>(S737+S738+S739)=S4</f>
        <v>0</v>
      </c>
      <c r="X739" s="1">
        <f t="shared" si="66"/>
        <v>0</v>
      </c>
      <c r="Y739" s="48">
        <v>0</v>
      </c>
      <c r="AA739" s="1">
        <v>1</v>
      </c>
      <c r="AB739" s="1" t="s">
        <v>15</v>
      </c>
      <c r="AC739" s="1" t="s">
        <v>21</v>
      </c>
      <c r="AD739" s="1">
        <v>24</v>
      </c>
      <c r="AE739" s="1">
        <v>23</v>
      </c>
      <c r="AF739" s="1">
        <v>0.76</v>
      </c>
      <c r="AG739" s="1">
        <v>0.84</v>
      </c>
      <c r="AH739" s="1">
        <v>0</v>
      </c>
      <c r="AI739" s="1">
        <v>0</v>
      </c>
      <c r="AJ739" s="1">
        <f t="shared" si="62"/>
        <v>0</v>
      </c>
      <c r="AK739" s="1">
        <f>E72</f>
        <v>0</v>
      </c>
      <c r="AL739" s="1">
        <f>E78</f>
        <v>0</v>
      </c>
      <c r="AM739" s="1">
        <f t="shared" si="63"/>
        <v>0</v>
      </c>
      <c r="AN739" s="1">
        <f t="shared" si="64"/>
        <v>0</v>
      </c>
      <c r="AO739" s="1">
        <f t="shared" si="65"/>
        <v>0</v>
      </c>
      <c r="AP739" t="b" cm="1">
        <f t="array" ref="AP739">INDEX($AU$8:$BB$25,6*(R739-1)+MATCH(AB739,$AS$8:$AS$13,0),MATCH(O739,$AU$7:$BB$7,0))</f>
        <v>1</v>
      </c>
    </row>
    <row r="740" spans="15:42" ht="14.25" x14ac:dyDescent="0.45">
      <c r="O740" s="43" t="s">
        <v>34</v>
      </c>
      <c r="P740" s="43">
        <v>3</v>
      </c>
      <c r="Q740" s="43">
        <v>4</v>
      </c>
      <c r="R740" s="43">
        <v>1</v>
      </c>
      <c r="S740" s="45"/>
      <c r="T740" t="b">
        <f>(S740+S741+S742)=S4</f>
        <v>0</v>
      </c>
      <c r="X740" s="1">
        <f t="shared" si="66"/>
        <v>0</v>
      </c>
      <c r="Y740" s="48">
        <v>0</v>
      </c>
      <c r="AA740" s="1">
        <v>9</v>
      </c>
      <c r="AB740" s="1" t="s">
        <v>15</v>
      </c>
      <c r="AC740" s="1" t="s">
        <v>21</v>
      </c>
      <c r="AD740" s="1">
        <v>15</v>
      </c>
      <c r="AE740" s="1">
        <v>11</v>
      </c>
      <c r="AF740" s="1">
        <v>0.76</v>
      </c>
      <c r="AG740" s="1">
        <v>0.84</v>
      </c>
      <c r="AH740" s="1">
        <v>0</v>
      </c>
      <c r="AI740" s="1">
        <v>0</v>
      </c>
      <c r="AJ740" s="1">
        <f t="shared" si="62"/>
        <v>0</v>
      </c>
      <c r="AK740" s="1">
        <f>C72</f>
        <v>0</v>
      </c>
      <c r="AL740" s="1">
        <f>C78</f>
        <v>0</v>
      </c>
      <c r="AM740" s="1">
        <f t="shared" si="63"/>
        <v>0</v>
      </c>
      <c r="AN740" s="1">
        <f t="shared" si="64"/>
        <v>0</v>
      </c>
      <c r="AO740" s="1">
        <f t="shared" si="65"/>
        <v>0</v>
      </c>
      <c r="AP740" t="b" cm="1">
        <f t="array" ref="AP740">INDEX($AU$8:$BB$25,6*(R740-1)+MATCH(AB740,$AS$8:$AS$13,0),MATCH(O740,$AU$7:$BB$7,0))</f>
        <v>1</v>
      </c>
    </row>
    <row r="741" spans="15:42" ht="14.25" x14ac:dyDescent="0.45">
      <c r="O741" s="43" t="s">
        <v>34</v>
      </c>
      <c r="P741" s="43">
        <v>3</v>
      </c>
      <c r="Q741" s="43">
        <v>4</v>
      </c>
      <c r="R741" s="43">
        <v>2</v>
      </c>
      <c r="S741" s="45"/>
      <c r="T741" t="b">
        <f>(S740+S741+S742)=S4</f>
        <v>0</v>
      </c>
      <c r="X741" s="1">
        <f t="shared" si="66"/>
        <v>0</v>
      </c>
      <c r="Y741" s="48">
        <v>0</v>
      </c>
      <c r="AA741" s="1">
        <v>9</v>
      </c>
      <c r="AB741" s="1" t="s">
        <v>15</v>
      </c>
      <c r="AC741" s="1" t="s">
        <v>21</v>
      </c>
      <c r="AD741" s="1">
        <v>15</v>
      </c>
      <c r="AE741" s="1">
        <v>11</v>
      </c>
      <c r="AF741" s="1">
        <v>0.76</v>
      </c>
      <c r="AG741" s="1">
        <v>0.84</v>
      </c>
      <c r="AH741" s="1">
        <v>0</v>
      </c>
      <c r="AI741" s="1">
        <v>0</v>
      </c>
      <c r="AJ741" s="1">
        <f t="shared" si="62"/>
        <v>0</v>
      </c>
      <c r="AK741" s="1">
        <f>D72</f>
        <v>0</v>
      </c>
      <c r="AL741" s="1">
        <f>D78</f>
        <v>0</v>
      </c>
      <c r="AM741" s="1">
        <f t="shared" si="63"/>
        <v>0</v>
      </c>
      <c r="AN741" s="1">
        <f t="shared" si="64"/>
        <v>0</v>
      </c>
      <c r="AO741" s="1">
        <f t="shared" si="65"/>
        <v>0</v>
      </c>
      <c r="AP741" t="b" cm="1">
        <f t="array" ref="AP741">INDEX($AU$8:$BB$25,6*(R741-1)+MATCH(AB741,$AS$8:$AS$13,0),MATCH(O741,$AU$7:$BB$7,0))</f>
        <v>1</v>
      </c>
    </row>
    <row r="742" spans="15:42" ht="14.25" x14ac:dyDescent="0.45">
      <c r="O742" s="43" t="s">
        <v>34</v>
      </c>
      <c r="P742" s="43">
        <v>3</v>
      </c>
      <c r="Q742" s="43">
        <v>4</v>
      </c>
      <c r="R742" s="43">
        <v>3</v>
      </c>
      <c r="S742" s="45"/>
      <c r="T742" t="b">
        <f>(S740+S741+S742)=S4</f>
        <v>0</v>
      </c>
      <c r="X742" s="1">
        <f t="shared" si="66"/>
        <v>0</v>
      </c>
      <c r="Y742" s="48">
        <v>0</v>
      </c>
      <c r="AA742" s="1">
        <v>9</v>
      </c>
      <c r="AB742" s="1" t="s">
        <v>15</v>
      </c>
      <c r="AC742" s="1" t="s">
        <v>21</v>
      </c>
      <c r="AD742" s="1">
        <v>15</v>
      </c>
      <c r="AE742" s="1">
        <v>11</v>
      </c>
      <c r="AF742" s="1">
        <v>0.76</v>
      </c>
      <c r="AG742" s="1">
        <v>0.84</v>
      </c>
      <c r="AH742" s="1">
        <v>0</v>
      </c>
      <c r="AI742" s="1">
        <v>0</v>
      </c>
      <c r="AJ742" s="1">
        <f t="shared" si="62"/>
        <v>0</v>
      </c>
      <c r="AK742" s="1">
        <f>E72</f>
        <v>0</v>
      </c>
      <c r="AL742" s="1">
        <f>E78</f>
        <v>0</v>
      </c>
      <c r="AM742" s="1">
        <f t="shared" si="63"/>
        <v>0</v>
      </c>
      <c r="AN742" s="1">
        <f t="shared" si="64"/>
        <v>0</v>
      </c>
      <c r="AO742" s="1">
        <f t="shared" si="65"/>
        <v>0</v>
      </c>
      <c r="AP742" t="b" cm="1">
        <f t="array" ref="AP742">INDEX($AU$8:$BB$25,6*(R742-1)+MATCH(AB742,$AS$8:$AS$13,0),MATCH(O742,$AU$7:$BB$7,0))</f>
        <v>1</v>
      </c>
    </row>
    <row r="743" spans="15:42" ht="14.25" x14ac:dyDescent="0.45">
      <c r="O743" s="43" t="s">
        <v>34</v>
      </c>
      <c r="P743" s="43">
        <v>3</v>
      </c>
      <c r="Q743" s="43">
        <v>5</v>
      </c>
      <c r="R743" s="43">
        <v>1</v>
      </c>
      <c r="S743" s="45"/>
      <c r="T743" t="b">
        <f>(S743+S744+S745)=S4</f>
        <v>0</v>
      </c>
      <c r="X743" s="1">
        <f t="shared" si="66"/>
        <v>0</v>
      </c>
      <c r="Y743" s="48">
        <v>0</v>
      </c>
      <c r="AA743" s="1">
        <v>6</v>
      </c>
      <c r="AB743" s="1" t="s">
        <v>16</v>
      </c>
      <c r="AC743" s="1" t="s">
        <v>22</v>
      </c>
      <c r="AD743" s="1">
        <v>16</v>
      </c>
      <c r="AE743" s="1">
        <v>14</v>
      </c>
      <c r="AF743" s="1">
        <v>0.8</v>
      </c>
      <c r="AG743" s="1">
        <v>0.9</v>
      </c>
      <c r="AH743" s="1">
        <v>0</v>
      </c>
      <c r="AI743" s="1">
        <v>0</v>
      </c>
      <c r="AJ743" s="1">
        <f t="shared" si="62"/>
        <v>0</v>
      </c>
      <c r="AK743" s="1">
        <f>C73</f>
        <v>0</v>
      </c>
      <c r="AL743" s="1">
        <f>C79</f>
        <v>0</v>
      </c>
      <c r="AM743" s="1">
        <f t="shared" si="63"/>
        <v>0</v>
      </c>
      <c r="AN743" s="1">
        <f t="shared" si="64"/>
        <v>0</v>
      </c>
      <c r="AO743" s="1">
        <f t="shared" si="65"/>
        <v>0</v>
      </c>
      <c r="AP743" t="b" cm="1">
        <f t="array" ref="AP743">INDEX($AU$8:$BB$25,6*(R743-1)+MATCH(AB743,$AS$8:$AS$13,0),MATCH(O743,$AU$7:$BB$7,0))</f>
        <v>1</v>
      </c>
    </row>
    <row r="744" spans="15:42" ht="14.25" x14ac:dyDescent="0.45">
      <c r="O744" s="43" t="s">
        <v>34</v>
      </c>
      <c r="P744" s="43">
        <v>3</v>
      </c>
      <c r="Q744" s="43">
        <v>5</v>
      </c>
      <c r="R744" s="43">
        <v>2</v>
      </c>
      <c r="S744" s="45"/>
      <c r="T744" t="b">
        <f>(S743+S744+S745)=S4</f>
        <v>0</v>
      </c>
      <c r="X744" s="1">
        <f t="shared" si="66"/>
        <v>0</v>
      </c>
      <c r="Y744" s="48">
        <v>0</v>
      </c>
      <c r="AA744" s="1">
        <v>6</v>
      </c>
      <c r="AB744" s="1" t="s">
        <v>16</v>
      </c>
      <c r="AC744" s="1" t="s">
        <v>22</v>
      </c>
      <c r="AD744" s="1">
        <v>16</v>
      </c>
      <c r="AE744" s="1">
        <v>14</v>
      </c>
      <c r="AF744" s="1">
        <v>0.8</v>
      </c>
      <c r="AG744" s="1">
        <v>0.9</v>
      </c>
      <c r="AH744" s="1">
        <v>0</v>
      </c>
      <c r="AI744" s="1">
        <v>0</v>
      </c>
      <c r="AJ744" s="1">
        <f t="shared" si="62"/>
        <v>0</v>
      </c>
      <c r="AK744" s="1">
        <f>D73</f>
        <v>0</v>
      </c>
      <c r="AL744" s="1">
        <f>D79</f>
        <v>0</v>
      </c>
      <c r="AM744" s="1">
        <f t="shared" si="63"/>
        <v>0</v>
      </c>
      <c r="AN744" s="1">
        <f t="shared" si="64"/>
        <v>0</v>
      </c>
      <c r="AO744" s="1">
        <f t="shared" si="65"/>
        <v>0</v>
      </c>
      <c r="AP744" t="b" cm="1">
        <f t="array" ref="AP744">INDEX($AU$8:$BB$25,6*(R744-1)+MATCH(AB744,$AS$8:$AS$13,0),MATCH(O744,$AU$7:$BB$7,0))</f>
        <v>1</v>
      </c>
    </row>
    <row r="745" spans="15:42" ht="14.25" x14ac:dyDescent="0.45">
      <c r="O745" s="43" t="s">
        <v>34</v>
      </c>
      <c r="P745" s="43">
        <v>3</v>
      </c>
      <c r="Q745" s="43">
        <v>5</v>
      </c>
      <c r="R745" s="43">
        <v>3</v>
      </c>
      <c r="S745" s="45"/>
      <c r="T745" t="b">
        <f>(S743+S744+S745)=S4</f>
        <v>0</v>
      </c>
      <c r="X745" s="1">
        <f t="shared" si="66"/>
        <v>0</v>
      </c>
      <c r="Y745" s="48">
        <v>0</v>
      </c>
      <c r="AA745" s="1">
        <v>6</v>
      </c>
      <c r="AB745" s="1" t="s">
        <v>16</v>
      </c>
      <c r="AC745" s="1" t="s">
        <v>22</v>
      </c>
      <c r="AD745" s="1">
        <v>16</v>
      </c>
      <c r="AE745" s="1">
        <v>14</v>
      </c>
      <c r="AF745" s="1">
        <v>0.8</v>
      </c>
      <c r="AG745" s="1">
        <v>0.9</v>
      </c>
      <c r="AH745" s="1">
        <v>0</v>
      </c>
      <c r="AI745" s="1">
        <v>0</v>
      </c>
      <c r="AJ745" s="1">
        <f t="shared" si="62"/>
        <v>0</v>
      </c>
      <c r="AK745" s="1">
        <f>E73</f>
        <v>0</v>
      </c>
      <c r="AL745" s="1">
        <f>E79</f>
        <v>0</v>
      </c>
      <c r="AM745" s="1">
        <f t="shared" si="63"/>
        <v>0</v>
      </c>
      <c r="AN745" s="1">
        <f t="shared" si="64"/>
        <v>0</v>
      </c>
      <c r="AO745" s="1">
        <f t="shared" si="65"/>
        <v>0</v>
      </c>
      <c r="AP745" t="b" cm="1">
        <f t="array" ref="AP745">INDEX($AU$8:$BB$25,6*(R745-1)+MATCH(AB745,$AS$8:$AS$13,0),MATCH(O745,$AU$7:$BB$7,0))</f>
        <v>1</v>
      </c>
    </row>
    <row r="746" spans="15:42" ht="14.25" x14ac:dyDescent="0.45">
      <c r="O746" s="43" t="s">
        <v>34</v>
      </c>
      <c r="P746" s="43">
        <v>3</v>
      </c>
      <c r="Q746" s="43">
        <v>6</v>
      </c>
      <c r="R746" s="43">
        <v>1</v>
      </c>
      <c r="S746" s="45"/>
      <c r="T746" t="b">
        <f>(S746+S747+S748)=S4</f>
        <v>0</v>
      </c>
      <c r="X746" s="1">
        <f t="shared" si="66"/>
        <v>0</v>
      </c>
      <c r="Y746" s="48">
        <v>0</v>
      </c>
      <c r="AA746" s="1">
        <v>1</v>
      </c>
      <c r="AB746" s="1" t="s">
        <v>14</v>
      </c>
      <c r="AC746" s="1" t="s">
        <v>20</v>
      </c>
      <c r="AD746" s="1">
        <v>12</v>
      </c>
      <c r="AE746" s="1">
        <v>11</v>
      </c>
      <c r="AF746" s="1">
        <v>0.8</v>
      </c>
      <c r="AG746" s="1">
        <v>0.88</v>
      </c>
      <c r="AH746" s="1">
        <v>0</v>
      </c>
      <c r="AI746" s="1">
        <v>0</v>
      </c>
      <c r="AJ746" s="1">
        <f t="shared" si="62"/>
        <v>0</v>
      </c>
      <c r="AK746" s="1">
        <f>C71</f>
        <v>0</v>
      </c>
      <c r="AL746" s="1">
        <f>C77</f>
        <v>0</v>
      </c>
      <c r="AM746" s="1">
        <f t="shared" si="63"/>
        <v>0</v>
      </c>
      <c r="AN746" s="1">
        <f t="shared" si="64"/>
        <v>0</v>
      </c>
      <c r="AO746" s="1">
        <f t="shared" si="65"/>
        <v>0</v>
      </c>
      <c r="AP746" t="b" cm="1">
        <f t="array" ref="AP746">INDEX($AU$8:$BB$25,6*(R746-1)+MATCH(AB746,$AS$8:$AS$13,0),MATCH(O746,$AU$7:$BB$7,0))</f>
        <v>1</v>
      </c>
    </row>
    <row r="747" spans="15:42" ht="14.25" x14ac:dyDescent="0.45">
      <c r="O747" s="43" t="s">
        <v>34</v>
      </c>
      <c r="P747" s="43">
        <v>3</v>
      </c>
      <c r="Q747" s="43">
        <v>6</v>
      </c>
      <c r="R747" s="43">
        <v>2</v>
      </c>
      <c r="S747" s="45"/>
      <c r="T747" t="b">
        <f>(S746+S747+S748)=S4</f>
        <v>0</v>
      </c>
      <c r="X747" s="1">
        <f t="shared" si="66"/>
        <v>0</v>
      </c>
      <c r="Y747" s="48">
        <v>0</v>
      </c>
      <c r="AA747" s="1">
        <v>1</v>
      </c>
      <c r="AB747" s="1" t="s">
        <v>14</v>
      </c>
      <c r="AC747" s="1" t="s">
        <v>20</v>
      </c>
      <c r="AD747" s="1">
        <v>12</v>
      </c>
      <c r="AE747" s="1">
        <v>11</v>
      </c>
      <c r="AF747" s="1">
        <v>0.8</v>
      </c>
      <c r="AG747" s="1">
        <v>0.88</v>
      </c>
      <c r="AH747" s="1">
        <v>0</v>
      </c>
      <c r="AI747" s="1">
        <v>0</v>
      </c>
      <c r="AJ747" s="1">
        <f t="shared" si="62"/>
        <v>0</v>
      </c>
      <c r="AK747" s="1">
        <f>D71</f>
        <v>0</v>
      </c>
      <c r="AL747" s="1">
        <f>D77</f>
        <v>0</v>
      </c>
      <c r="AM747" s="1">
        <f t="shared" si="63"/>
        <v>0</v>
      </c>
      <c r="AN747" s="1">
        <f t="shared" si="64"/>
        <v>0</v>
      </c>
      <c r="AO747" s="1">
        <f t="shared" si="65"/>
        <v>0</v>
      </c>
      <c r="AP747" t="b" cm="1">
        <f t="array" ref="AP747">INDEX($AU$8:$BB$25,6*(R747-1)+MATCH(AB747,$AS$8:$AS$13,0),MATCH(O747,$AU$7:$BB$7,0))</f>
        <v>1</v>
      </c>
    </row>
    <row r="748" spans="15:42" ht="14.25" x14ac:dyDescent="0.45">
      <c r="O748" s="43" t="s">
        <v>34</v>
      </c>
      <c r="P748" s="43">
        <v>3</v>
      </c>
      <c r="Q748" s="43">
        <v>6</v>
      </c>
      <c r="R748" s="43">
        <v>3</v>
      </c>
      <c r="S748" s="45"/>
      <c r="T748" t="b">
        <f>(S746+S747+S748)=S4</f>
        <v>0</v>
      </c>
      <c r="X748" s="1">
        <f t="shared" si="66"/>
        <v>0</v>
      </c>
      <c r="Y748" s="48">
        <v>0</v>
      </c>
      <c r="AA748" s="1">
        <v>1</v>
      </c>
      <c r="AB748" s="1" t="s">
        <v>14</v>
      </c>
      <c r="AC748" s="1" t="s">
        <v>20</v>
      </c>
      <c r="AD748" s="1">
        <v>12</v>
      </c>
      <c r="AE748" s="1">
        <v>11</v>
      </c>
      <c r="AF748" s="1">
        <v>0.8</v>
      </c>
      <c r="AG748" s="1">
        <v>0.88</v>
      </c>
      <c r="AH748" s="1">
        <v>0</v>
      </c>
      <c r="AI748" s="1">
        <v>0</v>
      </c>
      <c r="AJ748" s="1">
        <f t="shared" si="62"/>
        <v>0</v>
      </c>
      <c r="AK748" s="1">
        <f>E71</f>
        <v>0</v>
      </c>
      <c r="AL748" s="1">
        <f>E77</f>
        <v>0</v>
      </c>
      <c r="AM748" s="1">
        <f t="shared" si="63"/>
        <v>0</v>
      </c>
      <c r="AN748" s="1">
        <f t="shared" si="64"/>
        <v>0</v>
      </c>
      <c r="AO748" s="1">
        <f t="shared" si="65"/>
        <v>0</v>
      </c>
      <c r="AP748" t="b" cm="1">
        <f t="array" ref="AP748">INDEX($AU$8:$BB$25,6*(R748-1)+MATCH(AB748,$AS$8:$AS$13,0),MATCH(O748,$AU$7:$BB$7,0))</f>
        <v>1</v>
      </c>
    </row>
    <row r="749" spans="15:42" ht="14.25" x14ac:dyDescent="0.45">
      <c r="O749" s="43" t="s">
        <v>34</v>
      </c>
      <c r="P749" s="43">
        <v>3</v>
      </c>
      <c r="Q749" s="43">
        <v>7</v>
      </c>
      <c r="R749" s="43">
        <v>1</v>
      </c>
      <c r="S749" s="45"/>
      <c r="T749" t="b">
        <f>(S749+S750+S751)=S4</f>
        <v>0</v>
      </c>
      <c r="X749" s="1">
        <f t="shared" si="66"/>
        <v>0</v>
      </c>
      <c r="Y749" s="48">
        <v>0</v>
      </c>
      <c r="AA749" s="1">
        <v>3</v>
      </c>
      <c r="AB749" s="1" t="s">
        <v>13</v>
      </c>
      <c r="AC749" s="1" t="s">
        <v>19</v>
      </c>
      <c r="AD749" s="1">
        <v>24</v>
      </c>
      <c r="AE749" s="1">
        <v>21</v>
      </c>
      <c r="AF749" s="1">
        <v>0.8</v>
      </c>
      <c r="AG749" s="1">
        <v>0.86</v>
      </c>
      <c r="AH749" s="1">
        <v>0</v>
      </c>
      <c r="AI749" s="1">
        <v>0</v>
      </c>
      <c r="AJ749" s="1">
        <f t="shared" si="62"/>
        <v>0</v>
      </c>
      <c r="AK749" s="1">
        <f>C70</f>
        <v>0</v>
      </c>
      <c r="AL749" s="1">
        <f>C76</f>
        <v>0</v>
      </c>
      <c r="AM749" s="1">
        <f t="shared" si="63"/>
        <v>0</v>
      </c>
      <c r="AN749" s="1">
        <f t="shared" si="64"/>
        <v>0</v>
      </c>
      <c r="AO749" s="1">
        <f t="shared" si="65"/>
        <v>0</v>
      </c>
      <c r="AP749" t="b" cm="1">
        <f t="array" ref="AP749">INDEX($AU$8:$BB$25,6*(R749-1)+MATCH(AB749,$AS$8:$AS$13,0),MATCH(O749,$AU$7:$BB$7,0))</f>
        <v>1</v>
      </c>
    </row>
    <row r="750" spans="15:42" ht="14.25" x14ac:dyDescent="0.45">
      <c r="O750" s="43" t="s">
        <v>34</v>
      </c>
      <c r="P750" s="43">
        <v>3</v>
      </c>
      <c r="Q750" s="43">
        <v>7</v>
      </c>
      <c r="R750" s="43">
        <v>2</v>
      </c>
      <c r="S750" s="45"/>
      <c r="T750" t="b">
        <f>(S749+S750+S751)=S4</f>
        <v>0</v>
      </c>
      <c r="X750" s="1">
        <f t="shared" si="66"/>
        <v>0</v>
      </c>
      <c r="Y750" s="48">
        <v>0</v>
      </c>
      <c r="AA750" s="1">
        <v>3</v>
      </c>
      <c r="AB750" s="1" t="s">
        <v>13</v>
      </c>
      <c r="AC750" s="1" t="s">
        <v>19</v>
      </c>
      <c r="AD750" s="1">
        <v>24</v>
      </c>
      <c r="AE750" s="1">
        <v>21</v>
      </c>
      <c r="AF750" s="1">
        <v>0.8</v>
      </c>
      <c r="AG750" s="1">
        <v>0.86</v>
      </c>
      <c r="AH750" s="1">
        <v>0</v>
      </c>
      <c r="AI750" s="1">
        <v>0</v>
      </c>
      <c r="AJ750" s="1">
        <f t="shared" si="62"/>
        <v>0</v>
      </c>
      <c r="AK750" s="1">
        <f>D70</f>
        <v>0</v>
      </c>
      <c r="AL750" s="1">
        <f>D76</f>
        <v>0</v>
      </c>
      <c r="AM750" s="1">
        <f t="shared" si="63"/>
        <v>0</v>
      </c>
      <c r="AN750" s="1">
        <f t="shared" si="64"/>
        <v>0</v>
      </c>
      <c r="AO750" s="1">
        <f t="shared" si="65"/>
        <v>0</v>
      </c>
      <c r="AP750" t="b" cm="1">
        <f t="array" ref="AP750">INDEX($AU$8:$BB$25,6*(R750-1)+MATCH(AB750,$AS$8:$AS$13,0),MATCH(O750,$AU$7:$BB$7,0))</f>
        <v>1</v>
      </c>
    </row>
    <row r="751" spans="15:42" ht="14.25" x14ac:dyDescent="0.45">
      <c r="O751" s="43" t="s">
        <v>34</v>
      </c>
      <c r="P751" s="43">
        <v>3</v>
      </c>
      <c r="Q751" s="43">
        <v>7</v>
      </c>
      <c r="R751" s="43">
        <v>3</v>
      </c>
      <c r="S751" s="45"/>
      <c r="T751" t="b">
        <f>(S749+S750+S751)=S4</f>
        <v>0</v>
      </c>
      <c r="X751" s="1">
        <f t="shared" si="66"/>
        <v>0</v>
      </c>
      <c r="Y751" s="48">
        <v>0</v>
      </c>
      <c r="AA751" s="1">
        <v>3</v>
      </c>
      <c r="AB751" s="1" t="s">
        <v>13</v>
      </c>
      <c r="AC751" s="1" t="s">
        <v>19</v>
      </c>
      <c r="AD751" s="1">
        <v>24</v>
      </c>
      <c r="AE751" s="1">
        <v>21</v>
      </c>
      <c r="AF751" s="1">
        <v>0.8</v>
      </c>
      <c r="AG751" s="1">
        <v>0.86</v>
      </c>
      <c r="AH751" s="1">
        <v>0</v>
      </c>
      <c r="AI751" s="1">
        <v>0</v>
      </c>
      <c r="AJ751" s="1">
        <f t="shared" si="62"/>
        <v>0</v>
      </c>
      <c r="AK751" s="1">
        <f>E70</f>
        <v>0</v>
      </c>
      <c r="AL751" s="1">
        <f>E76</f>
        <v>0</v>
      </c>
      <c r="AM751" s="1">
        <f t="shared" si="63"/>
        <v>0</v>
      </c>
      <c r="AN751" s="1">
        <f t="shared" si="64"/>
        <v>0</v>
      </c>
      <c r="AO751" s="1">
        <f t="shared" si="65"/>
        <v>0</v>
      </c>
      <c r="AP751" t="b" cm="1">
        <f t="array" ref="AP751">INDEX($AU$8:$BB$25,6*(R751-1)+MATCH(AB751,$AS$8:$AS$13,0),MATCH(O751,$AU$7:$BB$7,0))</f>
        <v>1</v>
      </c>
    </row>
    <row r="752" spans="15:42" ht="14.25" x14ac:dyDescent="0.45">
      <c r="O752" s="43" t="s">
        <v>34</v>
      </c>
      <c r="P752" s="43">
        <v>3</v>
      </c>
      <c r="Q752" s="43">
        <v>8</v>
      </c>
      <c r="R752" s="43">
        <v>1</v>
      </c>
      <c r="S752" s="45"/>
      <c r="T752" t="b">
        <f>(S752+S753+S754)=S4</f>
        <v>0</v>
      </c>
      <c r="X752" s="1">
        <f t="shared" si="66"/>
        <v>0</v>
      </c>
      <c r="Y752" s="48">
        <v>0</v>
      </c>
      <c r="AA752" s="1">
        <v>5</v>
      </c>
      <c r="AB752" s="1" t="s">
        <v>13</v>
      </c>
      <c r="AC752" s="1" t="s">
        <v>19</v>
      </c>
      <c r="AD752" s="1">
        <v>19</v>
      </c>
      <c r="AE752" s="1">
        <v>13</v>
      </c>
      <c r="AF752" s="1">
        <v>0.8</v>
      </c>
      <c r="AG752" s="1">
        <v>0.86</v>
      </c>
      <c r="AH752" s="1">
        <v>0</v>
      </c>
      <c r="AI752" s="1">
        <v>0</v>
      </c>
      <c r="AJ752" s="1">
        <f t="shared" si="62"/>
        <v>0</v>
      </c>
      <c r="AK752" s="1">
        <f>C70</f>
        <v>0</v>
      </c>
      <c r="AL752" s="1">
        <f>C76</f>
        <v>0</v>
      </c>
      <c r="AM752" s="1">
        <f t="shared" si="63"/>
        <v>0</v>
      </c>
      <c r="AN752" s="1">
        <f t="shared" si="64"/>
        <v>0</v>
      </c>
      <c r="AO752" s="1">
        <f t="shared" si="65"/>
        <v>0</v>
      </c>
      <c r="AP752" t="b" cm="1">
        <f t="array" ref="AP752">INDEX($AU$8:$BB$25,6*(R752-1)+MATCH(AB752,$AS$8:$AS$13,0),MATCH(O752,$AU$7:$BB$7,0))</f>
        <v>1</v>
      </c>
    </row>
    <row r="753" spans="15:42" ht="14.25" x14ac:dyDescent="0.45">
      <c r="O753" s="43" t="s">
        <v>34</v>
      </c>
      <c r="P753" s="43">
        <v>3</v>
      </c>
      <c r="Q753" s="43">
        <v>8</v>
      </c>
      <c r="R753" s="43">
        <v>2</v>
      </c>
      <c r="S753" s="45"/>
      <c r="T753" t="b">
        <f>(S752+S753+S754)=S4</f>
        <v>0</v>
      </c>
      <c r="X753" s="1">
        <f t="shared" si="66"/>
        <v>0</v>
      </c>
      <c r="Y753" s="48">
        <v>0</v>
      </c>
      <c r="AA753" s="1">
        <v>5</v>
      </c>
      <c r="AB753" s="1" t="s">
        <v>13</v>
      </c>
      <c r="AC753" s="1" t="s">
        <v>19</v>
      </c>
      <c r="AD753" s="1">
        <v>19</v>
      </c>
      <c r="AE753" s="1">
        <v>13</v>
      </c>
      <c r="AF753" s="1">
        <v>0.8</v>
      </c>
      <c r="AG753" s="1">
        <v>0.86</v>
      </c>
      <c r="AH753" s="1">
        <v>0</v>
      </c>
      <c r="AI753" s="1">
        <v>0</v>
      </c>
      <c r="AJ753" s="1">
        <f t="shared" si="62"/>
        <v>0</v>
      </c>
      <c r="AK753" s="1">
        <f>D70</f>
        <v>0</v>
      </c>
      <c r="AL753" s="1">
        <f>D76</f>
        <v>0</v>
      </c>
      <c r="AM753" s="1">
        <f t="shared" si="63"/>
        <v>0</v>
      </c>
      <c r="AN753" s="1">
        <f t="shared" si="64"/>
        <v>0</v>
      </c>
      <c r="AO753" s="1">
        <f t="shared" si="65"/>
        <v>0</v>
      </c>
      <c r="AP753" t="b" cm="1">
        <f t="array" ref="AP753">INDEX($AU$8:$BB$25,6*(R753-1)+MATCH(AB753,$AS$8:$AS$13,0),MATCH(O753,$AU$7:$BB$7,0))</f>
        <v>1</v>
      </c>
    </row>
    <row r="754" spans="15:42" ht="14.25" x14ac:dyDescent="0.45">
      <c r="O754" s="43" t="s">
        <v>34</v>
      </c>
      <c r="P754" s="43">
        <v>3</v>
      </c>
      <c r="Q754" s="43">
        <v>8</v>
      </c>
      <c r="R754" s="43">
        <v>3</v>
      </c>
      <c r="S754" s="45"/>
      <c r="T754" t="b">
        <f>(S752+S753+S754)=S4</f>
        <v>0</v>
      </c>
      <c r="X754" s="1">
        <f t="shared" si="66"/>
        <v>0</v>
      </c>
      <c r="Y754" s="48">
        <v>0</v>
      </c>
      <c r="AA754" s="1">
        <v>5</v>
      </c>
      <c r="AB754" s="1" t="s">
        <v>13</v>
      </c>
      <c r="AC754" s="1" t="s">
        <v>19</v>
      </c>
      <c r="AD754" s="1">
        <v>19</v>
      </c>
      <c r="AE754" s="1">
        <v>13</v>
      </c>
      <c r="AF754" s="1">
        <v>0.8</v>
      </c>
      <c r="AG754" s="1">
        <v>0.86</v>
      </c>
      <c r="AH754" s="1">
        <v>0</v>
      </c>
      <c r="AI754" s="1">
        <v>0</v>
      </c>
      <c r="AJ754" s="1">
        <f t="shared" si="62"/>
        <v>0</v>
      </c>
      <c r="AK754" s="1">
        <f>E70</f>
        <v>0</v>
      </c>
      <c r="AL754" s="1">
        <f>E76</f>
        <v>0</v>
      </c>
      <c r="AM754" s="1">
        <f t="shared" si="63"/>
        <v>0</v>
      </c>
      <c r="AN754" s="1">
        <f t="shared" si="64"/>
        <v>0</v>
      </c>
      <c r="AO754" s="1">
        <f t="shared" si="65"/>
        <v>0</v>
      </c>
      <c r="AP754" t="b" cm="1">
        <f t="array" ref="AP754">INDEX($AU$8:$BB$25,6*(R754-1)+MATCH(AB754,$AS$8:$AS$13,0),MATCH(O754,$AU$7:$BB$7,0))</f>
        <v>1</v>
      </c>
    </row>
    <row r="755" spans="15:42" ht="14.25" x14ac:dyDescent="0.45">
      <c r="O755" s="43" t="s">
        <v>34</v>
      </c>
      <c r="P755" s="43">
        <v>3</v>
      </c>
      <c r="Q755" s="43">
        <v>9</v>
      </c>
      <c r="R755" s="43">
        <v>1</v>
      </c>
      <c r="S755" s="45"/>
      <c r="T755" t="b">
        <f>(S755+S756+S757)=S4</f>
        <v>0</v>
      </c>
      <c r="X755" s="1">
        <f t="shared" si="66"/>
        <v>0</v>
      </c>
      <c r="Y755" s="48">
        <v>0</v>
      </c>
      <c r="AA755" s="1">
        <v>3</v>
      </c>
      <c r="AB755" s="1" t="s">
        <v>14</v>
      </c>
      <c r="AC755" s="1" t="s">
        <v>20</v>
      </c>
      <c r="AD755" s="1">
        <v>15</v>
      </c>
      <c r="AE755" s="1">
        <v>13</v>
      </c>
      <c r="AF755" s="1">
        <v>0.8</v>
      </c>
      <c r="AG755" s="1">
        <v>0.88</v>
      </c>
      <c r="AH755" s="1">
        <v>0</v>
      </c>
      <c r="AI755" s="1">
        <v>0</v>
      </c>
      <c r="AJ755" s="1">
        <f t="shared" si="62"/>
        <v>0</v>
      </c>
      <c r="AK755" s="1">
        <f>C71</f>
        <v>0</v>
      </c>
      <c r="AL755" s="1">
        <f>C77</f>
        <v>0</v>
      </c>
      <c r="AM755" s="1">
        <f t="shared" si="63"/>
        <v>0</v>
      </c>
      <c r="AN755" s="1">
        <f t="shared" si="64"/>
        <v>0</v>
      </c>
      <c r="AO755" s="1">
        <f t="shared" si="65"/>
        <v>0</v>
      </c>
      <c r="AP755" t="b" cm="1">
        <f t="array" ref="AP755">INDEX($AU$8:$BB$25,6*(R755-1)+MATCH(AB755,$AS$8:$AS$13,0),MATCH(O755,$AU$7:$BB$7,0))</f>
        <v>1</v>
      </c>
    </row>
    <row r="756" spans="15:42" ht="14.25" x14ac:dyDescent="0.45">
      <c r="O756" s="43" t="s">
        <v>34</v>
      </c>
      <c r="P756" s="43">
        <v>3</v>
      </c>
      <c r="Q756" s="43">
        <v>9</v>
      </c>
      <c r="R756" s="43">
        <v>2</v>
      </c>
      <c r="S756" s="45"/>
      <c r="T756" t="b">
        <f>(S755+S756+S757)=S4</f>
        <v>0</v>
      </c>
      <c r="X756" s="1">
        <f t="shared" si="66"/>
        <v>0</v>
      </c>
      <c r="Y756" s="48">
        <v>0</v>
      </c>
      <c r="AA756" s="1">
        <v>3</v>
      </c>
      <c r="AB756" s="1" t="s">
        <v>14</v>
      </c>
      <c r="AC756" s="1" t="s">
        <v>20</v>
      </c>
      <c r="AD756" s="1">
        <v>15</v>
      </c>
      <c r="AE756" s="1">
        <v>13</v>
      </c>
      <c r="AF756" s="1">
        <v>0.8</v>
      </c>
      <c r="AG756" s="1">
        <v>0.88</v>
      </c>
      <c r="AH756" s="1">
        <v>0</v>
      </c>
      <c r="AI756" s="1">
        <v>0</v>
      </c>
      <c r="AJ756" s="1">
        <f t="shared" si="62"/>
        <v>0</v>
      </c>
      <c r="AK756" s="1">
        <f>D71</f>
        <v>0</v>
      </c>
      <c r="AL756" s="1">
        <f>D77</f>
        <v>0</v>
      </c>
      <c r="AM756" s="1">
        <f t="shared" si="63"/>
        <v>0</v>
      </c>
      <c r="AN756" s="1">
        <f t="shared" si="64"/>
        <v>0</v>
      </c>
      <c r="AO756" s="1">
        <f t="shared" si="65"/>
        <v>0</v>
      </c>
      <c r="AP756" t="b" cm="1">
        <f t="array" ref="AP756">INDEX($AU$8:$BB$25,6*(R756-1)+MATCH(AB756,$AS$8:$AS$13,0),MATCH(O756,$AU$7:$BB$7,0))</f>
        <v>1</v>
      </c>
    </row>
    <row r="757" spans="15:42" ht="14.25" x14ac:dyDescent="0.45">
      <c r="O757" s="43" t="s">
        <v>34</v>
      </c>
      <c r="P757" s="43">
        <v>3</v>
      </c>
      <c r="Q757" s="43">
        <v>9</v>
      </c>
      <c r="R757" s="43">
        <v>3</v>
      </c>
      <c r="S757" s="45"/>
      <c r="T757" t="b">
        <f>(S755+S756+S757)=S4</f>
        <v>0</v>
      </c>
      <c r="X757" s="1">
        <f t="shared" si="66"/>
        <v>0</v>
      </c>
      <c r="Y757" s="48">
        <v>0</v>
      </c>
      <c r="AA757" s="1">
        <v>3</v>
      </c>
      <c r="AB757" s="1" t="s">
        <v>14</v>
      </c>
      <c r="AC757" s="1" t="s">
        <v>20</v>
      </c>
      <c r="AD757" s="1">
        <v>15</v>
      </c>
      <c r="AE757" s="1">
        <v>13</v>
      </c>
      <c r="AF757" s="1">
        <v>0.8</v>
      </c>
      <c r="AG757" s="1">
        <v>0.88</v>
      </c>
      <c r="AH757" s="1">
        <v>0</v>
      </c>
      <c r="AI757" s="1">
        <v>0</v>
      </c>
      <c r="AJ757" s="1">
        <f t="shared" si="62"/>
        <v>0</v>
      </c>
      <c r="AK757" s="1">
        <f>E71</f>
        <v>0</v>
      </c>
      <c r="AL757" s="1">
        <f>E77</f>
        <v>0</v>
      </c>
      <c r="AM757" s="1">
        <f t="shared" si="63"/>
        <v>0</v>
      </c>
      <c r="AN757" s="1">
        <f t="shared" si="64"/>
        <v>0</v>
      </c>
      <c r="AO757" s="1">
        <f t="shared" si="65"/>
        <v>0</v>
      </c>
      <c r="AP757" t="b" cm="1">
        <f t="array" ref="AP757">INDEX($AU$8:$BB$25,6*(R757-1)+MATCH(AB757,$AS$8:$AS$13,0),MATCH(O757,$AU$7:$BB$7,0))</f>
        <v>1</v>
      </c>
    </row>
    <row r="758" spans="15:42" ht="14.25" x14ac:dyDescent="0.45">
      <c r="O758" s="43" t="s">
        <v>34</v>
      </c>
      <c r="P758" s="43">
        <v>3</v>
      </c>
      <c r="Q758" s="43">
        <v>10</v>
      </c>
      <c r="R758" s="43">
        <v>1</v>
      </c>
      <c r="S758" s="45"/>
      <c r="T758" t="b">
        <f>(S758+S759+S760)=S4</f>
        <v>0</v>
      </c>
      <c r="X758" s="1">
        <f t="shared" si="66"/>
        <v>0</v>
      </c>
      <c r="Y758" s="48">
        <v>0</v>
      </c>
      <c r="AA758" s="1">
        <v>5</v>
      </c>
      <c r="AB758" s="1" t="s">
        <v>14</v>
      </c>
      <c r="AC758" s="1" t="s">
        <v>20</v>
      </c>
      <c r="AD758" s="1">
        <v>24</v>
      </c>
      <c r="AE758" s="1">
        <v>20</v>
      </c>
      <c r="AF758" s="1">
        <v>0.8</v>
      </c>
      <c r="AG758" s="1">
        <v>0.88</v>
      </c>
      <c r="AH758" s="1">
        <v>0</v>
      </c>
      <c r="AI758" s="1">
        <v>0</v>
      </c>
      <c r="AJ758" s="1">
        <f t="shared" si="62"/>
        <v>0</v>
      </c>
      <c r="AK758" s="1">
        <f>C71</f>
        <v>0</v>
      </c>
      <c r="AL758" s="1">
        <f>C77</f>
        <v>0</v>
      </c>
      <c r="AM758" s="1">
        <f t="shared" si="63"/>
        <v>0</v>
      </c>
      <c r="AN758" s="1">
        <f t="shared" si="64"/>
        <v>0</v>
      </c>
      <c r="AO758" s="1">
        <f t="shared" si="65"/>
        <v>0</v>
      </c>
      <c r="AP758" t="b" cm="1">
        <f t="array" ref="AP758">INDEX($AU$8:$BB$25,6*(R758-1)+MATCH(AB758,$AS$8:$AS$13,0),MATCH(O758,$AU$7:$BB$7,0))</f>
        <v>1</v>
      </c>
    </row>
    <row r="759" spans="15:42" ht="14.25" x14ac:dyDescent="0.45">
      <c r="O759" s="43" t="s">
        <v>34</v>
      </c>
      <c r="P759" s="43">
        <v>3</v>
      </c>
      <c r="Q759" s="43">
        <v>10</v>
      </c>
      <c r="R759" s="43">
        <v>2</v>
      </c>
      <c r="S759" s="45"/>
      <c r="T759" t="b">
        <f>(S758+S759+S760)=S4</f>
        <v>0</v>
      </c>
      <c r="X759" s="1">
        <f t="shared" si="66"/>
        <v>0</v>
      </c>
      <c r="Y759" s="48">
        <v>0</v>
      </c>
      <c r="AA759" s="1">
        <v>5</v>
      </c>
      <c r="AB759" s="1" t="s">
        <v>14</v>
      </c>
      <c r="AC759" s="1" t="s">
        <v>20</v>
      </c>
      <c r="AD759" s="1">
        <v>24</v>
      </c>
      <c r="AE759" s="1">
        <v>20</v>
      </c>
      <c r="AF759" s="1">
        <v>0.8</v>
      </c>
      <c r="AG759" s="1">
        <v>0.88</v>
      </c>
      <c r="AH759" s="1">
        <v>0</v>
      </c>
      <c r="AI759" s="1">
        <v>0</v>
      </c>
      <c r="AJ759" s="1">
        <f t="shared" si="62"/>
        <v>0</v>
      </c>
      <c r="AK759" s="1">
        <f>D71</f>
        <v>0</v>
      </c>
      <c r="AL759" s="1">
        <f>D77</f>
        <v>0</v>
      </c>
      <c r="AM759" s="1">
        <f t="shared" si="63"/>
        <v>0</v>
      </c>
      <c r="AN759" s="1">
        <f t="shared" si="64"/>
        <v>0</v>
      </c>
      <c r="AO759" s="1">
        <f t="shared" si="65"/>
        <v>0</v>
      </c>
      <c r="AP759" t="b" cm="1">
        <f t="array" ref="AP759">INDEX($AU$8:$BB$25,6*(R759-1)+MATCH(AB759,$AS$8:$AS$13,0),MATCH(O759,$AU$7:$BB$7,0))</f>
        <v>1</v>
      </c>
    </row>
    <row r="760" spans="15:42" ht="14.25" x14ac:dyDescent="0.45">
      <c r="O760" s="43" t="s">
        <v>34</v>
      </c>
      <c r="P760" s="43">
        <v>3</v>
      </c>
      <c r="Q760" s="43">
        <v>10</v>
      </c>
      <c r="R760" s="43">
        <v>3</v>
      </c>
      <c r="S760" s="45"/>
      <c r="T760" t="b">
        <f>(S758+S759+S760)=S4</f>
        <v>0</v>
      </c>
      <c r="X760" s="1">
        <f t="shared" si="66"/>
        <v>0</v>
      </c>
      <c r="Y760" s="48">
        <v>0</v>
      </c>
      <c r="AA760" s="1">
        <v>5</v>
      </c>
      <c r="AB760" s="1" t="s">
        <v>14</v>
      </c>
      <c r="AC760" s="1" t="s">
        <v>20</v>
      </c>
      <c r="AD760" s="1">
        <v>24</v>
      </c>
      <c r="AE760" s="1">
        <v>20</v>
      </c>
      <c r="AF760" s="1">
        <v>0.8</v>
      </c>
      <c r="AG760" s="1">
        <v>0.88</v>
      </c>
      <c r="AH760" s="1">
        <v>0</v>
      </c>
      <c r="AI760" s="1">
        <v>0</v>
      </c>
      <c r="AJ760" s="1">
        <f t="shared" si="62"/>
        <v>0</v>
      </c>
      <c r="AK760" s="1">
        <f>E71</f>
        <v>0</v>
      </c>
      <c r="AL760" s="1">
        <f>E77</f>
        <v>0</v>
      </c>
      <c r="AM760" s="1">
        <f t="shared" si="63"/>
        <v>0</v>
      </c>
      <c r="AN760" s="1">
        <f t="shared" si="64"/>
        <v>0</v>
      </c>
      <c r="AO760" s="1">
        <f t="shared" si="65"/>
        <v>0</v>
      </c>
      <c r="AP760" t="b" cm="1">
        <f t="array" ref="AP760">INDEX($AU$8:$BB$25,6*(R760-1)+MATCH(AB760,$AS$8:$AS$13,0),MATCH(O760,$AU$7:$BB$7,0))</f>
        <v>1</v>
      </c>
    </row>
    <row r="761" spans="15:42" ht="14.25" x14ac:dyDescent="0.45">
      <c r="O761" s="43" t="s">
        <v>34</v>
      </c>
      <c r="P761" s="43">
        <v>3</v>
      </c>
      <c r="Q761" s="43">
        <v>11</v>
      </c>
      <c r="R761" s="43">
        <v>1</v>
      </c>
      <c r="S761" s="45"/>
      <c r="T761" t="b">
        <f>(S761+S762+S763)=S4</f>
        <v>0</v>
      </c>
      <c r="X761" s="1">
        <f t="shared" si="66"/>
        <v>0</v>
      </c>
      <c r="Y761" s="48">
        <v>0</v>
      </c>
      <c r="AA761" s="1">
        <v>3</v>
      </c>
      <c r="AB761" s="1" t="s">
        <v>15</v>
      </c>
      <c r="AC761" s="1" t="s">
        <v>21</v>
      </c>
      <c r="AD761" s="1">
        <v>17</v>
      </c>
      <c r="AE761" s="1">
        <v>15</v>
      </c>
      <c r="AF761" s="1">
        <v>0.76</v>
      </c>
      <c r="AG761" s="1">
        <v>0.84</v>
      </c>
      <c r="AH761" s="1">
        <v>0</v>
      </c>
      <c r="AI761" s="1">
        <v>0</v>
      </c>
      <c r="AJ761" s="1">
        <f t="shared" si="62"/>
        <v>0</v>
      </c>
      <c r="AK761" s="1">
        <f>C72</f>
        <v>0</v>
      </c>
      <c r="AL761" s="1">
        <f>C78</f>
        <v>0</v>
      </c>
      <c r="AM761" s="1">
        <f t="shared" si="63"/>
        <v>0</v>
      </c>
      <c r="AN761" s="1">
        <f t="shared" si="64"/>
        <v>0</v>
      </c>
      <c r="AO761" s="1">
        <f t="shared" si="65"/>
        <v>0</v>
      </c>
      <c r="AP761" t="b" cm="1">
        <f t="array" ref="AP761">INDEX($AU$8:$BB$25,6*(R761-1)+MATCH(AB761,$AS$8:$AS$13,0),MATCH(O761,$AU$7:$BB$7,0))</f>
        <v>1</v>
      </c>
    </row>
    <row r="762" spans="15:42" ht="14.25" x14ac:dyDescent="0.45">
      <c r="O762" s="43" t="s">
        <v>34</v>
      </c>
      <c r="P762" s="43">
        <v>3</v>
      </c>
      <c r="Q762" s="43">
        <v>11</v>
      </c>
      <c r="R762" s="43">
        <v>2</v>
      </c>
      <c r="S762" s="45"/>
      <c r="T762" t="b">
        <f>(S761+S762+S763)=S4</f>
        <v>0</v>
      </c>
      <c r="X762" s="1">
        <f t="shared" si="66"/>
        <v>0</v>
      </c>
      <c r="Y762" s="48">
        <v>0</v>
      </c>
      <c r="AA762" s="1">
        <v>3</v>
      </c>
      <c r="AB762" s="1" t="s">
        <v>15</v>
      </c>
      <c r="AC762" s="1" t="s">
        <v>21</v>
      </c>
      <c r="AD762" s="1">
        <v>17</v>
      </c>
      <c r="AE762" s="1">
        <v>15</v>
      </c>
      <c r="AF762" s="1">
        <v>0.76</v>
      </c>
      <c r="AG762" s="1">
        <v>0.84</v>
      </c>
      <c r="AH762" s="1">
        <v>0</v>
      </c>
      <c r="AI762" s="1">
        <v>0</v>
      </c>
      <c r="AJ762" s="1">
        <f t="shared" si="62"/>
        <v>0</v>
      </c>
      <c r="AK762" s="1">
        <f>D72</f>
        <v>0</v>
      </c>
      <c r="AL762" s="1">
        <f>D78</f>
        <v>0</v>
      </c>
      <c r="AM762" s="1">
        <f t="shared" si="63"/>
        <v>0</v>
      </c>
      <c r="AN762" s="1">
        <f t="shared" si="64"/>
        <v>0</v>
      </c>
      <c r="AO762" s="1">
        <f t="shared" si="65"/>
        <v>0</v>
      </c>
      <c r="AP762" t="b" cm="1">
        <f t="array" ref="AP762">INDEX($AU$8:$BB$25,6*(R762-1)+MATCH(AB762,$AS$8:$AS$13,0),MATCH(O762,$AU$7:$BB$7,0))</f>
        <v>1</v>
      </c>
    </row>
    <row r="763" spans="15:42" ht="14.25" x14ac:dyDescent="0.45">
      <c r="O763" s="43" t="s">
        <v>34</v>
      </c>
      <c r="P763" s="43">
        <v>3</v>
      </c>
      <c r="Q763" s="43">
        <v>11</v>
      </c>
      <c r="R763" s="43">
        <v>3</v>
      </c>
      <c r="S763" s="45"/>
      <c r="T763" t="b">
        <f>(S761+S762+S763)=S4</f>
        <v>0</v>
      </c>
      <c r="X763" s="1">
        <f t="shared" si="66"/>
        <v>0</v>
      </c>
      <c r="Y763" s="48">
        <v>0</v>
      </c>
      <c r="AA763" s="1">
        <v>3</v>
      </c>
      <c r="AB763" s="1" t="s">
        <v>15</v>
      </c>
      <c r="AC763" s="1" t="s">
        <v>21</v>
      </c>
      <c r="AD763" s="1">
        <v>17</v>
      </c>
      <c r="AE763" s="1">
        <v>15</v>
      </c>
      <c r="AF763" s="1">
        <v>0.76</v>
      </c>
      <c r="AG763" s="1">
        <v>0.84</v>
      </c>
      <c r="AH763" s="1">
        <v>0</v>
      </c>
      <c r="AI763" s="1">
        <v>0</v>
      </c>
      <c r="AJ763" s="1">
        <f t="shared" si="62"/>
        <v>0</v>
      </c>
      <c r="AK763" s="1">
        <f>E72</f>
        <v>0</v>
      </c>
      <c r="AL763" s="1">
        <f>E78</f>
        <v>0</v>
      </c>
      <c r="AM763" s="1">
        <f t="shared" si="63"/>
        <v>0</v>
      </c>
      <c r="AN763" s="1">
        <f t="shared" si="64"/>
        <v>0</v>
      </c>
      <c r="AO763" s="1">
        <f t="shared" si="65"/>
        <v>0</v>
      </c>
      <c r="AP763" t="b" cm="1">
        <f t="array" ref="AP763">INDEX($AU$8:$BB$25,6*(R763-1)+MATCH(AB763,$AS$8:$AS$13,0),MATCH(O763,$AU$7:$BB$7,0))</f>
        <v>1</v>
      </c>
    </row>
    <row r="764" spans="15:42" ht="14.25" x14ac:dyDescent="0.45">
      <c r="O764" s="43" t="s">
        <v>34</v>
      </c>
      <c r="P764" s="43">
        <v>3</v>
      </c>
      <c r="Q764" s="43">
        <v>12</v>
      </c>
      <c r="R764" s="43">
        <v>1</v>
      </c>
      <c r="S764" s="45"/>
      <c r="T764" t="b">
        <f>(S764+S765+S766)=S4</f>
        <v>0</v>
      </c>
      <c r="X764" s="1">
        <f t="shared" si="66"/>
        <v>0</v>
      </c>
      <c r="Y764" s="48">
        <v>0</v>
      </c>
      <c r="AA764" s="1">
        <v>10</v>
      </c>
      <c r="AB764" s="1" t="s">
        <v>15</v>
      </c>
      <c r="AC764" s="1" t="s">
        <v>21</v>
      </c>
      <c r="AD764" s="1">
        <v>18</v>
      </c>
      <c r="AE764" s="1">
        <v>13</v>
      </c>
      <c r="AF764" s="1">
        <v>0.76</v>
      </c>
      <c r="AG764" s="1">
        <v>0.84</v>
      </c>
      <c r="AH764" s="1">
        <v>0</v>
      </c>
      <c r="AI764" s="1">
        <v>0</v>
      </c>
      <c r="AJ764" s="1">
        <f t="shared" si="62"/>
        <v>0</v>
      </c>
      <c r="AK764" s="1">
        <f>C72</f>
        <v>0</v>
      </c>
      <c r="AL764" s="1">
        <f>C78</f>
        <v>0</v>
      </c>
      <c r="AM764" s="1">
        <f t="shared" si="63"/>
        <v>0</v>
      </c>
      <c r="AN764" s="1">
        <f t="shared" si="64"/>
        <v>0</v>
      </c>
      <c r="AO764" s="1">
        <f t="shared" si="65"/>
        <v>0</v>
      </c>
      <c r="AP764" t="b" cm="1">
        <f t="array" ref="AP764">INDEX($AU$8:$BB$25,6*(R764-1)+MATCH(AB764,$AS$8:$AS$13,0),MATCH(O764,$AU$7:$BB$7,0))</f>
        <v>1</v>
      </c>
    </row>
    <row r="765" spans="15:42" ht="14.25" x14ac:dyDescent="0.45">
      <c r="O765" s="43" t="s">
        <v>34</v>
      </c>
      <c r="P765" s="43">
        <v>3</v>
      </c>
      <c r="Q765" s="43">
        <v>12</v>
      </c>
      <c r="R765" s="43">
        <v>2</v>
      </c>
      <c r="S765" s="45"/>
      <c r="T765" t="b">
        <f>(S764+S765+S766)=S4</f>
        <v>0</v>
      </c>
      <c r="X765" s="1">
        <f t="shared" si="66"/>
        <v>0</v>
      </c>
      <c r="Y765" s="48">
        <v>0</v>
      </c>
      <c r="AA765" s="1">
        <v>10</v>
      </c>
      <c r="AB765" s="1" t="s">
        <v>15</v>
      </c>
      <c r="AC765" s="1" t="s">
        <v>21</v>
      </c>
      <c r="AD765" s="1">
        <v>18</v>
      </c>
      <c r="AE765" s="1">
        <v>13</v>
      </c>
      <c r="AF765" s="1">
        <v>0.76</v>
      </c>
      <c r="AG765" s="1">
        <v>0.84</v>
      </c>
      <c r="AH765" s="1">
        <v>0</v>
      </c>
      <c r="AI765" s="1">
        <v>0</v>
      </c>
      <c r="AJ765" s="1">
        <f t="shared" si="62"/>
        <v>0</v>
      </c>
      <c r="AK765" s="1">
        <f>D72</f>
        <v>0</v>
      </c>
      <c r="AL765" s="1">
        <f>D78</f>
        <v>0</v>
      </c>
      <c r="AM765" s="1">
        <f t="shared" si="63"/>
        <v>0</v>
      </c>
      <c r="AN765" s="1">
        <f t="shared" si="64"/>
        <v>0</v>
      </c>
      <c r="AO765" s="1">
        <f t="shared" si="65"/>
        <v>0</v>
      </c>
      <c r="AP765" t="b" cm="1">
        <f t="array" ref="AP765">INDEX($AU$8:$BB$25,6*(R765-1)+MATCH(AB765,$AS$8:$AS$13,0),MATCH(O765,$AU$7:$BB$7,0))</f>
        <v>1</v>
      </c>
    </row>
    <row r="766" spans="15:42" ht="14.25" x14ac:dyDescent="0.45">
      <c r="O766" s="43" t="s">
        <v>34</v>
      </c>
      <c r="P766" s="43">
        <v>3</v>
      </c>
      <c r="Q766" s="43">
        <v>12</v>
      </c>
      <c r="R766" s="43">
        <v>3</v>
      </c>
      <c r="S766" s="45"/>
      <c r="T766" t="b">
        <f>(S764+S765+S766)=S4</f>
        <v>0</v>
      </c>
      <c r="X766" s="1">
        <f t="shared" si="66"/>
        <v>0</v>
      </c>
      <c r="Y766" s="48">
        <v>0</v>
      </c>
      <c r="AA766" s="1">
        <v>10</v>
      </c>
      <c r="AB766" s="1" t="s">
        <v>15</v>
      </c>
      <c r="AC766" s="1" t="s">
        <v>21</v>
      </c>
      <c r="AD766" s="1">
        <v>18</v>
      </c>
      <c r="AE766" s="1">
        <v>13</v>
      </c>
      <c r="AF766" s="1">
        <v>0.76</v>
      </c>
      <c r="AG766" s="1">
        <v>0.84</v>
      </c>
      <c r="AH766" s="1">
        <v>0</v>
      </c>
      <c r="AI766" s="1">
        <v>0</v>
      </c>
      <c r="AJ766" s="1">
        <f t="shared" si="62"/>
        <v>0</v>
      </c>
      <c r="AK766" s="1">
        <f>E72</f>
        <v>0</v>
      </c>
      <c r="AL766" s="1">
        <f>E78</f>
        <v>0</v>
      </c>
      <c r="AM766" s="1">
        <f t="shared" si="63"/>
        <v>0</v>
      </c>
      <c r="AN766" s="1">
        <f t="shared" si="64"/>
        <v>0</v>
      </c>
      <c r="AO766" s="1">
        <f t="shared" si="65"/>
        <v>0</v>
      </c>
      <c r="AP766" t="b" cm="1">
        <f t="array" ref="AP766">INDEX($AU$8:$BB$25,6*(R766-1)+MATCH(AB766,$AS$8:$AS$13,0),MATCH(O766,$AU$7:$BB$7,0))</f>
        <v>1</v>
      </c>
    </row>
    <row r="767" spans="15:42" ht="14.25" x14ac:dyDescent="0.45">
      <c r="O767" s="43" t="s">
        <v>34</v>
      </c>
      <c r="P767" s="43">
        <v>3</v>
      </c>
      <c r="Q767" s="43">
        <v>13</v>
      </c>
      <c r="R767" s="43">
        <v>1</v>
      </c>
      <c r="S767" s="45"/>
      <c r="T767" t="b">
        <f>(S767+S768+S769)=S4</f>
        <v>0</v>
      </c>
      <c r="X767" s="1">
        <f t="shared" si="66"/>
        <v>0</v>
      </c>
      <c r="Y767" s="48">
        <v>0</v>
      </c>
      <c r="AA767" s="1">
        <v>2</v>
      </c>
      <c r="AB767" s="1" t="s">
        <v>16</v>
      </c>
      <c r="AC767" s="1" t="s">
        <v>22</v>
      </c>
      <c r="AD767" s="1">
        <v>20</v>
      </c>
      <c r="AE767" s="1">
        <v>18</v>
      </c>
      <c r="AF767" s="1">
        <v>0.8</v>
      </c>
      <c r="AG767" s="1">
        <v>0.9</v>
      </c>
      <c r="AH767" s="1">
        <v>0</v>
      </c>
      <c r="AI767" s="1">
        <v>0</v>
      </c>
      <c r="AJ767" s="1">
        <f t="shared" si="62"/>
        <v>0</v>
      </c>
      <c r="AK767" s="1">
        <f>C73</f>
        <v>0</v>
      </c>
      <c r="AL767" s="1">
        <f>C79</f>
        <v>0</v>
      </c>
      <c r="AM767" s="1">
        <f t="shared" si="63"/>
        <v>0</v>
      </c>
      <c r="AN767" s="1">
        <f t="shared" si="64"/>
        <v>0</v>
      </c>
      <c r="AO767" s="1">
        <f t="shared" si="65"/>
        <v>0</v>
      </c>
      <c r="AP767" t="b" cm="1">
        <f t="array" ref="AP767">INDEX($AU$8:$BB$25,6*(R767-1)+MATCH(AB767,$AS$8:$AS$13,0),MATCH(O767,$AU$7:$BB$7,0))</f>
        <v>1</v>
      </c>
    </row>
    <row r="768" spans="15:42" ht="14.25" x14ac:dyDescent="0.45">
      <c r="O768" s="43" t="s">
        <v>34</v>
      </c>
      <c r="P768" s="43">
        <v>3</v>
      </c>
      <c r="Q768" s="43">
        <v>13</v>
      </c>
      <c r="R768" s="43">
        <v>2</v>
      </c>
      <c r="S768" s="45"/>
      <c r="T768" t="b">
        <f>(S767+S768+S769)=S4</f>
        <v>0</v>
      </c>
      <c r="X768" s="1">
        <f t="shared" si="66"/>
        <v>0</v>
      </c>
      <c r="Y768" s="48">
        <v>0</v>
      </c>
      <c r="AA768" s="1">
        <v>2</v>
      </c>
      <c r="AB768" s="1" t="s">
        <v>16</v>
      </c>
      <c r="AC768" s="1" t="s">
        <v>22</v>
      </c>
      <c r="AD768" s="1">
        <v>20</v>
      </c>
      <c r="AE768" s="1">
        <v>18</v>
      </c>
      <c r="AF768" s="1">
        <v>0.8</v>
      </c>
      <c r="AG768" s="1">
        <v>0.9</v>
      </c>
      <c r="AH768" s="1">
        <v>0</v>
      </c>
      <c r="AI768" s="1">
        <v>0</v>
      </c>
      <c r="AJ768" s="1">
        <f t="shared" si="62"/>
        <v>0</v>
      </c>
      <c r="AK768" s="1">
        <f>D73</f>
        <v>0</v>
      </c>
      <c r="AL768" s="1">
        <f>D79</f>
        <v>0</v>
      </c>
      <c r="AM768" s="1">
        <f t="shared" si="63"/>
        <v>0</v>
      </c>
      <c r="AN768" s="1">
        <f t="shared" si="64"/>
        <v>0</v>
      </c>
      <c r="AO768" s="1">
        <f t="shared" si="65"/>
        <v>0</v>
      </c>
      <c r="AP768" t="b" cm="1">
        <f t="array" ref="AP768">INDEX($AU$8:$BB$25,6*(R768-1)+MATCH(AB768,$AS$8:$AS$13,0),MATCH(O768,$AU$7:$BB$7,0))</f>
        <v>1</v>
      </c>
    </row>
    <row r="769" spans="15:42" ht="14.25" x14ac:dyDescent="0.45">
      <c r="O769" s="43" t="s">
        <v>34</v>
      </c>
      <c r="P769" s="43">
        <v>3</v>
      </c>
      <c r="Q769" s="43">
        <v>13</v>
      </c>
      <c r="R769" s="43">
        <v>3</v>
      </c>
      <c r="S769" s="45"/>
      <c r="T769" t="b">
        <f>(S767+S768+S769)=S4</f>
        <v>0</v>
      </c>
      <c r="X769" s="1">
        <f t="shared" si="66"/>
        <v>0</v>
      </c>
      <c r="Y769" s="48">
        <v>0</v>
      </c>
      <c r="AA769" s="1">
        <v>2</v>
      </c>
      <c r="AB769" s="1" t="s">
        <v>16</v>
      </c>
      <c r="AC769" s="1" t="s">
        <v>22</v>
      </c>
      <c r="AD769" s="1">
        <v>20</v>
      </c>
      <c r="AE769" s="1">
        <v>18</v>
      </c>
      <c r="AF769" s="1">
        <v>0.8</v>
      </c>
      <c r="AG769" s="1">
        <v>0.9</v>
      </c>
      <c r="AH769" s="1">
        <v>0</v>
      </c>
      <c r="AI769" s="1">
        <v>0</v>
      </c>
      <c r="AJ769" s="1">
        <f t="shared" si="62"/>
        <v>0</v>
      </c>
      <c r="AK769" s="1">
        <f>E73</f>
        <v>0</v>
      </c>
      <c r="AL769" s="1">
        <f>E79</f>
        <v>0</v>
      </c>
      <c r="AM769" s="1">
        <f t="shared" si="63"/>
        <v>0</v>
      </c>
      <c r="AN769" s="1">
        <f t="shared" si="64"/>
        <v>0</v>
      </c>
      <c r="AO769" s="1">
        <f t="shared" si="65"/>
        <v>0</v>
      </c>
      <c r="AP769" t="b" cm="1">
        <f t="array" ref="AP769">INDEX($AU$8:$BB$25,6*(R769-1)+MATCH(AB769,$AS$8:$AS$13,0),MATCH(O769,$AU$7:$BB$7,0))</f>
        <v>1</v>
      </c>
    </row>
    <row r="770" spans="15:42" ht="14.25" x14ac:dyDescent="0.45">
      <c r="O770" s="43" t="s">
        <v>34</v>
      </c>
      <c r="P770" s="43">
        <v>3</v>
      </c>
      <c r="Q770" s="43">
        <v>14</v>
      </c>
      <c r="R770" s="43">
        <v>1</v>
      </c>
      <c r="S770" s="45"/>
      <c r="T770" t="b">
        <f>(S770+S771+S772)=S4</f>
        <v>0</v>
      </c>
      <c r="X770" s="1">
        <f t="shared" si="66"/>
        <v>0</v>
      </c>
      <c r="Y770" s="48">
        <v>0</v>
      </c>
      <c r="AA770" s="1">
        <v>2</v>
      </c>
      <c r="AB770" s="1" t="s">
        <v>13</v>
      </c>
      <c r="AC770" s="1" t="s">
        <v>19</v>
      </c>
      <c r="AD770" s="1">
        <v>12</v>
      </c>
      <c r="AE770" s="1">
        <v>11</v>
      </c>
      <c r="AF770" s="1">
        <v>0.8</v>
      </c>
      <c r="AG770" s="1">
        <v>0.86</v>
      </c>
      <c r="AH770" s="1">
        <v>0</v>
      </c>
      <c r="AI770" s="1">
        <v>0</v>
      </c>
      <c r="AJ770" s="1">
        <f t="shared" si="62"/>
        <v>0</v>
      </c>
      <c r="AK770" s="1">
        <f>C70</f>
        <v>0</v>
      </c>
      <c r="AL770" s="1">
        <f>C76</f>
        <v>0</v>
      </c>
      <c r="AM770" s="1">
        <f t="shared" si="63"/>
        <v>0</v>
      </c>
      <c r="AN770" s="1">
        <f t="shared" si="64"/>
        <v>0</v>
      </c>
      <c r="AO770" s="1">
        <f t="shared" si="65"/>
        <v>0</v>
      </c>
      <c r="AP770" t="b" cm="1">
        <f t="array" ref="AP770">INDEX($AU$8:$BB$25,6*(R770-1)+MATCH(AB770,$AS$8:$AS$13,0),MATCH(O770,$AU$7:$BB$7,0))</f>
        <v>1</v>
      </c>
    </row>
    <row r="771" spans="15:42" ht="14.25" x14ac:dyDescent="0.45">
      <c r="O771" s="43" t="s">
        <v>34</v>
      </c>
      <c r="P771" s="43">
        <v>3</v>
      </c>
      <c r="Q771" s="43">
        <v>14</v>
      </c>
      <c r="R771" s="43">
        <v>2</v>
      </c>
      <c r="S771" s="45"/>
      <c r="T771" t="b">
        <f>(S770+S771+S772)=S4</f>
        <v>0</v>
      </c>
      <c r="X771" s="1">
        <f t="shared" si="66"/>
        <v>0</v>
      </c>
      <c r="Y771" s="48">
        <v>0</v>
      </c>
      <c r="AA771" s="1">
        <v>2</v>
      </c>
      <c r="AB771" s="1" t="s">
        <v>13</v>
      </c>
      <c r="AC771" s="1" t="s">
        <v>19</v>
      </c>
      <c r="AD771" s="1">
        <v>12</v>
      </c>
      <c r="AE771" s="1">
        <v>11</v>
      </c>
      <c r="AF771" s="1">
        <v>0.8</v>
      </c>
      <c r="AG771" s="1">
        <v>0.86</v>
      </c>
      <c r="AH771" s="1">
        <v>0</v>
      </c>
      <c r="AI771" s="1">
        <v>0</v>
      </c>
      <c r="AJ771" s="1">
        <f t="shared" si="62"/>
        <v>0</v>
      </c>
      <c r="AK771" s="1">
        <f>D70</f>
        <v>0</v>
      </c>
      <c r="AL771" s="1">
        <f>D76</f>
        <v>0</v>
      </c>
      <c r="AM771" s="1">
        <f t="shared" si="63"/>
        <v>0</v>
      </c>
      <c r="AN771" s="1">
        <f t="shared" si="64"/>
        <v>0</v>
      </c>
      <c r="AO771" s="1">
        <f t="shared" si="65"/>
        <v>0</v>
      </c>
      <c r="AP771" t="b" cm="1">
        <f t="array" ref="AP771">INDEX($AU$8:$BB$25,6*(R771-1)+MATCH(AB771,$AS$8:$AS$13,0),MATCH(O771,$AU$7:$BB$7,0))</f>
        <v>1</v>
      </c>
    </row>
    <row r="772" spans="15:42" ht="14.25" x14ac:dyDescent="0.45">
      <c r="O772" s="43" t="s">
        <v>34</v>
      </c>
      <c r="P772" s="43">
        <v>3</v>
      </c>
      <c r="Q772" s="43">
        <v>14</v>
      </c>
      <c r="R772" s="43">
        <v>3</v>
      </c>
      <c r="S772" s="45"/>
      <c r="T772" t="b">
        <f>(S770+S771+S772)=S4</f>
        <v>0</v>
      </c>
      <c r="X772" s="1">
        <f t="shared" si="66"/>
        <v>0</v>
      </c>
      <c r="Y772" s="48">
        <v>0</v>
      </c>
      <c r="AA772" s="1">
        <v>2</v>
      </c>
      <c r="AB772" s="1" t="s">
        <v>13</v>
      </c>
      <c r="AC772" s="1" t="s">
        <v>19</v>
      </c>
      <c r="AD772" s="1">
        <v>12</v>
      </c>
      <c r="AE772" s="1">
        <v>11</v>
      </c>
      <c r="AF772" s="1">
        <v>0.8</v>
      </c>
      <c r="AG772" s="1">
        <v>0.86</v>
      </c>
      <c r="AH772" s="1">
        <v>0</v>
      </c>
      <c r="AI772" s="1">
        <v>0</v>
      </c>
      <c r="AJ772" s="1">
        <f t="shared" si="62"/>
        <v>0</v>
      </c>
      <c r="AK772" s="1">
        <f>E70</f>
        <v>0</v>
      </c>
      <c r="AL772" s="1">
        <f>E76</f>
        <v>0</v>
      </c>
      <c r="AM772" s="1">
        <f t="shared" si="63"/>
        <v>0</v>
      </c>
      <c r="AN772" s="1">
        <f t="shared" si="64"/>
        <v>0</v>
      </c>
      <c r="AO772" s="1">
        <f t="shared" si="65"/>
        <v>0</v>
      </c>
      <c r="AP772" t="b" cm="1">
        <f t="array" ref="AP772">INDEX($AU$8:$BB$25,6*(R772-1)+MATCH(AB772,$AS$8:$AS$13,0),MATCH(O772,$AU$7:$BB$7,0))</f>
        <v>1</v>
      </c>
    </row>
    <row r="773" spans="15:42" ht="14.25" x14ac:dyDescent="0.45">
      <c r="O773" s="43" t="s">
        <v>34</v>
      </c>
      <c r="P773" s="43">
        <v>3</v>
      </c>
      <c r="Q773" s="43">
        <v>15</v>
      </c>
      <c r="R773" s="43">
        <v>1</v>
      </c>
      <c r="S773" s="45"/>
      <c r="T773" t="b">
        <f>(S773+S774+S775)=S4</f>
        <v>0</v>
      </c>
      <c r="X773" s="1">
        <f t="shared" si="66"/>
        <v>0</v>
      </c>
      <c r="Y773" s="48">
        <v>0</v>
      </c>
      <c r="AA773" s="1">
        <v>2</v>
      </c>
      <c r="AB773" s="1" t="s">
        <v>14</v>
      </c>
      <c r="AC773" s="1" t="s">
        <v>20</v>
      </c>
      <c r="AD773" s="1">
        <v>11</v>
      </c>
      <c r="AE773" s="1">
        <v>10</v>
      </c>
      <c r="AF773" s="1">
        <v>0.8</v>
      </c>
      <c r="AG773" s="1">
        <v>0.88</v>
      </c>
      <c r="AH773" s="1">
        <v>0</v>
      </c>
      <c r="AI773" s="1">
        <v>0</v>
      </c>
      <c r="AJ773" s="1">
        <f t="shared" si="62"/>
        <v>0</v>
      </c>
      <c r="AK773" s="1">
        <f>C71</f>
        <v>0</v>
      </c>
      <c r="AL773" s="1">
        <f>C77</f>
        <v>0</v>
      </c>
      <c r="AM773" s="1">
        <f t="shared" si="63"/>
        <v>0</v>
      </c>
      <c r="AN773" s="1">
        <f t="shared" si="64"/>
        <v>0</v>
      </c>
      <c r="AO773" s="1">
        <f t="shared" si="65"/>
        <v>0</v>
      </c>
      <c r="AP773" t="b" cm="1">
        <f t="array" ref="AP773">INDEX($AU$8:$BB$25,6*(R773-1)+MATCH(AB773,$AS$8:$AS$13,0),MATCH(O773,$AU$7:$BB$7,0))</f>
        <v>1</v>
      </c>
    </row>
    <row r="774" spans="15:42" ht="14.25" x14ac:dyDescent="0.45">
      <c r="O774" s="43" t="s">
        <v>34</v>
      </c>
      <c r="P774" s="43">
        <v>3</v>
      </c>
      <c r="Q774" s="43">
        <v>15</v>
      </c>
      <c r="R774" s="43">
        <v>2</v>
      </c>
      <c r="S774" s="45"/>
      <c r="T774" t="b">
        <f>(S773+S774+S775)=S4</f>
        <v>0</v>
      </c>
      <c r="X774" s="1">
        <f t="shared" si="66"/>
        <v>0</v>
      </c>
      <c r="Y774" s="48">
        <v>0</v>
      </c>
      <c r="AA774" s="1">
        <v>2</v>
      </c>
      <c r="AB774" s="1" t="s">
        <v>14</v>
      </c>
      <c r="AC774" s="1" t="s">
        <v>20</v>
      </c>
      <c r="AD774" s="1">
        <v>11</v>
      </c>
      <c r="AE774" s="1">
        <v>10</v>
      </c>
      <c r="AF774" s="1">
        <v>0.8</v>
      </c>
      <c r="AG774" s="1">
        <v>0.88</v>
      </c>
      <c r="AH774" s="1">
        <v>0</v>
      </c>
      <c r="AI774" s="1">
        <v>0</v>
      </c>
      <c r="AJ774" s="1">
        <f t="shared" si="62"/>
        <v>0</v>
      </c>
      <c r="AK774" s="1">
        <f>D71</f>
        <v>0</v>
      </c>
      <c r="AL774" s="1">
        <f>D77</f>
        <v>0</v>
      </c>
      <c r="AM774" s="1">
        <f t="shared" si="63"/>
        <v>0</v>
      </c>
      <c r="AN774" s="1">
        <f t="shared" si="64"/>
        <v>0</v>
      </c>
      <c r="AO774" s="1">
        <f t="shared" si="65"/>
        <v>0</v>
      </c>
      <c r="AP774" t="b" cm="1">
        <f t="array" ref="AP774">INDEX($AU$8:$BB$25,6*(R774-1)+MATCH(AB774,$AS$8:$AS$13,0),MATCH(O774,$AU$7:$BB$7,0))</f>
        <v>1</v>
      </c>
    </row>
    <row r="775" spans="15:42" ht="14.25" x14ac:dyDescent="0.45">
      <c r="O775" s="43" t="s">
        <v>34</v>
      </c>
      <c r="P775" s="43">
        <v>3</v>
      </c>
      <c r="Q775" s="43">
        <v>15</v>
      </c>
      <c r="R775" s="43">
        <v>3</v>
      </c>
      <c r="S775" s="45"/>
      <c r="T775" t="b">
        <f>(S773+S774+S775)=S4</f>
        <v>0</v>
      </c>
      <c r="X775" s="1">
        <f t="shared" si="66"/>
        <v>0</v>
      </c>
      <c r="Y775" s="48">
        <v>0</v>
      </c>
      <c r="AA775" s="1">
        <v>2</v>
      </c>
      <c r="AB775" s="1" t="s">
        <v>14</v>
      </c>
      <c r="AC775" s="1" t="s">
        <v>20</v>
      </c>
      <c r="AD775" s="1">
        <v>11</v>
      </c>
      <c r="AE775" s="1">
        <v>10</v>
      </c>
      <c r="AF775" s="1">
        <v>0.8</v>
      </c>
      <c r="AG775" s="1">
        <v>0.88</v>
      </c>
      <c r="AH775" s="1">
        <v>0</v>
      </c>
      <c r="AI775" s="1">
        <v>0</v>
      </c>
      <c r="AJ775" s="1">
        <f t="shared" si="62"/>
        <v>0</v>
      </c>
      <c r="AK775" s="1">
        <f>E71</f>
        <v>0</v>
      </c>
      <c r="AL775" s="1">
        <f>E77</f>
        <v>0</v>
      </c>
      <c r="AM775" s="1">
        <f t="shared" si="63"/>
        <v>0</v>
      </c>
      <c r="AN775" s="1">
        <f t="shared" si="64"/>
        <v>0</v>
      </c>
      <c r="AO775" s="1">
        <f t="shared" si="65"/>
        <v>0</v>
      </c>
      <c r="AP775" t="b" cm="1">
        <f t="array" ref="AP775">INDEX($AU$8:$BB$25,6*(R775-1)+MATCH(AB775,$AS$8:$AS$13,0),MATCH(O775,$AU$7:$BB$7,0))</f>
        <v>1</v>
      </c>
    </row>
    <row r="776" spans="15:42" ht="14.25" x14ac:dyDescent="0.45">
      <c r="O776" s="43" t="s">
        <v>34</v>
      </c>
      <c r="P776" s="43">
        <v>3</v>
      </c>
      <c r="Q776" s="43">
        <v>16</v>
      </c>
      <c r="R776" s="43">
        <v>1</v>
      </c>
      <c r="S776" s="45"/>
      <c r="T776" t="b">
        <f>(S776+S777+S778)=S4</f>
        <v>0</v>
      </c>
      <c r="X776" s="1">
        <f t="shared" si="66"/>
        <v>0</v>
      </c>
      <c r="Y776" s="48">
        <v>0</v>
      </c>
      <c r="AA776" s="1">
        <v>4</v>
      </c>
      <c r="AB776" s="1" t="s">
        <v>13</v>
      </c>
      <c r="AC776" s="1" t="s">
        <v>19</v>
      </c>
      <c r="AD776" s="1">
        <v>25</v>
      </c>
      <c r="AE776" s="1">
        <v>20</v>
      </c>
      <c r="AF776" s="1">
        <v>0.8</v>
      </c>
      <c r="AG776" s="1">
        <v>0.86</v>
      </c>
      <c r="AH776" s="1">
        <v>0</v>
      </c>
      <c r="AI776" s="1">
        <v>0</v>
      </c>
      <c r="AJ776" s="1">
        <f t="shared" si="62"/>
        <v>0</v>
      </c>
      <c r="AK776" s="1">
        <f>C70</f>
        <v>0</v>
      </c>
      <c r="AL776" s="1">
        <f>C76</f>
        <v>0</v>
      </c>
      <c r="AM776" s="1">
        <f t="shared" si="63"/>
        <v>0</v>
      </c>
      <c r="AN776" s="1">
        <f t="shared" si="64"/>
        <v>0</v>
      </c>
      <c r="AO776" s="1">
        <f t="shared" si="65"/>
        <v>0</v>
      </c>
      <c r="AP776" t="b" cm="1">
        <f t="array" ref="AP776">INDEX($AU$8:$BB$25,6*(R776-1)+MATCH(AB776,$AS$8:$AS$13,0),MATCH(O776,$AU$7:$BB$7,0))</f>
        <v>1</v>
      </c>
    </row>
    <row r="777" spans="15:42" ht="14.25" x14ac:dyDescent="0.45">
      <c r="O777" s="43" t="s">
        <v>34</v>
      </c>
      <c r="P777" s="43">
        <v>3</v>
      </c>
      <c r="Q777" s="43">
        <v>16</v>
      </c>
      <c r="R777" s="43">
        <v>2</v>
      </c>
      <c r="S777" s="45"/>
      <c r="T777" t="b">
        <f>(S776+S777+S778)=S4</f>
        <v>0</v>
      </c>
      <c r="X777" s="1">
        <f t="shared" si="66"/>
        <v>0</v>
      </c>
      <c r="Y777" s="48">
        <v>0</v>
      </c>
      <c r="AA777" s="1">
        <v>4</v>
      </c>
      <c r="AB777" s="1" t="s">
        <v>13</v>
      </c>
      <c r="AC777" s="1" t="s">
        <v>19</v>
      </c>
      <c r="AD777" s="1">
        <v>25</v>
      </c>
      <c r="AE777" s="1">
        <v>20</v>
      </c>
      <c r="AF777" s="1">
        <v>0.8</v>
      </c>
      <c r="AG777" s="1">
        <v>0.86</v>
      </c>
      <c r="AH777" s="1">
        <v>0</v>
      </c>
      <c r="AI777" s="1">
        <v>0</v>
      </c>
      <c r="AJ777" s="1">
        <f t="shared" ref="AJ777:AJ840" si="67">SUMIFS(AH$8:AH$1039,$O$8:$O$1039,O777,$AB$8:$AB$1039,AB777,$R$8:$R$1039,R777,$AA$8:$AA$1039,"&lt;="&amp;AA777)</f>
        <v>0</v>
      </c>
      <c r="AK777" s="1">
        <f>D70</f>
        <v>0</v>
      </c>
      <c r="AL777" s="1">
        <f>D76</f>
        <v>0</v>
      </c>
      <c r="AM777" s="1">
        <f t="shared" ref="AM777:AM840" si="68">MAX(0,AJ777-AK777)</f>
        <v>0</v>
      </c>
      <c r="AN777" s="1">
        <f t="shared" ref="AN777:AN840" si="69">IF(AM777=0,AH777,IF(AM777&gt;=AH777,0,AH777-AM777))</f>
        <v>0</v>
      </c>
      <c r="AO777" s="1">
        <f t="shared" ref="AO777:AO840" si="70">IF(AM777&gt;=AH777,AI777,AI777*AM777/AH777)</f>
        <v>0</v>
      </c>
      <c r="AP777" t="b" cm="1">
        <f t="array" ref="AP777">INDEX($AU$8:$BB$25,6*(R777-1)+MATCH(AB777,$AS$8:$AS$13,0),MATCH(O777,$AU$7:$BB$7,0))</f>
        <v>1</v>
      </c>
    </row>
    <row r="778" spans="15:42" ht="14.25" x14ac:dyDescent="0.45">
      <c r="O778" s="43" t="s">
        <v>34</v>
      </c>
      <c r="P778" s="43">
        <v>3</v>
      </c>
      <c r="Q778" s="43">
        <v>16</v>
      </c>
      <c r="R778" s="43">
        <v>3</v>
      </c>
      <c r="S778" s="45"/>
      <c r="T778" t="b">
        <f>(S776+S777+S778)=S4</f>
        <v>0</v>
      </c>
      <c r="X778" s="1">
        <f t="shared" si="66"/>
        <v>0</v>
      </c>
      <c r="Y778" s="48">
        <v>0</v>
      </c>
      <c r="AA778" s="1">
        <v>4</v>
      </c>
      <c r="AB778" s="1" t="s">
        <v>13</v>
      </c>
      <c r="AC778" s="1" t="s">
        <v>19</v>
      </c>
      <c r="AD778" s="1">
        <v>25</v>
      </c>
      <c r="AE778" s="1">
        <v>20</v>
      </c>
      <c r="AF778" s="1">
        <v>0.8</v>
      </c>
      <c r="AG778" s="1">
        <v>0.86</v>
      </c>
      <c r="AH778" s="1">
        <v>0</v>
      </c>
      <c r="AI778" s="1">
        <v>0</v>
      </c>
      <c r="AJ778" s="1">
        <f t="shared" si="67"/>
        <v>0</v>
      </c>
      <c r="AK778" s="1">
        <f>E70</f>
        <v>0</v>
      </c>
      <c r="AL778" s="1">
        <f>E76</f>
        <v>0</v>
      </c>
      <c r="AM778" s="1">
        <f t="shared" si="68"/>
        <v>0</v>
      </c>
      <c r="AN778" s="1">
        <f t="shared" si="69"/>
        <v>0</v>
      </c>
      <c r="AO778" s="1">
        <f t="shared" si="70"/>
        <v>0</v>
      </c>
      <c r="AP778" t="b" cm="1">
        <f t="array" ref="AP778">INDEX($AU$8:$BB$25,6*(R778-1)+MATCH(AB778,$AS$8:$AS$13,0),MATCH(O778,$AU$7:$BB$7,0))</f>
        <v>1</v>
      </c>
    </row>
    <row r="779" spans="15:42" ht="14.25" x14ac:dyDescent="0.45">
      <c r="O779" s="43" t="s">
        <v>34</v>
      </c>
      <c r="P779" s="43">
        <v>3</v>
      </c>
      <c r="Q779" s="43">
        <v>17</v>
      </c>
      <c r="R779" s="43">
        <v>1</v>
      </c>
      <c r="S779" s="45"/>
      <c r="T779" t="b">
        <f>(S779+S780+S781)=S4</f>
        <v>0</v>
      </c>
      <c r="X779" s="1">
        <f t="shared" si="66"/>
        <v>0</v>
      </c>
      <c r="Y779" s="48">
        <v>0</v>
      </c>
      <c r="AA779" s="1">
        <v>1</v>
      </c>
      <c r="AB779" s="1" t="s">
        <v>16</v>
      </c>
      <c r="AC779" s="1" t="s">
        <v>22</v>
      </c>
      <c r="AD779" s="1">
        <v>14</v>
      </c>
      <c r="AE779" s="1">
        <v>13</v>
      </c>
      <c r="AF779" s="1">
        <v>0.8</v>
      </c>
      <c r="AG779" s="1">
        <v>0.9</v>
      </c>
      <c r="AH779" s="1">
        <v>0</v>
      </c>
      <c r="AI779" s="1">
        <v>0</v>
      </c>
      <c r="AJ779" s="1">
        <f t="shared" si="67"/>
        <v>0</v>
      </c>
      <c r="AK779" s="1">
        <f>C73</f>
        <v>0</v>
      </c>
      <c r="AL779" s="1">
        <f>C79</f>
        <v>0</v>
      </c>
      <c r="AM779" s="1">
        <f t="shared" si="68"/>
        <v>0</v>
      </c>
      <c r="AN779" s="1">
        <f t="shared" si="69"/>
        <v>0</v>
      </c>
      <c r="AO779" s="1">
        <f t="shared" si="70"/>
        <v>0</v>
      </c>
      <c r="AP779" t="b" cm="1">
        <f t="array" ref="AP779">INDEX($AU$8:$BB$25,6*(R779-1)+MATCH(AB779,$AS$8:$AS$13,0),MATCH(O779,$AU$7:$BB$7,0))</f>
        <v>1</v>
      </c>
    </row>
    <row r="780" spans="15:42" ht="14.25" x14ac:dyDescent="0.45">
      <c r="O780" s="43" t="s">
        <v>34</v>
      </c>
      <c r="P780" s="43">
        <v>3</v>
      </c>
      <c r="Q780" s="43">
        <v>17</v>
      </c>
      <c r="R780" s="43">
        <v>2</v>
      </c>
      <c r="S780" s="45"/>
      <c r="T780" t="b">
        <f>(S779+S780+S781)=S4</f>
        <v>0</v>
      </c>
      <c r="X780" s="1">
        <f t="shared" si="66"/>
        <v>0</v>
      </c>
      <c r="Y780" s="48">
        <v>0</v>
      </c>
      <c r="AA780" s="1">
        <v>1</v>
      </c>
      <c r="AB780" s="1" t="s">
        <v>16</v>
      </c>
      <c r="AC780" s="1" t="s">
        <v>22</v>
      </c>
      <c r="AD780" s="1">
        <v>14</v>
      </c>
      <c r="AE780" s="1">
        <v>13</v>
      </c>
      <c r="AF780" s="1">
        <v>0.8</v>
      </c>
      <c r="AG780" s="1">
        <v>0.9</v>
      </c>
      <c r="AH780" s="1">
        <v>0</v>
      </c>
      <c r="AI780" s="1">
        <v>0</v>
      </c>
      <c r="AJ780" s="1">
        <f t="shared" si="67"/>
        <v>0</v>
      </c>
      <c r="AK780" s="1">
        <f>D73</f>
        <v>0</v>
      </c>
      <c r="AL780" s="1">
        <f>D79</f>
        <v>0</v>
      </c>
      <c r="AM780" s="1">
        <f t="shared" si="68"/>
        <v>0</v>
      </c>
      <c r="AN780" s="1">
        <f t="shared" si="69"/>
        <v>0</v>
      </c>
      <c r="AO780" s="1">
        <f t="shared" si="70"/>
        <v>0</v>
      </c>
      <c r="AP780" t="b" cm="1">
        <f t="array" ref="AP780">INDEX($AU$8:$BB$25,6*(R780-1)+MATCH(AB780,$AS$8:$AS$13,0),MATCH(O780,$AU$7:$BB$7,0))</f>
        <v>1</v>
      </c>
    </row>
    <row r="781" spans="15:42" ht="14.25" x14ac:dyDescent="0.45">
      <c r="O781" s="43" t="s">
        <v>34</v>
      </c>
      <c r="P781" s="43">
        <v>3</v>
      </c>
      <c r="Q781" s="43">
        <v>17</v>
      </c>
      <c r="R781" s="43">
        <v>3</v>
      </c>
      <c r="S781" s="45"/>
      <c r="T781" t="b">
        <f>(S779+S780+S781)=S4</f>
        <v>0</v>
      </c>
      <c r="X781" s="1">
        <f t="shared" si="66"/>
        <v>0</v>
      </c>
      <c r="Y781" s="48">
        <v>0</v>
      </c>
      <c r="AA781" s="1">
        <v>1</v>
      </c>
      <c r="AB781" s="1" t="s">
        <v>16</v>
      </c>
      <c r="AC781" s="1" t="s">
        <v>22</v>
      </c>
      <c r="AD781" s="1">
        <v>14</v>
      </c>
      <c r="AE781" s="1">
        <v>13</v>
      </c>
      <c r="AF781" s="1">
        <v>0.8</v>
      </c>
      <c r="AG781" s="1">
        <v>0.9</v>
      </c>
      <c r="AH781" s="1">
        <v>0</v>
      </c>
      <c r="AI781" s="1">
        <v>0</v>
      </c>
      <c r="AJ781" s="1">
        <f t="shared" si="67"/>
        <v>0</v>
      </c>
      <c r="AK781" s="1">
        <f>E73</f>
        <v>0</v>
      </c>
      <c r="AL781" s="1">
        <f>E79</f>
        <v>0</v>
      </c>
      <c r="AM781" s="1">
        <f t="shared" si="68"/>
        <v>0</v>
      </c>
      <c r="AN781" s="1">
        <f t="shared" si="69"/>
        <v>0</v>
      </c>
      <c r="AO781" s="1">
        <f t="shared" si="70"/>
        <v>0</v>
      </c>
      <c r="AP781" t="b" cm="1">
        <f t="array" ref="AP781">INDEX($AU$8:$BB$25,6*(R781-1)+MATCH(AB781,$AS$8:$AS$13,0),MATCH(O781,$AU$7:$BB$7,0))</f>
        <v>1</v>
      </c>
    </row>
    <row r="782" spans="15:42" ht="14.25" x14ac:dyDescent="0.45">
      <c r="O782" s="43" t="s">
        <v>35</v>
      </c>
      <c r="P782" s="43">
        <v>1</v>
      </c>
      <c r="Q782" s="43">
        <v>1</v>
      </c>
      <c r="R782" s="43">
        <v>1</v>
      </c>
      <c r="S782" s="45"/>
      <c r="T782" t="b">
        <f>(S782+S783+S784)=T2</f>
        <v>0</v>
      </c>
      <c r="X782" s="1">
        <v>0</v>
      </c>
      <c r="Y782" s="48">
        <v>0</v>
      </c>
      <c r="AA782" s="1">
        <v>4</v>
      </c>
      <c r="AB782" s="1" t="s">
        <v>14</v>
      </c>
      <c r="AC782" s="1" t="s">
        <v>20</v>
      </c>
      <c r="AD782" s="1">
        <v>14</v>
      </c>
      <c r="AE782" s="1">
        <v>12</v>
      </c>
      <c r="AF782" s="1">
        <v>0.8</v>
      </c>
      <c r="AG782" s="1">
        <v>0.88</v>
      </c>
      <c r="AH782" s="1">
        <v>0</v>
      </c>
      <c r="AI782" s="1">
        <v>0</v>
      </c>
      <c r="AJ782" s="1">
        <f t="shared" si="67"/>
        <v>0</v>
      </c>
      <c r="AK782" s="1">
        <f>C83</f>
        <v>0</v>
      </c>
      <c r="AL782" s="1">
        <f>C89</f>
        <v>0</v>
      </c>
      <c r="AM782" s="1">
        <f t="shared" si="68"/>
        <v>0</v>
      </c>
      <c r="AN782" s="1">
        <f t="shared" si="69"/>
        <v>0</v>
      </c>
      <c r="AO782" s="1">
        <f t="shared" si="70"/>
        <v>0</v>
      </c>
      <c r="AP782" t="b" cm="1">
        <f t="array" ref="AP782">INDEX($AU$8:$BB$25,6*(R782-1)+MATCH(AB782,$AS$8:$AS$13,0),MATCH(O782,$AU$7:$BB$7,0))</f>
        <v>1</v>
      </c>
    </row>
    <row r="783" spans="15:42" ht="14.25" x14ac:dyDescent="0.45">
      <c r="O783" s="43" t="s">
        <v>35</v>
      </c>
      <c r="P783" s="43">
        <v>1</v>
      </c>
      <c r="Q783" s="43">
        <v>1</v>
      </c>
      <c r="R783" s="43">
        <v>2</v>
      </c>
      <c r="S783" s="45"/>
      <c r="T783" t="b">
        <f>(S782+S783+S784)=T2</f>
        <v>0</v>
      </c>
      <c r="X783" s="1">
        <v>0</v>
      </c>
      <c r="Y783" s="48">
        <v>0</v>
      </c>
      <c r="AA783" s="1">
        <v>4</v>
      </c>
      <c r="AB783" s="1" t="s">
        <v>14</v>
      </c>
      <c r="AC783" s="1" t="s">
        <v>20</v>
      </c>
      <c r="AD783" s="1">
        <v>14</v>
      </c>
      <c r="AE783" s="1">
        <v>12</v>
      </c>
      <c r="AF783" s="1">
        <v>0.8</v>
      </c>
      <c r="AG783" s="1">
        <v>0.88</v>
      </c>
      <c r="AH783" s="1">
        <v>0</v>
      </c>
      <c r="AI783" s="1">
        <v>0</v>
      </c>
      <c r="AJ783" s="1">
        <f t="shared" si="67"/>
        <v>0</v>
      </c>
      <c r="AK783" s="1">
        <f>D83</f>
        <v>0</v>
      </c>
      <c r="AL783" s="1">
        <f>D89</f>
        <v>0</v>
      </c>
      <c r="AM783" s="1">
        <f t="shared" si="68"/>
        <v>0</v>
      </c>
      <c r="AN783" s="1">
        <f t="shared" si="69"/>
        <v>0</v>
      </c>
      <c r="AO783" s="1">
        <f t="shared" si="70"/>
        <v>0</v>
      </c>
      <c r="AP783" t="b" cm="1">
        <f t="array" ref="AP783">INDEX($AU$8:$BB$25,6*(R783-1)+MATCH(AB783,$AS$8:$AS$13,0),MATCH(O783,$AU$7:$BB$7,0))</f>
        <v>1</v>
      </c>
    </row>
    <row r="784" spans="15:42" ht="14.25" x14ac:dyDescent="0.45">
      <c r="O784" s="43" t="s">
        <v>35</v>
      </c>
      <c r="P784" s="43">
        <v>1</v>
      </c>
      <c r="Q784" s="43">
        <v>1</v>
      </c>
      <c r="R784" s="43">
        <v>3</v>
      </c>
      <c r="S784" s="45"/>
      <c r="T784" t="b">
        <f>(S782+S783+S784)=T2</f>
        <v>0</v>
      </c>
      <c r="X784" s="1">
        <v>0</v>
      </c>
      <c r="Y784" s="48">
        <v>0</v>
      </c>
      <c r="AA784" s="1">
        <v>4</v>
      </c>
      <c r="AB784" s="1" t="s">
        <v>14</v>
      </c>
      <c r="AC784" s="1" t="s">
        <v>20</v>
      </c>
      <c r="AD784" s="1">
        <v>14</v>
      </c>
      <c r="AE784" s="1">
        <v>12</v>
      </c>
      <c r="AF784" s="1">
        <v>0.8</v>
      </c>
      <c r="AG784" s="1">
        <v>0.88</v>
      </c>
      <c r="AH784" s="1">
        <v>0</v>
      </c>
      <c r="AI784" s="1">
        <v>0</v>
      </c>
      <c r="AJ784" s="1">
        <f t="shared" si="67"/>
        <v>0</v>
      </c>
      <c r="AK784" s="1">
        <f>E83</f>
        <v>0</v>
      </c>
      <c r="AL784" s="1">
        <f>E89</f>
        <v>0</v>
      </c>
      <c r="AM784" s="1">
        <f t="shared" si="68"/>
        <v>0</v>
      </c>
      <c r="AN784" s="1">
        <f t="shared" si="69"/>
        <v>0</v>
      </c>
      <c r="AO784" s="1">
        <f t="shared" si="70"/>
        <v>0</v>
      </c>
      <c r="AP784" t="b" cm="1">
        <f t="array" ref="AP784">INDEX($AU$8:$BB$25,6*(R784-1)+MATCH(AB784,$AS$8:$AS$13,0),MATCH(O784,$AU$7:$BB$7,0))</f>
        <v>1</v>
      </c>
    </row>
    <row r="785" spans="15:42" ht="14.25" x14ac:dyDescent="0.45">
      <c r="O785" s="43" t="s">
        <v>35</v>
      </c>
      <c r="P785" s="43">
        <v>1</v>
      </c>
      <c r="Q785" s="43">
        <v>2</v>
      </c>
      <c r="R785" s="43">
        <v>1</v>
      </c>
      <c r="S785" s="45"/>
      <c r="T785" t="b">
        <f>(S785+S786+S787)=T2</f>
        <v>0</v>
      </c>
      <c r="X785" s="1">
        <f>MAX(S782-S785,0)</f>
        <v>0</v>
      </c>
      <c r="Y785" s="48">
        <v>0</v>
      </c>
      <c r="AA785" s="1">
        <v>10</v>
      </c>
      <c r="AB785" s="1" t="s">
        <v>16</v>
      </c>
      <c r="AC785" s="1" t="s">
        <v>22</v>
      </c>
      <c r="AD785" s="1">
        <v>25</v>
      </c>
      <c r="AE785" s="1">
        <v>21</v>
      </c>
      <c r="AF785" s="1">
        <v>0.8</v>
      </c>
      <c r="AG785" s="1">
        <v>0.9</v>
      </c>
      <c r="AH785" s="1">
        <v>0</v>
      </c>
      <c r="AI785" s="1">
        <v>0</v>
      </c>
      <c r="AJ785" s="1">
        <f t="shared" si="67"/>
        <v>0</v>
      </c>
      <c r="AK785" s="1">
        <f>C85</f>
        <v>0</v>
      </c>
      <c r="AL785" s="1">
        <f>C91</f>
        <v>0</v>
      </c>
      <c r="AM785" s="1">
        <f t="shared" si="68"/>
        <v>0</v>
      </c>
      <c r="AN785" s="1">
        <f t="shared" si="69"/>
        <v>0</v>
      </c>
      <c r="AO785" s="1">
        <f t="shared" si="70"/>
        <v>0</v>
      </c>
      <c r="AP785" t="b" cm="1">
        <f t="array" ref="AP785">INDEX($AU$8:$BB$25,6*(R785-1)+MATCH(AB785,$AS$8:$AS$13,0),MATCH(O785,$AU$7:$BB$7,0))</f>
        <v>1</v>
      </c>
    </row>
    <row r="786" spans="15:42" ht="14.25" x14ac:dyDescent="0.45">
      <c r="O786" s="43" t="s">
        <v>35</v>
      </c>
      <c r="P786" s="43">
        <v>1</v>
      </c>
      <c r="Q786" s="43">
        <v>2</v>
      </c>
      <c r="R786" s="43">
        <v>2</v>
      </c>
      <c r="S786" s="45"/>
      <c r="T786" t="b">
        <f>(S785+S786+S787)=T2</f>
        <v>0</v>
      </c>
      <c r="X786" s="1">
        <f t="shared" ref="X786:X814" si="71">MAX(S783-S786,0)</f>
        <v>0</v>
      </c>
      <c r="Y786" s="48">
        <v>0</v>
      </c>
      <c r="AA786" s="1">
        <v>10</v>
      </c>
      <c r="AB786" s="1" t="s">
        <v>16</v>
      </c>
      <c r="AC786" s="1" t="s">
        <v>22</v>
      </c>
      <c r="AD786" s="1">
        <v>25</v>
      </c>
      <c r="AE786" s="1">
        <v>21</v>
      </c>
      <c r="AF786" s="1">
        <v>0.8</v>
      </c>
      <c r="AG786" s="1">
        <v>0.9</v>
      </c>
      <c r="AH786" s="1">
        <v>0</v>
      </c>
      <c r="AI786" s="1">
        <v>0</v>
      </c>
      <c r="AJ786" s="1">
        <f t="shared" si="67"/>
        <v>0</v>
      </c>
      <c r="AK786" s="1">
        <f>D85</f>
        <v>0</v>
      </c>
      <c r="AL786" s="1">
        <f>D91</f>
        <v>0</v>
      </c>
      <c r="AM786" s="1">
        <f t="shared" si="68"/>
        <v>0</v>
      </c>
      <c r="AN786" s="1">
        <f t="shared" si="69"/>
        <v>0</v>
      </c>
      <c r="AO786" s="1">
        <f t="shared" si="70"/>
        <v>0</v>
      </c>
      <c r="AP786" t="b" cm="1">
        <f t="array" ref="AP786">INDEX($AU$8:$BB$25,6*(R786-1)+MATCH(AB786,$AS$8:$AS$13,0),MATCH(O786,$AU$7:$BB$7,0))</f>
        <v>1</v>
      </c>
    </row>
    <row r="787" spans="15:42" ht="14.25" x14ac:dyDescent="0.45">
      <c r="O787" s="43" t="s">
        <v>35</v>
      </c>
      <c r="P787" s="43">
        <v>1</v>
      </c>
      <c r="Q787" s="43">
        <v>2</v>
      </c>
      <c r="R787" s="43">
        <v>3</v>
      </c>
      <c r="S787" s="45"/>
      <c r="T787" t="b">
        <f>(S785+S786+S787)=T2</f>
        <v>0</v>
      </c>
      <c r="X787" s="1">
        <f t="shared" si="71"/>
        <v>0</v>
      </c>
      <c r="Y787" s="48">
        <v>0</v>
      </c>
      <c r="AA787" s="1">
        <v>10</v>
      </c>
      <c r="AB787" s="1" t="s">
        <v>16</v>
      </c>
      <c r="AC787" s="1" t="s">
        <v>22</v>
      </c>
      <c r="AD787" s="1">
        <v>25</v>
      </c>
      <c r="AE787" s="1">
        <v>21</v>
      </c>
      <c r="AF787" s="1">
        <v>0.8</v>
      </c>
      <c r="AG787" s="1">
        <v>0.9</v>
      </c>
      <c r="AH787" s="1">
        <v>0</v>
      </c>
      <c r="AI787" s="1">
        <v>0</v>
      </c>
      <c r="AJ787" s="1">
        <f t="shared" si="67"/>
        <v>0</v>
      </c>
      <c r="AK787" s="1">
        <f>E85</f>
        <v>0</v>
      </c>
      <c r="AL787" s="1">
        <f>E91</f>
        <v>0</v>
      </c>
      <c r="AM787" s="1">
        <f t="shared" si="68"/>
        <v>0</v>
      </c>
      <c r="AN787" s="1">
        <f t="shared" si="69"/>
        <v>0</v>
      </c>
      <c r="AO787" s="1">
        <f t="shared" si="70"/>
        <v>0</v>
      </c>
      <c r="AP787" t="b" cm="1">
        <f t="array" ref="AP787">INDEX($AU$8:$BB$25,6*(R787-1)+MATCH(AB787,$AS$8:$AS$13,0),MATCH(O787,$AU$7:$BB$7,0))</f>
        <v>1</v>
      </c>
    </row>
    <row r="788" spans="15:42" ht="14.25" x14ac:dyDescent="0.45">
      <c r="O788" s="43" t="s">
        <v>35</v>
      </c>
      <c r="P788" s="43">
        <v>1</v>
      </c>
      <c r="Q788" s="43">
        <v>3</v>
      </c>
      <c r="R788" s="43">
        <v>1</v>
      </c>
      <c r="S788" s="45"/>
      <c r="T788" t="b">
        <f>(S788+S789+S790)=T2</f>
        <v>0</v>
      </c>
      <c r="X788" s="1">
        <f t="shared" si="71"/>
        <v>0</v>
      </c>
      <c r="Y788" s="48">
        <v>0</v>
      </c>
      <c r="AA788" s="1">
        <v>8</v>
      </c>
      <c r="AB788" s="1" t="s">
        <v>16</v>
      </c>
      <c r="AC788" s="1" t="s">
        <v>22</v>
      </c>
      <c r="AD788" s="1">
        <v>27</v>
      </c>
      <c r="AE788" s="1">
        <v>23</v>
      </c>
      <c r="AF788" s="1">
        <v>0.8</v>
      </c>
      <c r="AG788" s="1">
        <v>0.9</v>
      </c>
      <c r="AH788" s="1">
        <v>0</v>
      </c>
      <c r="AI788" s="1">
        <v>0</v>
      </c>
      <c r="AJ788" s="1">
        <f t="shared" si="67"/>
        <v>0</v>
      </c>
      <c r="AK788" s="1">
        <f>C85</f>
        <v>0</v>
      </c>
      <c r="AL788" s="1">
        <f>C91</f>
        <v>0</v>
      </c>
      <c r="AM788" s="1">
        <f t="shared" si="68"/>
        <v>0</v>
      </c>
      <c r="AN788" s="1">
        <f t="shared" si="69"/>
        <v>0</v>
      </c>
      <c r="AO788" s="1">
        <f t="shared" si="70"/>
        <v>0</v>
      </c>
      <c r="AP788" t="b" cm="1">
        <f t="array" ref="AP788">INDEX($AU$8:$BB$25,6*(R788-1)+MATCH(AB788,$AS$8:$AS$13,0),MATCH(O788,$AU$7:$BB$7,0))</f>
        <v>1</v>
      </c>
    </row>
    <row r="789" spans="15:42" ht="14.25" x14ac:dyDescent="0.45">
      <c r="O789" s="43" t="s">
        <v>35</v>
      </c>
      <c r="P789" s="43">
        <v>1</v>
      </c>
      <c r="Q789" s="43">
        <v>3</v>
      </c>
      <c r="R789" s="43">
        <v>2</v>
      </c>
      <c r="S789" s="45"/>
      <c r="T789" t="b">
        <f>(S788+S789+S790)=T2</f>
        <v>0</v>
      </c>
      <c r="X789" s="1">
        <f t="shared" si="71"/>
        <v>0</v>
      </c>
      <c r="Y789" s="48">
        <v>0</v>
      </c>
      <c r="AA789" s="1">
        <v>8</v>
      </c>
      <c r="AB789" s="1" t="s">
        <v>16</v>
      </c>
      <c r="AC789" s="1" t="s">
        <v>22</v>
      </c>
      <c r="AD789" s="1">
        <v>27</v>
      </c>
      <c r="AE789" s="1">
        <v>23</v>
      </c>
      <c r="AF789" s="1">
        <v>0.8</v>
      </c>
      <c r="AG789" s="1">
        <v>0.9</v>
      </c>
      <c r="AH789" s="1">
        <v>0</v>
      </c>
      <c r="AI789" s="1">
        <v>0</v>
      </c>
      <c r="AJ789" s="1">
        <f t="shared" si="67"/>
        <v>0</v>
      </c>
      <c r="AK789" s="1">
        <f>D85</f>
        <v>0</v>
      </c>
      <c r="AL789" s="1">
        <f>D91</f>
        <v>0</v>
      </c>
      <c r="AM789" s="1">
        <f t="shared" si="68"/>
        <v>0</v>
      </c>
      <c r="AN789" s="1">
        <f t="shared" si="69"/>
        <v>0</v>
      </c>
      <c r="AO789" s="1">
        <f t="shared" si="70"/>
        <v>0</v>
      </c>
      <c r="AP789" t="b" cm="1">
        <f t="array" ref="AP789">INDEX($AU$8:$BB$25,6*(R789-1)+MATCH(AB789,$AS$8:$AS$13,0),MATCH(O789,$AU$7:$BB$7,0))</f>
        <v>1</v>
      </c>
    </row>
    <row r="790" spans="15:42" ht="14.25" x14ac:dyDescent="0.45">
      <c r="O790" s="43" t="s">
        <v>35</v>
      </c>
      <c r="P790" s="43">
        <v>1</v>
      </c>
      <c r="Q790" s="43">
        <v>3</v>
      </c>
      <c r="R790" s="43">
        <v>3</v>
      </c>
      <c r="S790" s="45"/>
      <c r="T790" t="b">
        <f>(S788+S789+S790)=T2</f>
        <v>0</v>
      </c>
      <c r="X790" s="1">
        <f t="shared" si="71"/>
        <v>0</v>
      </c>
      <c r="Y790" s="48">
        <v>0</v>
      </c>
      <c r="AA790" s="1">
        <v>8</v>
      </c>
      <c r="AB790" s="1" t="s">
        <v>16</v>
      </c>
      <c r="AC790" s="1" t="s">
        <v>22</v>
      </c>
      <c r="AD790" s="1">
        <v>27</v>
      </c>
      <c r="AE790" s="1">
        <v>23</v>
      </c>
      <c r="AF790" s="1">
        <v>0.8</v>
      </c>
      <c r="AG790" s="1">
        <v>0.9</v>
      </c>
      <c r="AH790" s="1">
        <v>0</v>
      </c>
      <c r="AI790" s="1">
        <v>0</v>
      </c>
      <c r="AJ790" s="1">
        <f t="shared" si="67"/>
        <v>0</v>
      </c>
      <c r="AK790" s="1">
        <f>E85</f>
        <v>0</v>
      </c>
      <c r="AL790" s="1">
        <f>E91</f>
        <v>0</v>
      </c>
      <c r="AM790" s="1">
        <f t="shared" si="68"/>
        <v>0</v>
      </c>
      <c r="AN790" s="1">
        <f t="shared" si="69"/>
        <v>0</v>
      </c>
      <c r="AO790" s="1">
        <f t="shared" si="70"/>
        <v>0</v>
      </c>
      <c r="AP790" t="b" cm="1">
        <f t="array" ref="AP790">INDEX($AU$8:$BB$25,6*(R790-1)+MATCH(AB790,$AS$8:$AS$13,0),MATCH(O790,$AU$7:$BB$7,0))</f>
        <v>1</v>
      </c>
    </row>
    <row r="791" spans="15:42" ht="14.25" x14ac:dyDescent="0.45">
      <c r="O791" s="43" t="s">
        <v>35</v>
      </c>
      <c r="P791" s="43">
        <v>1</v>
      </c>
      <c r="Q791" s="43">
        <v>4</v>
      </c>
      <c r="R791" s="43">
        <v>1</v>
      </c>
      <c r="S791" s="45"/>
      <c r="T791" t="b">
        <f>(S791+S792+S793)=T2</f>
        <v>0</v>
      </c>
      <c r="X791" s="1">
        <f t="shared" si="71"/>
        <v>0</v>
      </c>
      <c r="Y791" s="48">
        <v>0</v>
      </c>
      <c r="AA791" s="1">
        <v>3</v>
      </c>
      <c r="AB791" s="1" t="s">
        <v>10</v>
      </c>
      <c r="AC791" s="1" t="s">
        <v>17</v>
      </c>
      <c r="AD791" s="1">
        <v>20</v>
      </c>
      <c r="AE791" s="1">
        <v>16</v>
      </c>
      <c r="AF791" s="1">
        <v>0.78</v>
      </c>
      <c r="AG791" s="1">
        <v>0.84</v>
      </c>
      <c r="AH791" s="1">
        <v>0</v>
      </c>
      <c r="AI791" s="1">
        <v>0</v>
      </c>
      <c r="AJ791" s="1">
        <f t="shared" si="67"/>
        <v>0</v>
      </c>
      <c r="AK791" s="1">
        <f>C80</f>
        <v>0</v>
      </c>
      <c r="AL791" s="1">
        <f>C86</f>
        <v>0</v>
      </c>
      <c r="AM791" s="1">
        <f t="shared" si="68"/>
        <v>0</v>
      </c>
      <c r="AN791" s="1">
        <f t="shared" si="69"/>
        <v>0</v>
      </c>
      <c r="AO791" s="1">
        <f t="shared" si="70"/>
        <v>0</v>
      </c>
      <c r="AP791" t="b" cm="1">
        <f t="array" ref="AP791">INDEX($AU$8:$BB$25,6*(R791-1)+MATCH(AB791,$AS$8:$AS$13,0),MATCH(O791,$AU$7:$BB$7,0))</f>
        <v>1</v>
      </c>
    </row>
    <row r="792" spans="15:42" ht="14.25" x14ac:dyDescent="0.45">
      <c r="O792" s="43" t="s">
        <v>35</v>
      </c>
      <c r="P792" s="43">
        <v>1</v>
      </c>
      <c r="Q792" s="43">
        <v>4</v>
      </c>
      <c r="R792" s="43">
        <v>2</v>
      </c>
      <c r="S792" s="45"/>
      <c r="T792" t="b">
        <f>(S791+S792+S793)=T2</f>
        <v>0</v>
      </c>
      <c r="X792" s="1">
        <f t="shared" si="71"/>
        <v>0</v>
      </c>
      <c r="Y792" s="48">
        <v>0</v>
      </c>
      <c r="AA792" s="1">
        <v>3</v>
      </c>
      <c r="AB792" s="1" t="s">
        <v>10</v>
      </c>
      <c r="AC792" s="1" t="s">
        <v>17</v>
      </c>
      <c r="AD792" s="1">
        <v>20</v>
      </c>
      <c r="AE792" s="1">
        <v>16</v>
      </c>
      <c r="AF792" s="1">
        <v>0.78</v>
      </c>
      <c r="AG792" s="1">
        <v>0.84</v>
      </c>
      <c r="AH792" s="1">
        <v>0</v>
      </c>
      <c r="AI792" s="1">
        <v>0</v>
      </c>
      <c r="AJ792" s="1">
        <f t="shared" si="67"/>
        <v>0</v>
      </c>
      <c r="AK792" s="1">
        <f>D80</f>
        <v>0</v>
      </c>
      <c r="AL792" s="1">
        <f>D86</f>
        <v>0</v>
      </c>
      <c r="AM792" s="1">
        <f t="shared" si="68"/>
        <v>0</v>
      </c>
      <c r="AN792" s="1">
        <f t="shared" si="69"/>
        <v>0</v>
      </c>
      <c r="AO792" s="1">
        <f t="shared" si="70"/>
        <v>0</v>
      </c>
      <c r="AP792" t="b" cm="1">
        <f t="array" ref="AP792">INDEX($AU$8:$BB$25,6*(R792-1)+MATCH(AB792,$AS$8:$AS$13,0),MATCH(O792,$AU$7:$BB$7,0))</f>
        <v>1</v>
      </c>
    </row>
    <row r="793" spans="15:42" ht="14.25" x14ac:dyDescent="0.45">
      <c r="O793" s="43" t="s">
        <v>35</v>
      </c>
      <c r="P793" s="43">
        <v>1</v>
      </c>
      <c r="Q793" s="43">
        <v>4</v>
      </c>
      <c r="R793" s="43">
        <v>3</v>
      </c>
      <c r="S793" s="45"/>
      <c r="T793" t="b">
        <f>(S791+S792+S793)=T2</f>
        <v>0</v>
      </c>
      <c r="X793" s="1">
        <f t="shared" si="71"/>
        <v>0</v>
      </c>
      <c r="Y793" s="48">
        <v>0</v>
      </c>
      <c r="AA793" s="1">
        <v>3</v>
      </c>
      <c r="AB793" s="1" t="s">
        <v>10</v>
      </c>
      <c r="AC793" s="1" t="s">
        <v>17</v>
      </c>
      <c r="AD793" s="1">
        <v>20</v>
      </c>
      <c r="AE793" s="1">
        <v>16</v>
      </c>
      <c r="AF793" s="1">
        <v>0.78</v>
      </c>
      <c r="AG793" s="1">
        <v>0.84</v>
      </c>
      <c r="AH793" s="1">
        <v>0</v>
      </c>
      <c r="AI793" s="1">
        <v>0</v>
      </c>
      <c r="AJ793" s="1">
        <f t="shared" si="67"/>
        <v>0</v>
      </c>
      <c r="AK793" s="1">
        <f>E80</f>
        <v>0</v>
      </c>
      <c r="AL793" s="1">
        <f>E86</f>
        <v>0</v>
      </c>
      <c r="AM793" s="1">
        <f t="shared" si="68"/>
        <v>0</v>
      </c>
      <c r="AN793" s="1">
        <f t="shared" si="69"/>
        <v>0</v>
      </c>
      <c r="AO793" s="1">
        <f t="shared" si="70"/>
        <v>0</v>
      </c>
      <c r="AP793" t="b" cm="1">
        <f t="array" ref="AP793">INDEX($AU$8:$BB$25,6*(R793-1)+MATCH(AB793,$AS$8:$AS$13,0),MATCH(O793,$AU$7:$BB$7,0))</f>
        <v>1</v>
      </c>
    </row>
    <row r="794" spans="15:42" ht="14.25" x14ac:dyDescent="0.45">
      <c r="O794" s="43" t="s">
        <v>35</v>
      </c>
      <c r="P794" s="43">
        <v>1</v>
      </c>
      <c r="Q794" s="43">
        <v>5</v>
      </c>
      <c r="R794" s="43">
        <v>1</v>
      </c>
      <c r="S794" s="45"/>
      <c r="T794" t="b">
        <f>(S794+S795+S796)=T2</f>
        <v>0</v>
      </c>
      <c r="X794" s="1">
        <f t="shared" si="71"/>
        <v>0</v>
      </c>
      <c r="Y794" s="48">
        <v>0</v>
      </c>
      <c r="AA794" s="1">
        <v>11</v>
      </c>
      <c r="AB794" s="1" t="s">
        <v>16</v>
      </c>
      <c r="AC794" s="1" t="s">
        <v>22</v>
      </c>
      <c r="AD794" s="1">
        <v>12</v>
      </c>
      <c r="AE794" s="1">
        <v>9</v>
      </c>
      <c r="AF794" s="1">
        <v>0.8</v>
      </c>
      <c r="AG794" s="1">
        <v>0.9</v>
      </c>
      <c r="AH794" s="1">
        <v>0</v>
      </c>
      <c r="AI794" s="1">
        <v>0</v>
      </c>
      <c r="AJ794" s="1">
        <f t="shared" si="67"/>
        <v>0</v>
      </c>
      <c r="AK794" s="1">
        <f>C85</f>
        <v>0</v>
      </c>
      <c r="AL794" s="1">
        <f>C91</f>
        <v>0</v>
      </c>
      <c r="AM794" s="1">
        <f t="shared" si="68"/>
        <v>0</v>
      </c>
      <c r="AN794" s="1">
        <f t="shared" si="69"/>
        <v>0</v>
      </c>
      <c r="AO794" s="1">
        <f t="shared" si="70"/>
        <v>0</v>
      </c>
      <c r="AP794" t="b" cm="1">
        <f t="array" ref="AP794">INDEX($AU$8:$BB$25,6*(R794-1)+MATCH(AB794,$AS$8:$AS$13,0),MATCH(O794,$AU$7:$BB$7,0))</f>
        <v>1</v>
      </c>
    </row>
    <row r="795" spans="15:42" ht="14.25" x14ac:dyDescent="0.45">
      <c r="O795" s="43" t="s">
        <v>35</v>
      </c>
      <c r="P795" s="43">
        <v>1</v>
      </c>
      <c r="Q795" s="43">
        <v>5</v>
      </c>
      <c r="R795" s="43">
        <v>2</v>
      </c>
      <c r="S795" s="45"/>
      <c r="T795" t="b">
        <f>(S794+S795+S796)=T2</f>
        <v>0</v>
      </c>
      <c r="X795" s="1">
        <f t="shared" si="71"/>
        <v>0</v>
      </c>
      <c r="Y795" s="48">
        <v>0</v>
      </c>
      <c r="AA795" s="1">
        <v>11</v>
      </c>
      <c r="AB795" s="1" t="s">
        <v>16</v>
      </c>
      <c r="AC795" s="1" t="s">
        <v>22</v>
      </c>
      <c r="AD795" s="1">
        <v>12</v>
      </c>
      <c r="AE795" s="1">
        <v>9</v>
      </c>
      <c r="AF795" s="1">
        <v>0.8</v>
      </c>
      <c r="AG795" s="1">
        <v>0.9</v>
      </c>
      <c r="AH795" s="1">
        <v>0</v>
      </c>
      <c r="AI795" s="1">
        <v>0</v>
      </c>
      <c r="AJ795" s="1">
        <f t="shared" si="67"/>
        <v>0</v>
      </c>
      <c r="AK795" s="1">
        <f>D85</f>
        <v>0</v>
      </c>
      <c r="AL795" s="1">
        <f>D91</f>
        <v>0</v>
      </c>
      <c r="AM795" s="1">
        <f t="shared" si="68"/>
        <v>0</v>
      </c>
      <c r="AN795" s="1">
        <f t="shared" si="69"/>
        <v>0</v>
      </c>
      <c r="AO795" s="1">
        <f t="shared" si="70"/>
        <v>0</v>
      </c>
      <c r="AP795" t="b" cm="1">
        <f t="array" ref="AP795">INDEX($AU$8:$BB$25,6*(R795-1)+MATCH(AB795,$AS$8:$AS$13,0),MATCH(O795,$AU$7:$BB$7,0))</f>
        <v>1</v>
      </c>
    </row>
    <row r="796" spans="15:42" ht="14.25" x14ac:dyDescent="0.45">
      <c r="O796" s="43" t="s">
        <v>35</v>
      </c>
      <c r="P796" s="43">
        <v>1</v>
      </c>
      <c r="Q796" s="43">
        <v>5</v>
      </c>
      <c r="R796" s="43">
        <v>3</v>
      </c>
      <c r="S796" s="45"/>
      <c r="T796" t="b">
        <f>(S794+S795+S796)=T2</f>
        <v>0</v>
      </c>
      <c r="X796" s="1">
        <f t="shared" si="71"/>
        <v>0</v>
      </c>
      <c r="Y796" s="48">
        <v>0</v>
      </c>
      <c r="AA796" s="1">
        <v>11</v>
      </c>
      <c r="AB796" s="1" t="s">
        <v>16</v>
      </c>
      <c r="AC796" s="1" t="s">
        <v>22</v>
      </c>
      <c r="AD796" s="1">
        <v>12</v>
      </c>
      <c r="AE796" s="1">
        <v>9</v>
      </c>
      <c r="AF796" s="1">
        <v>0.8</v>
      </c>
      <c r="AG796" s="1">
        <v>0.9</v>
      </c>
      <c r="AH796" s="1">
        <v>0</v>
      </c>
      <c r="AI796" s="1">
        <v>0</v>
      </c>
      <c r="AJ796" s="1">
        <f t="shared" si="67"/>
        <v>0</v>
      </c>
      <c r="AK796" s="1">
        <f>E85</f>
        <v>0</v>
      </c>
      <c r="AL796" s="1">
        <f>E91</f>
        <v>0</v>
      </c>
      <c r="AM796" s="1">
        <f t="shared" si="68"/>
        <v>0</v>
      </c>
      <c r="AN796" s="1">
        <f t="shared" si="69"/>
        <v>0</v>
      </c>
      <c r="AO796" s="1">
        <f t="shared" si="70"/>
        <v>0</v>
      </c>
      <c r="AP796" t="b" cm="1">
        <f t="array" ref="AP796">INDEX($AU$8:$BB$25,6*(R796-1)+MATCH(AB796,$AS$8:$AS$13,0),MATCH(O796,$AU$7:$BB$7,0))</f>
        <v>1</v>
      </c>
    </row>
    <row r="797" spans="15:42" ht="14.25" x14ac:dyDescent="0.45">
      <c r="O797" s="43" t="s">
        <v>35</v>
      </c>
      <c r="P797" s="43">
        <v>1</v>
      </c>
      <c r="Q797" s="43">
        <v>6</v>
      </c>
      <c r="R797" s="43">
        <v>1</v>
      </c>
      <c r="S797" s="45"/>
      <c r="T797" t="b">
        <f>(S797+S798+S799)=T2</f>
        <v>0</v>
      </c>
      <c r="X797" s="1">
        <f t="shared" si="71"/>
        <v>0</v>
      </c>
      <c r="Y797" s="48">
        <v>0</v>
      </c>
      <c r="AA797" s="1">
        <v>7</v>
      </c>
      <c r="AB797" s="1" t="s">
        <v>14</v>
      </c>
      <c r="AC797" s="1" t="s">
        <v>20</v>
      </c>
      <c r="AD797" s="1">
        <v>27</v>
      </c>
      <c r="AE797" s="1">
        <v>21</v>
      </c>
      <c r="AF797" s="1">
        <v>0.8</v>
      </c>
      <c r="AG797" s="1">
        <v>0.88</v>
      </c>
      <c r="AH797" s="1">
        <v>0</v>
      </c>
      <c r="AI797" s="1">
        <v>0</v>
      </c>
      <c r="AJ797" s="1">
        <f t="shared" si="67"/>
        <v>0</v>
      </c>
      <c r="AK797" s="1">
        <f>C83</f>
        <v>0</v>
      </c>
      <c r="AL797" s="1">
        <f>C89</f>
        <v>0</v>
      </c>
      <c r="AM797" s="1">
        <f t="shared" si="68"/>
        <v>0</v>
      </c>
      <c r="AN797" s="1">
        <f t="shared" si="69"/>
        <v>0</v>
      </c>
      <c r="AO797" s="1">
        <f t="shared" si="70"/>
        <v>0</v>
      </c>
      <c r="AP797" t="b" cm="1">
        <f t="array" ref="AP797">INDEX($AU$8:$BB$25,6*(R797-1)+MATCH(AB797,$AS$8:$AS$13,0),MATCH(O797,$AU$7:$BB$7,0))</f>
        <v>1</v>
      </c>
    </row>
    <row r="798" spans="15:42" ht="14.25" x14ac:dyDescent="0.45">
      <c r="O798" s="43" t="s">
        <v>35</v>
      </c>
      <c r="P798" s="43">
        <v>1</v>
      </c>
      <c r="Q798" s="43">
        <v>6</v>
      </c>
      <c r="R798" s="43">
        <v>2</v>
      </c>
      <c r="S798" s="45"/>
      <c r="T798" t="b">
        <f>(S797+S798+S799)=T2</f>
        <v>0</v>
      </c>
      <c r="X798" s="1">
        <f t="shared" si="71"/>
        <v>0</v>
      </c>
      <c r="Y798" s="48">
        <v>0</v>
      </c>
      <c r="AA798" s="1">
        <v>7</v>
      </c>
      <c r="AB798" s="1" t="s">
        <v>14</v>
      </c>
      <c r="AC798" s="1" t="s">
        <v>20</v>
      </c>
      <c r="AD798" s="1">
        <v>27</v>
      </c>
      <c r="AE798" s="1">
        <v>21</v>
      </c>
      <c r="AF798" s="1">
        <v>0.8</v>
      </c>
      <c r="AG798" s="1">
        <v>0.88</v>
      </c>
      <c r="AH798" s="1">
        <v>0</v>
      </c>
      <c r="AI798" s="1">
        <v>0</v>
      </c>
      <c r="AJ798" s="1">
        <f t="shared" si="67"/>
        <v>0</v>
      </c>
      <c r="AK798" s="1">
        <f>D83</f>
        <v>0</v>
      </c>
      <c r="AL798" s="1">
        <f>D89</f>
        <v>0</v>
      </c>
      <c r="AM798" s="1">
        <f t="shared" si="68"/>
        <v>0</v>
      </c>
      <c r="AN798" s="1">
        <f t="shared" si="69"/>
        <v>0</v>
      </c>
      <c r="AO798" s="1">
        <f t="shared" si="70"/>
        <v>0</v>
      </c>
      <c r="AP798" t="b" cm="1">
        <f t="array" ref="AP798">INDEX($AU$8:$BB$25,6*(R798-1)+MATCH(AB798,$AS$8:$AS$13,0),MATCH(O798,$AU$7:$BB$7,0))</f>
        <v>1</v>
      </c>
    </row>
    <row r="799" spans="15:42" ht="14.25" x14ac:dyDescent="0.45">
      <c r="O799" s="43" t="s">
        <v>35</v>
      </c>
      <c r="P799" s="43">
        <v>1</v>
      </c>
      <c r="Q799" s="43">
        <v>6</v>
      </c>
      <c r="R799" s="43">
        <v>3</v>
      </c>
      <c r="S799" s="45"/>
      <c r="T799" t="b">
        <f>(S797+S798+S799)=T2</f>
        <v>0</v>
      </c>
      <c r="X799" s="1">
        <f t="shared" si="71"/>
        <v>0</v>
      </c>
      <c r="Y799" s="48">
        <v>0</v>
      </c>
      <c r="AA799" s="1">
        <v>7</v>
      </c>
      <c r="AB799" s="1" t="s">
        <v>14</v>
      </c>
      <c r="AC799" s="1" t="s">
        <v>20</v>
      </c>
      <c r="AD799" s="1">
        <v>27</v>
      </c>
      <c r="AE799" s="1">
        <v>21</v>
      </c>
      <c r="AF799" s="1">
        <v>0.8</v>
      </c>
      <c r="AG799" s="1">
        <v>0.88</v>
      </c>
      <c r="AH799" s="1">
        <v>0</v>
      </c>
      <c r="AI799" s="1">
        <v>0</v>
      </c>
      <c r="AJ799" s="1">
        <f t="shared" si="67"/>
        <v>0</v>
      </c>
      <c r="AK799" s="1">
        <f>E83</f>
        <v>0</v>
      </c>
      <c r="AL799" s="1">
        <f>E89</f>
        <v>0</v>
      </c>
      <c r="AM799" s="1">
        <f t="shared" si="68"/>
        <v>0</v>
      </c>
      <c r="AN799" s="1">
        <f t="shared" si="69"/>
        <v>0</v>
      </c>
      <c r="AO799" s="1">
        <f t="shared" si="70"/>
        <v>0</v>
      </c>
      <c r="AP799" t="b" cm="1">
        <f t="array" ref="AP799">INDEX($AU$8:$BB$25,6*(R799-1)+MATCH(AB799,$AS$8:$AS$13,0),MATCH(O799,$AU$7:$BB$7,0))</f>
        <v>1</v>
      </c>
    </row>
    <row r="800" spans="15:42" ht="14.25" x14ac:dyDescent="0.45">
      <c r="O800" s="43" t="s">
        <v>35</v>
      </c>
      <c r="P800" s="43">
        <v>1</v>
      </c>
      <c r="Q800" s="43">
        <v>7</v>
      </c>
      <c r="R800" s="43">
        <v>1</v>
      </c>
      <c r="S800" s="45"/>
      <c r="T800" t="b">
        <f>(S800+S801+S802)=T2</f>
        <v>0</v>
      </c>
      <c r="X800" s="1">
        <f t="shared" si="71"/>
        <v>0</v>
      </c>
      <c r="Y800" s="48">
        <v>0</v>
      </c>
      <c r="AA800" s="1">
        <v>9</v>
      </c>
      <c r="AB800" s="1" t="s">
        <v>14</v>
      </c>
      <c r="AC800" s="1" t="s">
        <v>20</v>
      </c>
      <c r="AD800" s="1">
        <v>17</v>
      </c>
      <c r="AE800" s="1">
        <v>13</v>
      </c>
      <c r="AF800" s="1">
        <v>0.8</v>
      </c>
      <c r="AG800" s="1">
        <v>0.88</v>
      </c>
      <c r="AH800" s="1">
        <v>0</v>
      </c>
      <c r="AI800" s="1">
        <v>0</v>
      </c>
      <c r="AJ800" s="1">
        <f t="shared" si="67"/>
        <v>0</v>
      </c>
      <c r="AK800" s="1">
        <f>C83</f>
        <v>0</v>
      </c>
      <c r="AL800" s="1">
        <f>C89</f>
        <v>0</v>
      </c>
      <c r="AM800" s="1">
        <f t="shared" si="68"/>
        <v>0</v>
      </c>
      <c r="AN800" s="1">
        <f t="shared" si="69"/>
        <v>0</v>
      </c>
      <c r="AO800" s="1">
        <f t="shared" si="70"/>
        <v>0</v>
      </c>
      <c r="AP800" t="b" cm="1">
        <f t="array" ref="AP800">INDEX($AU$8:$BB$25,6*(R800-1)+MATCH(AB800,$AS$8:$AS$13,0),MATCH(O800,$AU$7:$BB$7,0))</f>
        <v>1</v>
      </c>
    </row>
    <row r="801" spans="15:42" ht="14.25" x14ac:dyDescent="0.45">
      <c r="O801" s="43" t="s">
        <v>35</v>
      </c>
      <c r="P801" s="43">
        <v>1</v>
      </c>
      <c r="Q801" s="43">
        <v>7</v>
      </c>
      <c r="R801" s="43">
        <v>2</v>
      </c>
      <c r="S801" s="45"/>
      <c r="T801" t="b">
        <f>(S800+S801+S802)=T2</f>
        <v>0</v>
      </c>
      <c r="X801" s="1">
        <f t="shared" si="71"/>
        <v>0</v>
      </c>
      <c r="Y801" s="48">
        <v>0</v>
      </c>
      <c r="AA801" s="1">
        <v>9</v>
      </c>
      <c r="AB801" s="1" t="s">
        <v>14</v>
      </c>
      <c r="AC801" s="1" t="s">
        <v>20</v>
      </c>
      <c r="AD801" s="1">
        <v>17</v>
      </c>
      <c r="AE801" s="1">
        <v>13</v>
      </c>
      <c r="AF801" s="1">
        <v>0.8</v>
      </c>
      <c r="AG801" s="1">
        <v>0.88</v>
      </c>
      <c r="AH801" s="1">
        <v>0</v>
      </c>
      <c r="AI801" s="1">
        <v>0</v>
      </c>
      <c r="AJ801" s="1">
        <f t="shared" si="67"/>
        <v>0</v>
      </c>
      <c r="AK801" s="1">
        <f>D83</f>
        <v>0</v>
      </c>
      <c r="AL801" s="1">
        <f>D89</f>
        <v>0</v>
      </c>
      <c r="AM801" s="1">
        <f t="shared" si="68"/>
        <v>0</v>
      </c>
      <c r="AN801" s="1">
        <f t="shared" si="69"/>
        <v>0</v>
      </c>
      <c r="AO801" s="1">
        <f t="shared" si="70"/>
        <v>0</v>
      </c>
      <c r="AP801" t="b" cm="1">
        <f t="array" ref="AP801">INDEX($AU$8:$BB$25,6*(R801-1)+MATCH(AB801,$AS$8:$AS$13,0),MATCH(O801,$AU$7:$BB$7,0))</f>
        <v>1</v>
      </c>
    </row>
    <row r="802" spans="15:42" ht="14.25" x14ac:dyDescent="0.45">
      <c r="O802" s="43" t="s">
        <v>35</v>
      </c>
      <c r="P802" s="43">
        <v>1</v>
      </c>
      <c r="Q802" s="43">
        <v>7</v>
      </c>
      <c r="R802" s="43">
        <v>3</v>
      </c>
      <c r="S802" s="45"/>
      <c r="T802" t="b">
        <f>(S800+S801+S802)=T2</f>
        <v>0</v>
      </c>
      <c r="X802" s="1">
        <f t="shared" si="71"/>
        <v>0</v>
      </c>
      <c r="Y802" s="48">
        <v>0</v>
      </c>
      <c r="AA802" s="1">
        <v>9</v>
      </c>
      <c r="AB802" s="1" t="s">
        <v>14</v>
      </c>
      <c r="AC802" s="1" t="s">
        <v>20</v>
      </c>
      <c r="AD802" s="1">
        <v>17</v>
      </c>
      <c r="AE802" s="1">
        <v>13</v>
      </c>
      <c r="AF802" s="1">
        <v>0.8</v>
      </c>
      <c r="AG802" s="1">
        <v>0.88</v>
      </c>
      <c r="AH802" s="1">
        <v>0</v>
      </c>
      <c r="AI802" s="1">
        <v>0</v>
      </c>
      <c r="AJ802" s="1">
        <f t="shared" si="67"/>
        <v>0</v>
      </c>
      <c r="AK802" s="1">
        <f>E83</f>
        <v>0</v>
      </c>
      <c r="AL802" s="1">
        <f>E89</f>
        <v>0</v>
      </c>
      <c r="AM802" s="1">
        <f t="shared" si="68"/>
        <v>0</v>
      </c>
      <c r="AN802" s="1">
        <f t="shared" si="69"/>
        <v>0</v>
      </c>
      <c r="AO802" s="1">
        <f t="shared" si="70"/>
        <v>0</v>
      </c>
      <c r="AP802" t="b" cm="1">
        <f t="array" ref="AP802">INDEX($AU$8:$BB$25,6*(R802-1)+MATCH(AB802,$AS$8:$AS$13,0),MATCH(O802,$AU$7:$BB$7,0))</f>
        <v>1</v>
      </c>
    </row>
    <row r="803" spans="15:42" ht="14.25" x14ac:dyDescent="0.45">
      <c r="O803" s="43" t="s">
        <v>35</v>
      </c>
      <c r="P803" s="43">
        <v>1</v>
      </c>
      <c r="Q803" s="43">
        <v>8</v>
      </c>
      <c r="R803" s="43">
        <v>1</v>
      </c>
      <c r="S803" s="45"/>
      <c r="T803" t="b">
        <f>(S803+S804+S805)=T2</f>
        <v>0</v>
      </c>
      <c r="X803" s="1">
        <f t="shared" si="71"/>
        <v>0</v>
      </c>
      <c r="Y803" s="48">
        <v>0</v>
      </c>
      <c r="AA803" s="1">
        <v>1</v>
      </c>
      <c r="AB803" s="1" t="s">
        <v>10</v>
      </c>
      <c r="AC803" s="1" t="s">
        <v>17</v>
      </c>
      <c r="AD803" s="1">
        <v>18</v>
      </c>
      <c r="AE803" s="1">
        <v>16</v>
      </c>
      <c r="AF803" s="1">
        <v>0.78</v>
      </c>
      <c r="AG803" s="1">
        <v>0.84</v>
      </c>
      <c r="AH803" s="1">
        <v>0</v>
      </c>
      <c r="AI803" s="1">
        <v>0</v>
      </c>
      <c r="AJ803" s="1">
        <f t="shared" si="67"/>
        <v>0</v>
      </c>
      <c r="AK803" s="1">
        <f>C80</f>
        <v>0</v>
      </c>
      <c r="AL803" s="1">
        <f>C86</f>
        <v>0</v>
      </c>
      <c r="AM803" s="1">
        <f t="shared" si="68"/>
        <v>0</v>
      </c>
      <c r="AN803" s="1">
        <f t="shared" si="69"/>
        <v>0</v>
      </c>
      <c r="AO803" s="1">
        <f t="shared" si="70"/>
        <v>0</v>
      </c>
      <c r="AP803" t="b" cm="1">
        <f t="array" ref="AP803">INDEX($AU$8:$BB$25,6*(R803-1)+MATCH(AB803,$AS$8:$AS$13,0),MATCH(O803,$AU$7:$BB$7,0))</f>
        <v>1</v>
      </c>
    </row>
    <row r="804" spans="15:42" ht="14.25" x14ac:dyDescent="0.45">
      <c r="O804" s="43" t="s">
        <v>35</v>
      </c>
      <c r="P804" s="43">
        <v>1</v>
      </c>
      <c r="Q804" s="43">
        <v>8</v>
      </c>
      <c r="R804" s="43">
        <v>2</v>
      </c>
      <c r="S804" s="45"/>
      <c r="T804" t="b">
        <f>(S803+S804+S805)=T2</f>
        <v>0</v>
      </c>
      <c r="X804" s="1">
        <f t="shared" si="71"/>
        <v>0</v>
      </c>
      <c r="Y804" s="48">
        <v>0</v>
      </c>
      <c r="AA804" s="1">
        <v>1</v>
      </c>
      <c r="AB804" s="1" t="s">
        <v>10</v>
      </c>
      <c r="AC804" s="1" t="s">
        <v>17</v>
      </c>
      <c r="AD804" s="1">
        <v>18</v>
      </c>
      <c r="AE804" s="1">
        <v>16</v>
      </c>
      <c r="AF804" s="1">
        <v>0.78</v>
      </c>
      <c r="AG804" s="1">
        <v>0.84</v>
      </c>
      <c r="AH804" s="1">
        <v>0</v>
      </c>
      <c r="AI804" s="1">
        <v>0</v>
      </c>
      <c r="AJ804" s="1">
        <f t="shared" si="67"/>
        <v>0</v>
      </c>
      <c r="AK804" s="1">
        <f>D80</f>
        <v>0</v>
      </c>
      <c r="AL804" s="1">
        <f>D86</f>
        <v>0</v>
      </c>
      <c r="AM804" s="1">
        <f t="shared" si="68"/>
        <v>0</v>
      </c>
      <c r="AN804" s="1">
        <f t="shared" si="69"/>
        <v>0</v>
      </c>
      <c r="AO804" s="1">
        <f t="shared" si="70"/>
        <v>0</v>
      </c>
      <c r="AP804" t="b" cm="1">
        <f t="array" ref="AP804">INDEX($AU$8:$BB$25,6*(R804-1)+MATCH(AB804,$AS$8:$AS$13,0),MATCH(O804,$AU$7:$BB$7,0))</f>
        <v>1</v>
      </c>
    </row>
    <row r="805" spans="15:42" ht="14.25" x14ac:dyDescent="0.45">
      <c r="O805" s="43" t="s">
        <v>35</v>
      </c>
      <c r="P805" s="43">
        <v>1</v>
      </c>
      <c r="Q805" s="43">
        <v>8</v>
      </c>
      <c r="R805" s="43">
        <v>3</v>
      </c>
      <c r="S805" s="45"/>
      <c r="T805" t="b">
        <f>(S803+S804+S805)=T2</f>
        <v>0</v>
      </c>
      <c r="X805" s="1">
        <f t="shared" si="71"/>
        <v>0</v>
      </c>
      <c r="Y805" s="48">
        <v>0</v>
      </c>
      <c r="AA805" s="1">
        <v>1</v>
      </c>
      <c r="AB805" s="1" t="s">
        <v>10</v>
      </c>
      <c r="AC805" s="1" t="s">
        <v>17</v>
      </c>
      <c r="AD805" s="1">
        <v>18</v>
      </c>
      <c r="AE805" s="1">
        <v>16</v>
      </c>
      <c r="AF805" s="1">
        <v>0.78</v>
      </c>
      <c r="AG805" s="1">
        <v>0.84</v>
      </c>
      <c r="AH805" s="1">
        <v>0</v>
      </c>
      <c r="AI805" s="1">
        <v>0</v>
      </c>
      <c r="AJ805" s="1">
        <f t="shared" si="67"/>
        <v>0</v>
      </c>
      <c r="AK805" s="1">
        <f>E80</f>
        <v>0</v>
      </c>
      <c r="AL805" s="1">
        <f>E86</f>
        <v>0</v>
      </c>
      <c r="AM805" s="1">
        <f t="shared" si="68"/>
        <v>0</v>
      </c>
      <c r="AN805" s="1">
        <f t="shared" si="69"/>
        <v>0</v>
      </c>
      <c r="AO805" s="1">
        <f t="shared" si="70"/>
        <v>0</v>
      </c>
      <c r="AP805" t="b" cm="1">
        <f t="array" ref="AP805">INDEX($AU$8:$BB$25,6*(R805-1)+MATCH(AB805,$AS$8:$AS$13,0),MATCH(O805,$AU$7:$BB$7,0))</f>
        <v>1</v>
      </c>
    </row>
    <row r="806" spans="15:42" ht="14.25" x14ac:dyDescent="0.45">
      <c r="O806" s="43" t="s">
        <v>35</v>
      </c>
      <c r="P806" s="43">
        <v>1</v>
      </c>
      <c r="Q806" s="43">
        <v>9</v>
      </c>
      <c r="R806" s="43">
        <v>1</v>
      </c>
      <c r="S806" s="45"/>
      <c r="T806" t="b">
        <f>(S806+S807+S808)=T2</f>
        <v>0</v>
      </c>
      <c r="X806" s="1">
        <f t="shared" si="71"/>
        <v>0</v>
      </c>
      <c r="Y806" s="48">
        <v>0</v>
      </c>
      <c r="AA806" s="1">
        <v>2</v>
      </c>
      <c r="AB806" s="1" t="s">
        <v>10</v>
      </c>
      <c r="AC806" s="1" t="s">
        <v>17</v>
      </c>
      <c r="AD806" s="1">
        <v>16</v>
      </c>
      <c r="AE806" s="1">
        <v>13</v>
      </c>
      <c r="AF806" s="1">
        <v>0.78</v>
      </c>
      <c r="AG806" s="1">
        <v>0.84</v>
      </c>
      <c r="AH806" s="1">
        <v>0</v>
      </c>
      <c r="AI806" s="1">
        <v>0</v>
      </c>
      <c r="AJ806" s="1">
        <f t="shared" si="67"/>
        <v>0</v>
      </c>
      <c r="AK806" s="1">
        <f>C80</f>
        <v>0</v>
      </c>
      <c r="AL806" s="1">
        <f>C86</f>
        <v>0</v>
      </c>
      <c r="AM806" s="1">
        <f t="shared" si="68"/>
        <v>0</v>
      </c>
      <c r="AN806" s="1">
        <f t="shared" si="69"/>
        <v>0</v>
      </c>
      <c r="AO806" s="1">
        <f t="shared" si="70"/>
        <v>0</v>
      </c>
      <c r="AP806" t="b" cm="1">
        <f t="array" ref="AP806">INDEX($AU$8:$BB$25,6*(R806-1)+MATCH(AB806,$AS$8:$AS$13,0),MATCH(O806,$AU$7:$BB$7,0))</f>
        <v>1</v>
      </c>
    </row>
    <row r="807" spans="15:42" ht="14.25" x14ac:dyDescent="0.45">
      <c r="O807" s="43" t="s">
        <v>35</v>
      </c>
      <c r="P807" s="43">
        <v>1</v>
      </c>
      <c r="Q807" s="43">
        <v>9</v>
      </c>
      <c r="R807" s="43">
        <v>2</v>
      </c>
      <c r="S807" s="45"/>
      <c r="T807" t="b">
        <f>(S806+S807+S808)=T2</f>
        <v>0</v>
      </c>
      <c r="X807" s="1">
        <f t="shared" si="71"/>
        <v>0</v>
      </c>
      <c r="Y807" s="48">
        <v>0</v>
      </c>
      <c r="AA807" s="1">
        <v>2</v>
      </c>
      <c r="AB807" s="1" t="s">
        <v>10</v>
      </c>
      <c r="AC807" s="1" t="s">
        <v>17</v>
      </c>
      <c r="AD807" s="1">
        <v>16</v>
      </c>
      <c r="AE807" s="1">
        <v>13</v>
      </c>
      <c r="AF807" s="1">
        <v>0.78</v>
      </c>
      <c r="AG807" s="1">
        <v>0.84</v>
      </c>
      <c r="AH807" s="1">
        <v>0</v>
      </c>
      <c r="AI807" s="1">
        <v>0</v>
      </c>
      <c r="AJ807" s="1">
        <f t="shared" si="67"/>
        <v>0</v>
      </c>
      <c r="AK807" s="1">
        <f>D80</f>
        <v>0</v>
      </c>
      <c r="AL807" s="1">
        <f>D86</f>
        <v>0</v>
      </c>
      <c r="AM807" s="1">
        <f t="shared" si="68"/>
        <v>0</v>
      </c>
      <c r="AN807" s="1">
        <f t="shared" si="69"/>
        <v>0</v>
      </c>
      <c r="AO807" s="1">
        <f t="shared" si="70"/>
        <v>0</v>
      </c>
      <c r="AP807" t="b" cm="1">
        <f t="array" ref="AP807">INDEX($AU$8:$BB$25,6*(R807-1)+MATCH(AB807,$AS$8:$AS$13,0),MATCH(O807,$AU$7:$BB$7,0))</f>
        <v>1</v>
      </c>
    </row>
    <row r="808" spans="15:42" ht="14.25" x14ac:dyDescent="0.45">
      <c r="O808" s="43" t="s">
        <v>35</v>
      </c>
      <c r="P808" s="43">
        <v>1</v>
      </c>
      <c r="Q808" s="43">
        <v>9</v>
      </c>
      <c r="R808" s="43">
        <v>3</v>
      </c>
      <c r="S808" s="45"/>
      <c r="T808" t="b">
        <f>(S806+S807+S808)=T2</f>
        <v>0</v>
      </c>
      <c r="X808" s="1">
        <f t="shared" si="71"/>
        <v>0</v>
      </c>
      <c r="Y808" s="48">
        <v>0</v>
      </c>
      <c r="AA808" s="1">
        <v>2</v>
      </c>
      <c r="AB808" s="1" t="s">
        <v>10</v>
      </c>
      <c r="AC808" s="1" t="s">
        <v>17</v>
      </c>
      <c r="AD808" s="1">
        <v>16</v>
      </c>
      <c r="AE808" s="1">
        <v>13</v>
      </c>
      <c r="AF808" s="1">
        <v>0.78</v>
      </c>
      <c r="AG808" s="1">
        <v>0.84</v>
      </c>
      <c r="AH808" s="1">
        <v>0</v>
      </c>
      <c r="AI808" s="1">
        <v>0</v>
      </c>
      <c r="AJ808" s="1">
        <f t="shared" si="67"/>
        <v>0</v>
      </c>
      <c r="AK808" s="1">
        <f>E80</f>
        <v>0</v>
      </c>
      <c r="AL808" s="1">
        <f>E86</f>
        <v>0</v>
      </c>
      <c r="AM808" s="1">
        <f t="shared" si="68"/>
        <v>0</v>
      </c>
      <c r="AN808" s="1">
        <f t="shared" si="69"/>
        <v>0</v>
      </c>
      <c r="AO808" s="1">
        <f t="shared" si="70"/>
        <v>0</v>
      </c>
      <c r="AP808" t="b" cm="1">
        <f t="array" ref="AP808">INDEX($AU$8:$BB$25,6*(R808-1)+MATCH(AB808,$AS$8:$AS$13,0),MATCH(O808,$AU$7:$BB$7,0))</f>
        <v>1</v>
      </c>
    </row>
    <row r="809" spans="15:42" ht="14.25" x14ac:dyDescent="0.45">
      <c r="O809" s="43" t="s">
        <v>35</v>
      </c>
      <c r="P809" s="43">
        <v>1</v>
      </c>
      <c r="Q809" s="43">
        <v>10</v>
      </c>
      <c r="R809" s="43">
        <v>1</v>
      </c>
      <c r="S809" s="45"/>
      <c r="T809" t="b">
        <f>(S809+S810+S811)=T2</f>
        <v>0</v>
      </c>
      <c r="X809" s="1">
        <f t="shared" si="71"/>
        <v>0</v>
      </c>
      <c r="Y809" s="48">
        <v>0</v>
      </c>
      <c r="AA809" s="1">
        <v>6</v>
      </c>
      <c r="AB809" s="1" t="s">
        <v>14</v>
      </c>
      <c r="AC809" s="1" t="s">
        <v>20</v>
      </c>
      <c r="AD809" s="1">
        <v>14</v>
      </c>
      <c r="AE809" s="1">
        <v>11</v>
      </c>
      <c r="AF809" s="1">
        <v>0.8</v>
      </c>
      <c r="AG809" s="1">
        <v>0.88</v>
      </c>
      <c r="AH809" s="1">
        <v>0</v>
      </c>
      <c r="AI809" s="1">
        <v>0</v>
      </c>
      <c r="AJ809" s="1">
        <f t="shared" si="67"/>
        <v>0</v>
      </c>
      <c r="AK809" s="1">
        <f>C83</f>
        <v>0</v>
      </c>
      <c r="AL809" s="1">
        <f>C89</f>
        <v>0</v>
      </c>
      <c r="AM809" s="1">
        <f t="shared" si="68"/>
        <v>0</v>
      </c>
      <c r="AN809" s="1">
        <f t="shared" si="69"/>
        <v>0</v>
      </c>
      <c r="AO809" s="1">
        <f t="shared" si="70"/>
        <v>0</v>
      </c>
      <c r="AP809" t="b" cm="1">
        <f t="array" ref="AP809">INDEX($AU$8:$BB$25,6*(R809-1)+MATCH(AB809,$AS$8:$AS$13,0),MATCH(O809,$AU$7:$BB$7,0))</f>
        <v>1</v>
      </c>
    </row>
    <row r="810" spans="15:42" ht="14.25" x14ac:dyDescent="0.45">
      <c r="O810" s="43" t="s">
        <v>35</v>
      </c>
      <c r="P810" s="43">
        <v>1</v>
      </c>
      <c r="Q810" s="43">
        <v>10</v>
      </c>
      <c r="R810" s="43">
        <v>2</v>
      </c>
      <c r="S810" s="45"/>
      <c r="T810" t="b">
        <f>(S809+S810+S811)=T2</f>
        <v>0</v>
      </c>
      <c r="X810" s="1">
        <f t="shared" si="71"/>
        <v>0</v>
      </c>
      <c r="Y810" s="48">
        <v>0</v>
      </c>
      <c r="AA810" s="1">
        <v>6</v>
      </c>
      <c r="AB810" s="1" t="s">
        <v>14</v>
      </c>
      <c r="AC810" s="1" t="s">
        <v>20</v>
      </c>
      <c r="AD810" s="1">
        <v>14</v>
      </c>
      <c r="AE810" s="1">
        <v>11</v>
      </c>
      <c r="AF810" s="1">
        <v>0.8</v>
      </c>
      <c r="AG810" s="1">
        <v>0.88</v>
      </c>
      <c r="AH810" s="1">
        <v>0</v>
      </c>
      <c r="AI810" s="1">
        <v>0</v>
      </c>
      <c r="AJ810" s="1">
        <f t="shared" si="67"/>
        <v>0</v>
      </c>
      <c r="AK810" s="1">
        <f>D83</f>
        <v>0</v>
      </c>
      <c r="AL810" s="1">
        <f>D89</f>
        <v>0</v>
      </c>
      <c r="AM810" s="1">
        <f t="shared" si="68"/>
        <v>0</v>
      </c>
      <c r="AN810" s="1">
        <f t="shared" si="69"/>
        <v>0</v>
      </c>
      <c r="AO810" s="1">
        <f t="shared" si="70"/>
        <v>0</v>
      </c>
      <c r="AP810" t="b" cm="1">
        <f t="array" ref="AP810">INDEX($AU$8:$BB$25,6*(R810-1)+MATCH(AB810,$AS$8:$AS$13,0),MATCH(O810,$AU$7:$BB$7,0))</f>
        <v>1</v>
      </c>
    </row>
    <row r="811" spans="15:42" ht="14.25" x14ac:dyDescent="0.45">
      <c r="O811" s="43" t="s">
        <v>35</v>
      </c>
      <c r="P811" s="43">
        <v>1</v>
      </c>
      <c r="Q811" s="43">
        <v>10</v>
      </c>
      <c r="R811" s="43">
        <v>3</v>
      </c>
      <c r="S811" s="45"/>
      <c r="T811" t="b">
        <f>(S809+S810+S811)=T2</f>
        <v>0</v>
      </c>
      <c r="X811" s="1">
        <f t="shared" si="71"/>
        <v>0</v>
      </c>
      <c r="Y811" s="48">
        <v>0</v>
      </c>
      <c r="AA811" s="1">
        <v>6</v>
      </c>
      <c r="AB811" s="1" t="s">
        <v>14</v>
      </c>
      <c r="AC811" s="1" t="s">
        <v>20</v>
      </c>
      <c r="AD811" s="1">
        <v>14</v>
      </c>
      <c r="AE811" s="1">
        <v>11</v>
      </c>
      <c r="AF811" s="1">
        <v>0.8</v>
      </c>
      <c r="AG811" s="1">
        <v>0.88</v>
      </c>
      <c r="AH811" s="1">
        <v>0</v>
      </c>
      <c r="AI811" s="1">
        <v>0</v>
      </c>
      <c r="AJ811" s="1">
        <f t="shared" si="67"/>
        <v>0</v>
      </c>
      <c r="AK811" s="1">
        <f>E83</f>
        <v>0</v>
      </c>
      <c r="AL811" s="1">
        <f>E89</f>
        <v>0</v>
      </c>
      <c r="AM811" s="1">
        <f t="shared" si="68"/>
        <v>0</v>
      </c>
      <c r="AN811" s="1">
        <f t="shared" si="69"/>
        <v>0</v>
      </c>
      <c r="AO811" s="1">
        <f t="shared" si="70"/>
        <v>0</v>
      </c>
      <c r="AP811" t="b" cm="1">
        <f t="array" ref="AP811">INDEX($AU$8:$BB$25,6*(R811-1)+MATCH(AB811,$AS$8:$AS$13,0),MATCH(O811,$AU$7:$BB$7,0))</f>
        <v>1</v>
      </c>
    </row>
    <row r="812" spans="15:42" ht="14.25" x14ac:dyDescent="0.45">
      <c r="O812" s="43" t="s">
        <v>35</v>
      </c>
      <c r="P812" s="43">
        <v>1</v>
      </c>
      <c r="Q812" s="43">
        <v>11</v>
      </c>
      <c r="R812" s="43">
        <v>1</v>
      </c>
      <c r="S812" s="45"/>
      <c r="T812" t="b">
        <f>(S812+S813+S814)=T2</f>
        <v>0</v>
      </c>
      <c r="X812" s="1">
        <f t="shared" si="71"/>
        <v>0</v>
      </c>
      <c r="Y812" s="48">
        <v>0</v>
      </c>
      <c r="AA812" s="1">
        <v>3</v>
      </c>
      <c r="AB812" s="1" t="s">
        <v>16</v>
      </c>
      <c r="AC812" s="1" t="s">
        <v>22</v>
      </c>
      <c r="AD812" s="1">
        <v>18</v>
      </c>
      <c r="AE812" s="1">
        <v>16</v>
      </c>
      <c r="AF812" s="1">
        <v>0.8</v>
      </c>
      <c r="AG812" s="1">
        <v>0.9</v>
      </c>
      <c r="AH812" s="1">
        <v>0</v>
      </c>
      <c r="AI812" s="1">
        <v>0</v>
      </c>
      <c r="AJ812" s="1">
        <f t="shared" si="67"/>
        <v>0</v>
      </c>
      <c r="AK812" s="1">
        <f>C85</f>
        <v>0</v>
      </c>
      <c r="AL812" s="1">
        <f>C91</f>
        <v>0</v>
      </c>
      <c r="AM812" s="1">
        <f t="shared" si="68"/>
        <v>0</v>
      </c>
      <c r="AN812" s="1">
        <f t="shared" si="69"/>
        <v>0</v>
      </c>
      <c r="AO812" s="1">
        <f t="shared" si="70"/>
        <v>0</v>
      </c>
      <c r="AP812" t="b" cm="1">
        <f t="array" ref="AP812">INDEX($AU$8:$BB$25,6*(R812-1)+MATCH(AB812,$AS$8:$AS$13,0),MATCH(O812,$AU$7:$BB$7,0))</f>
        <v>1</v>
      </c>
    </row>
    <row r="813" spans="15:42" ht="14.25" x14ac:dyDescent="0.45">
      <c r="O813" s="43" t="s">
        <v>35</v>
      </c>
      <c r="P813" s="43">
        <v>1</v>
      </c>
      <c r="Q813" s="43">
        <v>11</v>
      </c>
      <c r="R813" s="43">
        <v>2</v>
      </c>
      <c r="S813" s="45"/>
      <c r="T813" t="b">
        <f>(S812+S813+S814)=T2</f>
        <v>0</v>
      </c>
      <c r="X813" s="1">
        <f t="shared" si="71"/>
        <v>0</v>
      </c>
      <c r="Y813" s="48">
        <v>0</v>
      </c>
      <c r="AA813" s="1">
        <v>3</v>
      </c>
      <c r="AB813" s="1" t="s">
        <v>16</v>
      </c>
      <c r="AC813" s="1" t="s">
        <v>22</v>
      </c>
      <c r="AD813" s="1">
        <v>18</v>
      </c>
      <c r="AE813" s="1">
        <v>16</v>
      </c>
      <c r="AF813" s="1">
        <v>0.8</v>
      </c>
      <c r="AG813" s="1">
        <v>0.9</v>
      </c>
      <c r="AH813" s="1">
        <v>0</v>
      </c>
      <c r="AI813" s="1">
        <v>0</v>
      </c>
      <c r="AJ813" s="1">
        <f t="shared" si="67"/>
        <v>0</v>
      </c>
      <c r="AK813" s="1">
        <f>D85</f>
        <v>0</v>
      </c>
      <c r="AL813" s="1">
        <f>D91</f>
        <v>0</v>
      </c>
      <c r="AM813" s="1">
        <f t="shared" si="68"/>
        <v>0</v>
      </c>
      <c r="AN813" s="1">
        <f t="shared" si="69"/>
        <v>0</v>
      </c>
      <c r="AO813" s="1">
        <f t="shared" si="70"/>
        <v>0</v>
      </c>
      <c r="AP813" t="b" cm="1">
        <f t="array" ref="AP813">INDEX($AU$8:$BB$25,6*(R813-1)+MATCH(AB813,$AS$8:$AS$13,0),MATCH(O813,$AU$7:$BB$7,0))</f>
        <v>1</v>
      </c>
    </row>
    <row r="814" spans="15:42" ht="14.25" x14ac:dyDescent="0.45">
      <c r="O814" s="43" t="s">
        <v>35</v>
      </c>
      <c r="P814" s="43">
        <v>1</v>
      </c>
      <c r="Q814" s="43">
        <v>11</v>
      </c>
      <c r="R814" s="43">
        <v>3</v>
      </c>
      <c r="S814" s="45"/>
      <c r="T814" t="b">
        <f>(S812+S813+S814)=T2</f>
        <v>0</v>
      </c>
      <c r="X814" s="1">
        <f t="shared" si="71"/>
        <v>0</v>
      </c>
      <c r="Y814" s="48">
        <v>0</v>
      </c>
      <c r="AA814" s="1">
        <v>3</v>
      </c>
      <c r="AB814" s="1" t="s">
        <v>16</v>
      </c>
      <c r="AC814" s="1" t="s">
        <v>22</v>
      </c>
      <c r="AD814" s="1">
        <v>18</v>
      </c>
      <c r="AE814" s="1">
        <v>16</v>
      </c>
      <c r="AF814" s="1">
        <v>0.8</v>
      </c>
      <c r="AG814" s="1">
        <v>0.9</v>
      </c>
      <c r="AH814" s="1">
        <v>0</v>
      </c>
      <c r="AI814" s="1">
        <v>0</v>
      </c>
      <c r="AJ814" s="1">
        <f t="shared" si="67"/>
        <v>0</v>
      </c>
      <c r="AK814" s="1">
        <f>E85</f>
        <v>0</v>
      </c>
      <c r="AL814" s="1">
        <f>E91</f>
        <v>0</v>
      </c>
      <c r="AM814" s="1">
        <f t="shared" si="68"/>
        <v>0</v>
      </c>
      <c r="AN814" s="1">
        <f t="shared" si="69"/>
        <v>0</v>
      </c>
      <c r="AO814" s="1">
        <f t="shared" si="70"/>
        <v>0</v>
      </c>
      <c r="AP814" t="b" cm="1">
        <f t="array" ref="AP814">INDEX($AU$8:$BB$25,6*(R814-1)+MATCH(AB814,$AS$8:$AS$13,0),MATCH(O814,$AU$7:$BB$7,0))</f>
        <v>1</v>
      </c>
    </row>
    <row r="815" spans="15:42" ht="14.25" x14ac:dyDescent="0.45">
      <c r="O815" s="43" t="s">
        <v>35</v>
      </c>
      <c r="P815" s="43">
        <v>2</v>
      </c>
      <c r="Q815" s="43">
        <v>1</v>
      </c>
      <c r="R815" s="43">
        <v>1</v>
      </c>
      <c r="S815" s="45"/>
      <c r="T815" t="b">
        <f>(S815+S816+S817)=T3</f>
        <v>0</v>
      </c>
      <c r="X815" s="1">
        <v>0</v>
      </c>
      <c r="Y815" s="48">
        <v>0</v>
      </c>
      <c r="AA815" s="1">
        <v>9</v>
      </c>
      <c r="AB815" s="1" t="s">
        <v>16</v>
      </c>
      <c r="AC815" s="1" t="s">
        <v>22</v>
      </c>
      <c r="AD815" s="1">
        <v>19</v>
      </c>
      <c r="AE815" s="1">
        <v>16</v>
      </c>
      <c r="AF815" s="1">
        <v>0.8</v>
      </c>
      <c r="AG815" s="1">
        <v>0.9</v>
      </c>
      <c r="AH815" s="1">
        <v>0</v>
      </c>
      <c r="AI815" s="1">
        <v>0</v>
      </c>
      <c r="AJ815" s="1">
        <f t="shared" si="67"/>
        <v>0</v>
      </c>
      <c r="AK815" s="1">
        <f>C85</f>
        <v>0</v>
      </c>
      <c r="AL815" s="1">
        <f>C91</f>
        <v>0</v>
      </c>
      <c r="AM815" s="1">
        <f t="shared" si="68"/>
        <v>0</v>
      </c>
      <c r="AN815" s="1">
        <f t="shared" si="69"/>
        <v>0</v>
      </c>
      <c r="AO815" s="1">
        <f t="shared" si="70"/>
        <v>0</v>
      </c>
      <c r="AP815" t="b" cm="1">
        <f t="array" ref="AP815">INDEX($AU$8:$BB$25,6*(R815-1)+MATCH(AB815,$AS$8:$AS$13,0),MATCH(O815,$AU$7:$BB$7,0))</f>
        <v>1</v>
      </c>
    </row>
    <row r="816" spans="15:42" ht="14.25" x14ac:dyDescent="0.45">
      <c r="O816" s="43" t="s">
        <v>35</v>
      </c>
      <c r="P816" s="43">
        <v>2</v>
      </c>
      <c r="Q816" s="43">
        <v>1</v>
      </c>
      <c r="R816" s="43">
        <v>2</v>
      </c>
      <c r="S816" s="45"/>
      <c r="T816" t="b">
        <f>(S815+S816+S817)=T3</f>
        <v>0</v>
      </c>
      <c r="X816" s="1">
        <v>0</v>
      </c>
      <c r="Y816" s="48">
        <v>0</v>
      </c>
      <c r="AA816" s="1">
        <v>9</v>
      </c>
      <c r="AB816" s="1" t="s">
        <v>16</v>
      </c>
      <c r="AC816" s="1" t="s">
        <v>22</v>
      </c>
      <c r="AD816" s="1">
        <v>19</v>
      </c>
      <c r="AE816" s="1">
        <v>16</v>
      </c>
      <c r="AF816" s="1">
        <v>0.8</v>
      </c>
      <c r="AG816" s="1">
        <v>0.9</v>
      </c>
      <c r="AH816" s="1">
        <v>0</v>
      </c>
      <c r="AI816" s="1">
        <v>0</v>
      </c>
      <c r="AJ816" s="1">
        <f t="shared" si="67"/>
        <v>0</v>
      </c>
      <c r="AK816" s="1">
        <f>D85</f>
        <v>0</v>
      </c>
      <c r="AL816" s="1">
        <f>D91</f>
        <v>0</v>
      </c>
      <c r="AM816" s="1">
        <f t="shared" si="68"/>
        <v>0</v>
      </c>
      <c r="AN816" s="1">
        <f t="shared" si="69"/>
        <v>0</v>
      </c>
      <c r="AO816" s="1">
        <f t="shared" si="70"/>
        <v>0</v>
      </c>
      <c r="AP816" t="b" cm="1">
        <f t="array" ref="AP816">INDEX($AU$8:$BB$25,6*(R816-1)+MATCH(AB816,$AS$8:$AS$13,0),MATCH(O816,$AU$7:$BB$7,0))</f>
        <v>1</v>
      </c>
    </row>
    <row r="817" spans="15:42" ht="14.25" x14ac:dyDescent="0.45">
      <c r="O817" s="43" t="s">
        <v>35</v>
      </c>
      <c r="P817" s="43">
        <v>2</v>
      </c>
      <c r="Q817" s="43">
        <v>1</v>
      </c>
      <c r="R817" s="43">
        <v>3</v>
      </c>
      <c r="S817" s="45"/>
      <c r="T817" t="b">
        <f>(S815+S816+S817)=T3</f>
        <v>0</v>
      </c>
      <c r="X817" s="1">
        <v>0</v>
      </c>
      <c r="Y817" s="48">
        <v>0</v>
      </c>
      <c r="AA817" s="1">
        <v>9</v>
      </c>
      <c r="AB817" s="1" t="s">
        <v>16</v>
      </c>
      <c r="AC817" s="1" t="s">
        <v>22</v>
      </c>
      <c r="AD817" s="1">
        <v>19</v>
      </c>
      <c r="AE817" s="1">
        <v>16</v>
      </c>
      <c r="AF817" s="1">
        <v>0.8</v>
      </c>
      <c r="AG817" s="1">
        <v>0.9</v>
      </c>
      <c r="AH817" s="1">
        <v>0</v>
      </c>
      <c r="AI817" s="1">
        <v>0</v>
      </c>
      <c r="AJ817" s="1">
        <f t="shared" si="67"/>
        <v>0</v>
      </c>
      <c r="AK817" s="1">
        <f>E85</f>
        <v>0</v>
      </c>
      <c r="AL817" s="1">
        <f>E91</f>
        <v>0</v>
      </c>
      <c r="AM817" s="1">
        <f t="shared" si="68"/>
        <v>0</v>
      </c>
      <c r="AN817" s="1">
        <f t="shared" si="69"/>
        <v>0</v>
      </c>
      <c r="AO817" s="1">
        <f t="shared" si="70"/>
        <v>0</v>
      </c>
      <c r="AP817" t="b" cm="1">
        <f t="array" ref="AP817">INDEX($AU$8:$BB$25,6*(R817-1)+MATCH(AB817,$AS$8:$AS$13,0),MATCH(O817,$AU$7:$BB$7,0))</f>
        <v>1</v>
      </c>
    </row>
    <row r="818" spans="15:42" ht="14.25" x14ac:dyDescent="0.45">
      <c r="O818" s="43" t="s">
        <v>35</v>
      </c>
      <c r="P818" s="43">
        <v>2</v>
      </c>
      <c r="Q818" s="43">
        <v>2</v>
      </c>
      <c r="R818" s="43">
        <v>1</v>
      </c>
      <c r="S818" s="45"/>
      <c r="T818" t="b">
        <f>(S818+S819+S820)=T3</f>
        <v>0</v>
      </c>
      <c r="X818" s="1">
        <f t="shared" ref="X818:X859" si="72">MAX(S815-S818,0)</f>
        <v>0</v>
      </c>
      <c r="Y818" s="48">
        <v>0</v>
      </c>
      <c r="AA818" s="1">
        <v>1</v>
      </c>
      <c r="AB818" s="1" t="s">
        <v>12</v>
      </c>
      <c r="AC818" s="1" t="s">
        <v>18</v>
      </c>
      <c r="AD818" s="1">
        <v>20</v>
      </c>
      <c r="AE818" s="1">
        <v>18</v>
      </c>
      <c r="AF818" s="1">
        <v>0.76</v>
      </c>
      <c r="AG818" s="1">
        <v>0.81</v>
      </c>
      <c r="AH818" s="1">
        <v>0</v>
      </c>
      <c r="AI818" s="1">
        <v>0</v>
      </c>
      <c r="AJ818" s="1">
        <f t="shared" si="67"/>
        <v>0</v>
      </c>
      <c r="AK818" s="1">
        <f>C81</f>
        <v>0</v>
      </c>
      <c r="AL818" s="1">
        <f>C87</f>
        <v>0</v>
      </c>
      <c r="AM818" s="1">
        <f t="shared" si="68"/>
        <v>0</v>
      </c>
      <c r="AN818" s="1">
        <f t="shared" si="69"/>
        <v>0</v>
      </c>
      <c r="AO818" s="1">
        <f t="shared" si="70"/>
        <v>0</v>
      </c>
      <c r="AP818" t="b" cm="1">
        <f t="array" ref="AP818">INDEX($AU$8:$BB$25,6*(R818-1)+MATCH(AB818,$AS$8:$AS$13,0),MATCH(O818,$AU$7:$BB$7,0))</f>
        <v>1</v>
      </c>
    </row>
    <row r="819" spans="15:42" ht="14.25" x14ac:dyDescent="0.45">
      <c r="O819" s="43" t="s">
        <v>35</v>
      </c>
      <c r="P819" s="43">
        <v>2</v>
      </c>
      <c r="Q819" s="43">
        <v>2</v>
      </c>
      <c r="R819" s="43">
        <v>2</v>
      </c>
      <c r="S819" s="45"/>
      <c r="T819" t="b">
        <f>(S818+S819+S820)=T3</f>
        <v>0</v>
      </c>
      <c r="X819" s="1">
        <f t="shared" si="72"/>
        <v>0</v>
      </c>
      <c r="Y819" s="48">
        <v>0</v>
      </c>
      <c r="AA819" s="1">
        <v>1</v>
      </c>
      <c r="AB819" s="1" t="s">
        <v>12</v>
      </c>
      <c r="AC819" s="1" t="s">
        <v>18</v>
      </c>
      <c r="AD819" s="1">
        <v>20</v>
      </c>
      <c r="AE819" s="1">
        <v>18</v>
      </c>
      <c r="AF819" s="1">
        <v>0.76</v>
      </c>
      <c r="AG819" s="1">
        <v>0.81</v>
      </c>
      <c r="AH819" s="1">
        <v>0</v>
      </c>
      <c r="AI819" s="1">
        <v>0</v>
      </c>
      <c r="AJ819" s="1">
        <f t="shared" si="67"/>
        <v>0</v>
      </c>
      <c r="AK819" s="1">
        <f>D81</f>
        <v>0</v>
      </c>
      <c r="AL819" s="1">
        <f>D87</f>
        <v>0</v>
      </c>
      <c r="AM819" s="1">
        <f t="shared" si="68"/>
        <v>0</v>
      </c>
      <c r="AN819" s="1">
        <f t="shared" si="69"/>
        <v>0</v>
      </c>
      <c r="AO819" s="1">
        <f t="shared" si="70"/>
        <v>0</v>
      </c>
      <c r="AP819" t="b" cm="1">
        <f t="array" ref="AP819">INDEX($AU$8:$BB$25,6*(R819-1)+MATCH(AB819,$AS$8:$AS$13,0),MATCH(O819,$AU$7:$BB$7,0))</f>
        <v>1</v>
      </c>
    </row>
    <row r="820" spans="15:42" ht="14.25" x14ac:dyDescent="0.45">
      <c r="O820" s="43" t="s">
        <v>35</v>
      </c>
      <c r="P820" s="43">
        <v>2</v>
      </c>
      <c r="Q820" s="43">
        <v>2</v>
      </c>
      <c r="R820" s="43">
        <v>3</v>
      </c>
      <c r="S820" s="45"/>
      <c r="T820" t="b">
        <f>(S818+S819+S820)=T3</f>
        <v>0</v>
      </c>
      <c r="X820" s="1">
        <f t="shared" si="72"/>
        <v>0</v>
      </c>
      <c r="Y820" s="48">
        <v>0</v>
      </c>
      <c r="AA820" s="1">
        <v>1</v>
      </c>
      <c r="AB820" s="1" t="s">
        <v>12</v>
      </c>
      <c r="AC820" s="1" t="s">
        <v>18</v>
      </c>
      <c r="AD820" s="1">
        <v>20</v>
      </c>
      <c r="AE820" s="1">
        <v>18</v>
      </c>
      <c r="AF820" s="1">
        <v>0.76</v>
      </c>
      <c r="AG820" s="1">
        <v>0.81</v>
      </c>
      <c r="AH820" s="1">
        <v>0</v>
      </c>
      <c r="AI820" s="1">
        <v>0</v>
      </c>
      <c r="AJ820" s="1">
        <f t="shared" si="67"/>
        <v>0</v>
      </c>
      <c r="AK820" s="1">
        <f>E81</f>
        <v>0</v>
      </c>
      <c r="AL820" s="1">
        <f>E87</f>
        <v>0</v>
      </c>
      <c r="AM820" s="1">
        <f t="shared" si="68"/>
        <v>0</v>
      </c>
      <c r="AN820" s="1">
        <f t="shared" si="69"/>
        <v>0</v>
      </c>
      <c r="AO820" s="1">
        <f t="shared" si="70"/>
        <v>0</v>
      </c>
      <c r="AP820" t="b" cm="1">
        <f t="array" ref="AP820">INDEX($AU$8:$BB$25,6*(R820-1)+MATCH(AB820,$AS$8:$AS$13,0),MATCH(O820,$AU$7:$BB$7,0))</f>
        <v>1</v>
      </c>
    </row>
    <row r="821" spans="15:42" ht="14.25" x14ac:dyDescent="0.45">
      <c r="O821" s="43" t="s">
        <v>35</v>
      </c>
      <c r="P821" s="43">
        <v>2</v>
      </c>
      <c r="Q821" s="43">
        <v>3</v>
      </c>
      <c r="R821" s="43">
        <v>1</v>
      </c>
      <c r="S821" s="45"/>
      <c r="T821" t="b">
        <f>(S821+S822+S823)=T3</f>
        <v>0</v>
      </c>
      <c r="X821" s="1">
        <f t="shared" si="72"/>
        <v>0</v>
      </c>
      <c r="Y821" s="48">
        <v>0</v>
      </c>
      <c r="AA821" s="1">
        <v>11</v>
      </c>
      <c r="AB821" s="1" t="s">
        <v>15</v>
      </c>
      <c r="AC821" s="1" t="s">
        <v>21</v>
      </c>
      <c r="AD821" s="1">
        <v>10</v>
      </c>
      <c r="AE821" s="1">
        <v>7</v>
      </c>
      <c r="AF821" s="1">
        <v>0.76</v>
      </c>
      <c r="AG821" s="1">
        <v>0.84</v>
      </c>
      <c r="AH821" s="1">
        <v>0</v>
      </c>
      <c r="AI821" s="1">
        <v>0</v>
      </c>
      <c r="AJ821" s="1">
        <f t="shared" si="67"/>
        <v>0</v>
      </c>
      <c r="AK821" s="1">
        <f>C84</f>
        <v>0</v>
      </c>
      <c r="AL821" s="1">
        <f>C90</f>
        <v>0</v>
      </c>
      <c r="AM821" s="1">
        <f t="shared" si="68"/>
        <v>0</v>
      </c>
      <c r="AN821" s="1">
        <f t="shared" si="69"/>
        <v>0</v>
      </c>
      <c r="AO821" s="1">
        <f t="shared" si="70"/>
        <v>0</v>
      </c>
      <c r="AP821" t="b" cm="1">
        <f t="array" ref="AP821">INDEX($AU$8:$BB$25,6*(R821-1)+MATCH(AB821,$AS$8:$AS$13,0),MATCH(O821,$AU$7:$BB$7,0))</f>
        <v>1</v>
      </c>
    </row>
    <row r="822" spans="15:42" ht="14.25" x14ac:dyDescent="0.45">
      <c r="O822" s="43" t="s">
        <v>35</v>
      </c>
      <c r="P822" s="43">
        <v>2</v>
      </c>
      <c r="Q822" s="43">
        <v>3</v>
      </c>
      <c r="R822" s="43">
        <v>2</v>
      </c>
      <c r="S822" s="45"/>
      <c r="T822" t="b">
        <f>(S821+S822+S823)=T3</f>
        <v>0</v>
      </c>
      <c r="X822" s="1">
        <f t="shared" si="72"/>
        <v>0</v>
      </c>
      <c r="Y822" s="48">
        <v>0</v>
      </c>
      <c r="AA822" s="1">
        <v>11</v>
      </c>
      <c r="AB822" s="1" t="s">
        <v>15</v>
      </c>
      <c r="AC822" s="1" t="s">
        <v>21</v>
      </c>
      <c r="AD822" s="1">
        <v>10</v>
      </c>
      <c r="AE822" s="1">
        <v>7</v>
      </c>
      <c r="AF822" s="1">
        <v>0.76</v>
      </c>
      <c r="AG822" s="1">
        <v>0.84</v>
      </c>
      <c r="AH822" s="1">
        <v>0</v>
      </c>
      <c r="AI822" s="1">
        <v>0</v>
      </c>
      <c r="AJ822" s="1">
        <f t="shared" si="67"/>
        <v>0</v>
      </c>
      <c r="AK822" s="1">
        <f>D84</f>
        <v>0</v>
      </c>
      <c r="AL822" s="1">
        <f>D90</f>
        <v>0</v>
      </c>
      <c r="AM822" s="1">
        <f t="shared" si="68"/>
        <v>0</v>
      </c>
      <c r="AN822" s="1">
        <f t="shared" si="69"/>
        <v>0</v>
      </c>
      <c r="AO822" s="1">
        <f t="shared" si="70"/>
        <v>0</v>
      </c>
      <c r="AP822" t="b" cm="1">
        <f t="array" ref="AP822">INDEX($AU$8:$BB$25,6*(R822-1)+MATCH(AB822,$AS$8:$AS$13,0),MATCH(O822,$AU$7:$BB$7,0))</f>
        <v>1</v>
      </c>
    </row>
    <row r="823" spans="15:42" ht="14.25" x14ac:dyDescent="0.45">
      <c r="O823" s="43" t="s">
        <v>35</v>
      </c>
      <c r="P823" s="43">
        <v>2</v>
      </c>
      <c r="Q823" s="43">
        <v>3</v>
      </c>
      <c r="R823" s="43">
        <v>3</v>
      </c>
      <c r="S823" s="45"/>
      <c r="T823" t="b">
        <f>(S821+S822+S823)=T3</f>
        <v>0</v>
      </c>
      <c r="X823" s="1">
        <f t="shared" si="72"/>
        <v>0</v>
      </c>
      <c r="Y823" s="48">
        <v>0</v>
      </c>
      <c r="AA823" s="1">
        <v>11</v>
      </c>
      <c r="AB823" s="1" t="s">
        <v>15</v>
      </c>
      <c r="AC823" s="1" t="s">
        <v>21</v>
      </c>
      <c r="AD823" s="1">
        <v>10</v>
      </c>
      <c r="AE823" s="1">
        <v>7</v>
      </c>
      <c r="AF823" s="1">
        <v>0.76</v>
      </c>
      <c r="AG823" s="1">
        <v>0.84</v>
      </c>
      <c r="AH823" s="1">
        <v>0</v>
      </c>
      <c r="AI823" s="1">
        <v>0</v>
      </c>
      <c r="AJ823" s="1">
        <f t="shared" si="67"/>
        <v>0</v>
      </c>
      <c r="AK823" s="1">
        <f>E84</f>
        <v>0</v>
      </c>
      <c r="AL823" s="1">
        <f>E90</f>
        <v>0</v>
      </c>
      <c r="AM823" s="1">
        <f t="shared" si="68"/>
        <v>0</v>
      </c>
      <c r="AN823" s="1">
        <f t="shared" si="69"/>
        <v>0</v>
      </c>
      <c r="AO823" s="1">
        <f t="shared" si="70"/>
        <v>0</v>
      </c>
      <c r="AP823" t="b" cm="1">
        <f t="array" ref="AP823">INDEX($AU$8:$BB$25,6*(R823-1)+MATCH(AB823,$AS$8:$AS$13,0),MATCH(O823,$AU$7:$BB$7,0))</f>
        <v>1</v>
      </c>
    </row>
    <row r="824" spans="15:42" ht="14.25" x14ac:dyDescent="0.45">
      <c r="O824" s="43" t="s">
        <v>35</v>
      </c>
      <c r="P824" s="43">
        <v>2</v>
      </c>
      <c r="Q824" s="43">
        <v>4</v>
      </c>
      <c r="R824" s="43">
        <v>1</v>
      </c>
      <c r="S824" s="45"/>
      <c r="T824" t="b">
        <f>(S824+S825+S826)=T3</f>
        <v>0</v>
      </c>
      <c r="X824" s="1">
        <f t="shared" si="72"/>
        <v>0</v>
      </c>
      <c r="Y824" s="48">
        <v>0</v>
      </c>
      <c r="AA824" s="1">
        <v>2</v>
      </c>
      <c r="AB824" s="1" t="s">
        <v>12</v>
      </c>
      <c r="AC824" s="1" t="s">
        <v>18</v>
      </c>
      <c r="AD824" s="1">
        <v>25</v>
      </c>
      <c r="AE824" s="1">
        <v>19</v>
      </c>
      <c r="AF824" s="1">
        <v>0.76</v>
      </c>
      <c r="AG824" s="1">
        <v>0.81</v>
      </c>
      <c r="AH824" s="1">
        <v>0</v>
      </c>
      <c r="AI824" s="1">
        <v>0</v>
      </c>
      <c r="AJ824" s="1">
        <f t="shared" si="67"/>
        <v>0</v>
      </c>
      <c r="AK824" s="1">
        <f>C81</f>
        <v>0</v>
      </c>
      <c r="AL824" s="1">
        <f>C87</f>
        <v>0</v>
      </c>
      <c r="AM824" s="1">
        <f t="shared" si="68"/>
        <v>0</v>
      </c>
      <c r="AN824" s="1">
        <f t="shared" si="69"/>
        <v>0</v>
      </c>
      <c r="AO824" s="1">
        <f t="shared" si="70"/>
        <v>0</v>
      </c>
      <c r="AP824" t="b" cm="1">
        <f t="array" ref="AP824">INDEX($AU$8:$BB$25,6*(R824-1)+MATCH(AB824,$AS$8:$AS$13,0),MATCH(O824,$AU$7:$BB$7,0))</f>
        <v>1</v>
      </c>
    </row>
    <row r="825" spans="15:42" ht="14.25" x14ac:dyDescent="0.45">
      <c r="O825" s="43" t="s">
        <v>35</v>
      </c>
      <c r="P825" s="43">
        <v>2</v>
      </c>
      <c r="Q825" s="43">
        <v>4</v>
      </c>
      <c r="R825" s="43">
        <v>2</v>
      </c>
      <c r="S825" s="45"/>
      <c r="T825" t="b">
        <f>(S824+S825+S826)=T3</f>
        <v>0</v>
      </c>
      <c r="X825" s="1">
        <f t="shared" si="72"/>
        <v>0</v>
      </c>
      <c r="Y825" s="48">
        <v>0</v>
      </c>
      <c r="AA825" s="1">
        <v>2</v>
      </c>
      <c r="AB825" s="1" t="s">
        <v>12</v>
      </c>
      <c r="AC825" s="1" t="s">
        <v>18</v>
      </c>
      <c r="AD825" s="1">
        <v>25</v>
      </c>
      <c r="AE825" s="1">
        <v>19</v>
      </c>
      <c r="AF825" s="1">
        <v>0.76</v>
      </c>
      <c r="AG825" s="1">
        <v>0.81</v>
      </c>
      <c r="AH825" s="1">
        <v>0</v>
      </c>
      <c r="AI825" s="1">
        <v>0</v>
      </c>
      <c r="AJ825" s="1">
        <f t="shared" si="67"/>
        <v>0</v>
      </c>
      <c r="AK825" s="1">
        <f>D81</f>
        <v>0</v>
      </c>
      <c r="AL825" s="1">
        <f>D87</f>
        <v>0</v>
      </c>
      <c r="AM825" s="1">
        <f t="shared" si="68"/>
        <v>0</v>
      </c>
      <c r="AN825" s="1">
        <f t="shared" si="69"/>
        <v>0</v>
      </c>
      <c r="AO825" s="1">
        <f t="shared" si="70"/>
        <v>0</v>
      </c>
      <c r="AP825" t="b" cm="1">
        <f t="array" ref="AP825">INDEX($AU$8:$BB$25,6*(R825-1)+MATCH(AB825,$AS$8:$AS$13,0),MATCH(O825,$AU$7:$BB$7,0))</f>
        <v>1</v>
      </c>
    </row>
    <row r="826" spans="15:42" ht="14.25" x14ac:dyDescent="0.45">
      <c r="O826" s="43" t="s">
        <v>35</v>
      </c>
      <c r="P826" s="43">
        <v>2</v>
      </c>
      <c r="Q826" s="43">
        <v>4</v>
      </c>
      <c r="R826" s="43">
        <v>3</v>
      </c>
      <c r="S826" s="45"/>
      <c r="T826" t="b">
        <f>(S824+S825+S826)=T3</f>
        <v>0</v>
      </c>
      <c r="X826" s="1">
        <f t="shared" si="72"/>
        <v>0</v>
      </c>
      <c r="Y826" s="48">
        <v>0</v>
      </c>
      <c r="AA826" s="1">
        <v>2</v>
      </c>
      <c r="AB826" s="1" t="s">
        <v>12</v>
      </c>
      <c r="AC826" s="1" t="s">
        <v>18</v>
      </c>
      <c r="AD826" s="1">
        <v>25</v>
      </c>
      <c r="AE826" s="1">
        <v>19</v>
      </c>
      <c r="AF826" s="1">
        <v>0.76</v>
      </c>
      <c r="AG826" s="1">
        <v>0.81</v>
      </c>
      <c r="AH826" s="1">
        <v>0</v>
      </c>
      <c r="AI826" s="1">
        <v>0</v>
      </c>
      <c r="AJ826" s="1">
        <f t="shared" si="67"/>
        <v>0</v>
      </c>
      <c r="AK826" s="1">
        <f>E81</f>
        <v>0</v>
      </c>
      <c r="AL826" s="1">
        <f>E87</f>
        <v>0</v>
      </c>
      <c r="AM826" s="1">
        <f t="shared" si="68"/>
        <v>0</v>
      </c>
      <c r="AN826" s="1">
        <f t="shared" si="69"/>
        <v>0</v>
      </c>
      <c r="AO826" s="1">
        <f t="shared" si="70"/>
        <v>0</v>
      </c>
      <c r="AP826" t="b" cm="1">
        <f t="array" ref="AP826">INDEX($AU$8:$BB$25,6*(R826-1)+MATCH(AB826,$AS$8:$AS$13,0),MATCH(O826,$AU$7:$BB$7,0))</f>
        <v>1</v>
      </c>
    </row>
    <row r="827" spans="15:42" ht="14.25" x14ac:dyDescent="0.45">
      <c r="O827" s="43" t="s">
        <v>35</v>
      </c>
      <c r="P827" s="43">
        <v>2</v>
      </c>
      <c r="Q827" s="43">
        <v>5</v>
      </c>
      <c r="R827" s="43">
        <v>1</v>
      </c>
      <c r="S827" s="45"/>
      <c r="T827" t="b">
        <f>(S827+S828+S829)=T3</f>
        <v>0</v>
      </c>
      <c r="X827" s="1">
        <f t="shared" si="72"/>
        <v>0</v>
      </c>
      <c r="Y827" s="48">
        <v>0</v>
      </c>
      <c r="AA827" s="1">
        <v>3</v>
      </c>
      <c r="AB827" s="1" t="s">
        <v>12</v>
      </c>
      <c r="AC827" s="1" t="s">
        <v>18</v>
      </c>
      <c r="AD827" s="1">
        <v>15</v>
      </c>
      <c r="AE827" s="1">
        <v>11</v>
      </c>
      <c r="AF827" s="1">
        <v>0.76</v>
      </c>
      <c r="AG827" s="1">
        <v>0.81</v>
      </c>
      <c r="AH827" s="1">
        <v>0</v>
      </c>
      <c r="AI827" s="1">
        <v>0</v>
      </c>
      <c r="AJ827" s="1">
        <f t="shared" si="67"/>
        <v>0</v>
      </c>
      <c r="AK827" s="1">
        <f>C81</f>
        <v>0</v>
      </c>
      <c r="AL827" s="1">
        <f>C87</f>
        <v>0</v>
      </c>
      <c r="AM827" s="1">
        <f t="shared" si="68"/>
        <v>0</v>
      </c>
      <c r="AN827" s="1">
        <f t="shared" si="69"/>
        <v>0</v>
      </c>
      <c r="AO827" s="1">
        <f t="shared" si="70"/>
        <v>0</v>
      </c>
      <c r="AP827" t="b" cm="1">
        <f t="array" ref="AP827">INDEX($AU$8:$BB$25,6*(R827-1)+MATCH(AB827,$AS$8:$AS$13,0),MATCH(O827,$AU$7:$BB$7,0))</f>
        <v>1</v>
      </c>
    </row>
    <row r="828" spans="15:42" ht="14.25" x14ac:dyDescent="0.45">
      <c r="O828" s="43" t="s">
        <v>35</v>
      </c>
      <c r="P828" s="43">
        <v>2</v>
      </c>
      <c r="Q828" s="43">
        <v>5</v>
      </c>
      <c r="R828" s="43">
        <v>2</v>
      </c>
      <c r="S828" s="45"/>
      <c r="T828" t="b">
        <f>(S827+S828+S829)=T3</f>
        <v>0</v>
      </c>
      <c r="X828" s="1">
        <f t="shared" si="72"/>
        <v>0</v>
      </c>
      <c r="Y828" s="48">
        <v>0</v>
      </c>
      <c r="AA828" s="1">
        <v>3</v>
      </c>
      <c r="AB828" s="1" t="s">
        <v>12</v>
      </c>
      <c r="AC828" s="1" t="s">
        <v>18</v>
      </c>
      <c r="AD828" s="1">
        <v>15</v>
      </c>
      <c r="AE828" s="1">
        <v>11</v>
      </c>
      <c r="AF828" s="1">
        <v>0.76</v>
      </c>
      <c r="AG828" s="1">
        <v>0.81</v>
      </c>
      <c r="AH828" s="1">
        <v>0</v>
      </c>
      <c r="AI828" s="1">
        <v>0</v>
      </c>
      <c r="AJ828" s="1">
        <f t="shared" si="67"/>
        <v>0</v>
      </c>
      <c r="AK828" s="1">
        <f>D81</f>
        <v>0</v>
      </c>
      <c r="AL828" s="1">
        <f>D87</f>
        <v>0</v>
      </c>
      <c r="AM828" s="1">
        <f t="shared" si="68"/>
        <v>0</v>
      </c>
      <c r="AN828" s="1">
        <f t="shared" si="69"/>
        <v>0</v>
      </c>
      <c r="AO828" s="1">
        <f t="shared" si="70"/>
        <v>0</v>
      </c>
      <c r="AP828" t="b" cm="1">
        <f t="array" ref="AP828">INDEX($AU$8:$BB$25,6*(R828-1)+MATCH(AB828,$AS$8:$AS$13,0),MATCH(O828,$AU$7:$BB$7,0))</f>
        <v>1</v>
      </c>
    </row>
    <row r="829" spans="15:42" ht="14.25" x14ac:dyDescent="0.45">
      <c r="O829" s="43" t="s">
        <v>35</v>
      </c>
      <c r="P829" s="43">
        <v>2</v>
      </c>
      <c r="Q829" s="43">
        <v>5</v>
      </c>
      <c r="R829" s="43">
        <v>3</v>
      </c>
      <c r="S829" s="45"/>
      <c r="T829" t="b">
        <f>(S827+S828+S829)=T3</f>
        <v>0</v>
      </c>
      <c r="X829" s="1">
        <f t="shared" si="72"/>
        <v>0</v>
      </c>
      <c r="Y829" s="48">
        <v>0</v>
      </c>
      <c r="AA829" s="1">
        <v>3</v>
      </c>
      <c r="AB829" s="1" t="s">
        <v>12</v>
      </c>
      <c r="AC829" s="1" t="s">
        <v>18</v>
      </c>
      <c r="AD829" s="1">
        <v>15</v>
      </c>
      <c r="AE829" s="1">
        <v>11</v>
      </c>
      <c r="AF829" s="1">
        <v>0.76</v>
      </c>
      <c r="AG829" s="1">
        <v>0.81</v>
      </c>
      <c r="AH829" s="1">
        <v>0</v>
      </c>
      <c r="AI829" s="1">
        <v>0</v>
      </c>
      <c r="AJ829" s="1">
        <f t="shared" si="67"/>
        <v>0</v>
      </c>
      <c r="AK829" s="1">
        <f>E81</f>
        <v>0</v>
      </c>
      <c r="AL829" s="1">
        <f>E87</f>
        <v>0</v>
      </c>
      <c r="AM829" s="1">
        <f t="shared" si="68"/>
        <v>0</v>
      </c>
      <c r="AN829" s="1">
        <f t="shared" si="69"/>
        <v>0</v>
      </c>
      <c r="AO829" s="1">
        <f t="shared" si="70"/>
        <v>0</v>
      </c>
      <c r="AP829" t="b" cm="1">
        <f t="array" ref="AP829">INDEX($AU$8:$BB$25,6*(R829-1)+MATCH(AB829,$AS$8:$AS$13,0),MATCH(O829,$AU$7:$BB$7,0))</f>
        <v>1</v>
      </c>
    </row>
    <row r="830" spans="15:42" ht="14.25" x14ac:dyDescent="0.45">
      <c r="O830" s="43" t="s">
        <v>35</v>
      </c>
      <c r="P830" s="43">
        <v>2</v>
      </c>
      <c r="Q830" s="43">
        <v>6</v>
      </c>
      <c r="R830" s="43">
        <v>1</v>
      </c>
      <c r="S830" s="45"/>
      <c r="T830" t="b">
        <f>(S830+S831+S832)=T3</f>
        <v>0</v>
      </c>
      <c r="X830" s="1">
        <f t="shared" si="72"/>
        <v>0</v>
      </c>
      <c r="Y830" s="48">
        <v>0</v>
      </c>
      <c r="AA830" s="1">
        <v>5</v>
      </c>
      <c r="AB830" s="1" t="s">
        <v>16</v>
      </c>
      <c r="AC830" s="1" t="s">
        <v>22</v>
      </c>
      <c r="AD830" s="1">
        <v>16</v>
      </c>
      <c r="AE830" s="1">
        <v>14</v>
      </c>
      <c r="AF830" s="1">
        <v>0.8</v>
      </c>
      <c r="AG830" s="1">
        <v>0.9</v>
      </c>
      <c r="AH830" s="1">
        <v>0</v>
      </c>
      <c r="AI830" s="1">
        <v>0</v>
      </c>
      <c r="AJ830" s="1">
        <f t="shared" si="67"/>
        <v>0</v>
      </c>
      <c r="AK830" s="1">
        <f>C85</f>
        <v>0</v>
      </c>
      <c r="AL830" s="1">
        <f>C91</f>
        <v>0</v>
      </c>
      <c r="AM830" s="1">
        <f t="shared" si="68"/>
        <v>0</v>
      </c>
      <c r="AN830" s="1">
        <f t="shared" si="69"/>
        <v>0</v>
      </c>
      <c r="AO830" s="1">
        <f t="shared" si="70"/>
        <v>0</v>
      </c>
      <c r="AP830" t="b" cm="1">
        <f t="array" ref="AP830">INDEX($AU$8:$BB$25,6*(R830-1)+MATCH(AB830,$AS$8:$AS$13,0),MATCH(O830,$AU$7:$BB$7,0))</f>
        <v>1</v>
      </c>
    </row>
    <row r="831" spans="15:42" ht="14.25" x14ac:dyDescent="0.45">
      <c r="O831" s="43" t="s">
        <v>35</v>
      </c>
      <c r="P831" s="43">
        <v>2</v>
      </c>
      <c r="Q831" s="43">
        <v>6</v>
      </c>
      <c r="R831" s="43">
        <v>2</v>
      </c>
      <c r="S831" s="45"/>
      <c r="T831" t="b">
        <f>(S830+S831+S832)=T3</f>
        <v>0</v>
      </c>
      <c r="X831" s="1">
        <f t="shared" si="72"/>
        <v>0</v>
      </c>
      <c r="Y831" s="48">
        <v>0</v>
      </c>
      <c r="AA831" s="1">
        <v>5</v>
      </c>
      <c r="AB831" s="1" t="s">
        <v>16</v>
      </c>
      <c r="AC831" s="1" t="s">
        <v>22</v>
      </c>
      <c r="AD831" s="1">
        <v>16</v>
      </c>
      <c r="AE831" s="1">
        <v>14</v>
      </c>
      <c r="AF831" s="1">
        <v>0.8</v>
      </c>
      <c r="AG831" s="1">
        <v>0.9</v>
      </c>
      <c r="AH831" s="1">
        <v>0</v>
      </c>
      <c r="AI831" s="1">
        <v>0</v>
      </c>
      <c r="AJ831" s="1">
        <f t="shared" si="67"/>
        <v>0</v>
      </c>
      <c r="AK831" s="1">
        <f>D85</f>
        <v>0</v>
      </c>
      <c r="AL831" s="1">
        <f>D91</f>
        <v>0</v>
      </c>
      <c r="AM831" s="1">
        <f t="shared" si="68"/>
        <v>0</v>
      </c>
      <c r="AN831" s="1">
        <f t="shared" si="69"/>
        <v>0</v>
      </c>
      <c r="AO831" s="1">
        <f t="shared" si="70"/>
        <v>0</v>
      </c>
      <c r="AP831" t="b" cm="1">
        <f t="array" ref="AP831">INDEX($AU$8:$BB$25,6*(R831-1)+MATCH(AB831,$AS$8:$AS$13,0),MATCH(O831,$AU$7:$BB$7,0))</f>
        <v>1</v>
      </c>
    </row>
    <row r="832" spans="15:42" ht="14.25" x14ac:dyDescent="0.45">
      <c r="O832" s="43" t="s">
        <v>35</v>
      </c>
      <c r="P832" s="43">
        <v>2</v>
      </c>
      <c r="Q832" s="43">
        <v>6</v>
      </c>
      <c r="R832" s="43">
        <v>3</v>
      </c>
      <c r="S832" s="45"/>
      <c r="T832" t="b">
        <f>(S830+S831+S832)=T3</f>
        <v>0</v>
      </c>
      <c r="X832" s="1">
        <f t="shared" si="72"/>
        <v>0</v>
      </c>
      <c r="Y832" s="48">
        <v>0</v>
      </c>
      <c r="AA832" s="1">
        <v>5</v>
      </c>
      <c r="AB832" s="1" t="s">
        <v>16</v>
      </c>
      <c r="AC832" s="1" t="s">
        <v>22</v>
      </c>
      <c r="AD832" s="1">
        <v>16</v>
      </c>
      <c r="AE832" s="1">
        <v>14</v>
      </c>
      <c r="AF832" s="1">
        <v>0.8</v>
      </c>
      <c r="AG832" s="1">
        <v>0.9</v>
      </c>
      <c r="AH832" s="1">
        <v>0</v>
      </c>
      <c r="AI832" s="1">
        <v>0</v>
      </c>
      <c r="AJ832" s="1">
        <f t="shared" si="67"/>
        <v>0</v>
      </c>
      <c r="AK832" s="1">
        <f>E85</f>
        <v>0</v>
      </c>
      <c r="AL832" s="1">
        <f>E91</f>
        <v>0</v>
      </c>
      <c r="AM832" s="1">
        <f t="shared" si="68"/>
        <v>0</v>
      </c>
      <c r="AN832" s="1">
        <f t="shared" si="69"/>
        <v>0</v>
      </c>
      <c r="AO832" s="1">
        <f t="shared" si="70"/>
        <v>0</v>
      </c>
      <c r="AP832" t="b" cm="1">
        <f t="array" ref="AP832">INDEX($AU$8:$BB$25,6*(R832-1)+MATCH(AB832,$AS$8:$AS$13,0),MATCH(O832,$AU$7:$BB$7,0))</f>
        <v>1</v>
      </c>
    </row>
    <row r="833" spans="15:42" ht="14.25" x14ac:dyDescent="0.45">
      <c r="O833" s="43" t="s">
        <v>35</v>
      </c>
      <c r="P833" s="43">
        <v>2</v>
      </c>
      <c r="Q833" s="43">
        <v>7</v>
      </c>
      <c r="R833" s="43">
        <v>1</v>
      </c>
      <c r="S833" s="45"/>
      <c r="T833" t="b">
        <f>(S833+S834+S835)=T3</f>
        <v>0</v>
      </c>
      <c r="X833" s="1">
        <f t="shared" si="72"/>
        <v>0</v>
      </c>
      <c r="Y833" s="48">
        <v>0</v>
      </c>
      <c r="AA833" s="1">
        <v>4</v>
      </c>
      <c r="AB833" s="1" t="s">
        <v>16</v>
      </c>
      <c r="AC833" s="1" t="s">
        <v>22</v>
      </c>
      <c r="AD833" s="1">
        <v>17</v>
      </c>
      <c r="AE833" s="1">
        <v>15</v>
      </c>
      <c r="AF833" s="1">
        <v>0.8</v>
      </c>
      <c r="AG833" s="1">
        <v>0.9</v>
      </c>
      <c r="AH833" s="1">
        <v>0</v>
      </c>
      <c r="AI833" s="1">
        <v>0</v>
      </c>
      <c r="AJ833" s="1">
        <f t="shared" si="67"/>
        <v>0</v>
      </c>
      <c r="AK833" s="1">
        <f>C85</f>
        <v>0</v>
      </c>
      <c r="AL833" s="1">
        <f>C91</f>
        <v>0</v>
      </c>
      <c r="AM833" s="1">
        <f t="shared" si="68"/>
        <v>0</v>
      </c>
      <c r="AN833" s="1">
        <f t="shared" si="69"/>
        <v>0</v>
      </c>
      <c r="AO833" s="1">
        <f t="shared" si="70"/>
        <v>0</v>
      </c>
      <c r="AP833" t="b" cm="1">
        <f t="array" ref="AP833">INDEX($AU$8:$BB$25,6*(R833-1)+MATCH(AB833,$AS$8:$AS$13,0),MATCH(O833,$AU$7:$BB$7,0))</f>
        <v>1</v>
      </c>
    </row>
    <row r="834" spans="15:42" ht="14.25" x14ac:dyDescent="0.45">
      <c r="O834" s="43" t="s">
        <v>35</v>
      </c>
      <c r="P834" s="43">
        <v>2</v>
      </c>
      <c r="Q834" s="43">
        <v>7</v>
      </c>
      <c r="R834" s="43">
        <v>2</v>
      </c>
      <c r="S834" s="45"/>
      <c r="T834" t="b">
        <f>(S833+S834+S835)=T3</f>
        <v>0</v>
      </c>
      <c r="X834" s="1">
        <f t="shared" si="72"/>
        <v>0</v>
      </c>
      <c r="Y834" s="48">
        <v>0</v>
      </c>
      <c r="AA834" s="1">
        <v>4</v>
      </c>
      <c r="AB834" s="1" t="s">
        <v>16</v>
      </c>
      <c r="AC834" s="1" t="s">
        <v>22</v>
      </c>
      <c r="AD834" s="1">
        <v>17</v>
      </c>
      <c r="AE834" s="1">
        <v>15</v>
      </c>
      <c r="AF834" s="1">
        <v>0.8</v>
      </c>
      <c r="AG834" s="1">
        <v>0.9</v>
      </c>
      <c r="AH834" s="1">
        <v>0</v>
      </c>
      <c r="AI834" s="1">
        <v>0</v>
      </c>
      <c r="AJ834" s="1">
        <f t="shared" si="67"/>
        <v>0</v>
      </c>
      <c r="AK834" s="1">
        <f>D85</f>
        <v>0</v>
      </c>
      <c r="AL834" s="1">
        <f>D91</f>
        <v>0</v>
      </c>
      <c r="AM834" s="1">
        <f t="shared" si="68"/>
        <v>0</v>
      </c>
      <c r="AN834" s="1">
        <f t="shared" si="69"/>
        <v>0</v>
      </c>
      <c r="AO834" s="1">
        <f t="shared" si="70"/>
        <v>0</v>
      </c>
      <c r="AP834" t="b" cm="1">
        <f t="array" ref="AP834">INDEX($AU$8:$BB$25,6*(R834-1)+MATCH(AB834,$AS$8:$AS$13,0),MATCH(O834,$AU$7:$BB$7,0))</f>
        <v>1</v>
      </c>
    </row>
    <row r="835" spans="15:42" ht="14.25" x14ac:dyDescent="0.45">
      <c r="O835" s="43" t="s">
        <v>35</v>
      </c>
      <c r="P835" s="43">
        <v>2</v>
      </c>
      <c r="Q835" s="43">
        <v>7</v>
      </c>
      <c r="R835" s="43">
        <v>3</v>
      </c>
      <c r="S835" s="45"/>
      <c r="T835" t="b">
        <f>(S833+S834+S835)=T3</f>
        <v>0</v>
      </c>
      <c r="X835" s="1">
        <f t="shared" si="72"/>
        <v>0</v>
      </c>
      <c r="Y835" s="48">
        <v>0</v>
      </c>
      <c r="AA835" s="1">
        <v>4</v>
      </c>
      <c r="AB835" s="1" t="s">
        <v>16</v>
      </c>
      <c r="AC835" s="1" t="s">
        <v>22</v>
      </c>
      <c r="AD835" s="1">
        <v>17</v>
      </c>
      <c r="AE835" s="1">
        <v>15</v>
      </c>
      <c r="AF835" s="1">
        <v>0.8</v>
      </c>
      <c r="AG835" s="1">
        <v>0.9</v>
      </c>
      <c r="AH835" s="1">
        <v>0</v>
      </c>
      <c r="AI835" s="1">
        <v>0</v>
      </c>
      <c r="AJ835" s="1">
        <f t="shared" si="67"/>
        <v>0</v>
      </c>
      <c r="AK835" s="1">
        <f>E85</f>
        <v>0</v>
      </c>
      <c r="AL835" s="1">
        <f>E91</f>
        <v>0</v>
      </c>
      <c r="AM835" s="1">
        <f t="shared" si="68"/>
        <v>0</v>
      </c>
      <c r="AN835" s="1">
        <f t="shared" si="69"/>
        <v>0</v>
      </c>
      <c r="AO835" s="1">
        <f t="shared" si="70"/>
        <v>0</v>
      </c>
      <c r="AP835" t="b" cm="1">
        <f t="array" ref="AP835">INDEX($AU$8:$BB$25,6*(R835-1)+MATCH(AB835,$AS$8:$AS$13,0),MATCH(O835,$AU$7:$BB$7,0))</f>
        <v>1</v>
      </c>
    </row>
    <row r="836" spans="15:42" ht="14.25" x14ac:dyDescent="0.45">
      <c r="O836" s="43" t="s">
        <v>35</v>
      </c>
      <c r="P836" s="43">
        <v>2</v>
      </c>
      <c r="Q836" s="43">
        <v>8</v>
      </c>
      <c r="R836" s="43">
        <v>1</v>
      </c>
      <c r="S836" s="45"/>
      <c r="T836" t="b">
        <f>(S836+S837+S838)=T3</f>
        <v>0</v>
      </c>
      <c r="X836" s="1">
        <f t="shared" si="72"/>
        <v>0</v>
      </c>
      <c r="Y836" s="48">
        <v>0</v>
      </c>
      <c r="AA836" s="1">
        <v>4</v>
      </c>
      <c r="AB836" s="1" t="s">
        <v>12</v>
      </c>
      <c r="AC836" s="1" t="s">
        <v>18</v>
      </c>
      <c r="AD836" s="1">
        <v>22</v>
      </c>
      <c r="AE836" s="1">
        <v>16</v>
      </c>
      <c r="AF836" s="1">
        <v>0.76</v>
      </c>
      <c r="AG836" s="1">
        <v>0.81</v>
      </c>
      <c r="AH836" s="1">
        <v>0</v>
      </c>
      <c r="AI836" s="1">
        <v>0</v>
      </c>
      <c r="AJ836" s="1">
        <f t="shared" si="67"/>
        <v>0</v>
      </c>
      <c r="AK836" s="1">
        <f>C81</f>
        <v>0</v>
      </c>
      <c r="AL836" s="1">
        <f>C87</f>
        <v>0</v>
      </c>
      <c r="AM836" s="1">
        <f t="shared" si="68"/>
        <v>0</v>
      </c>
      <c r="AN836" s="1">
        <f t="shared" si="69"/>
        <v>0</v>
      </c>
      <c r="AO836" s="1">
        <f t="shared" si="70"/>
        <v>0</v>
      </c>
      <c r="AP836" t="b" cm="1">
        <f t="array" ref="AP836">INDEX($AU$8:$BB$25,6*(R836-1)+MATCH(AB836,$AS$8:$AS$13,0),MATCH(O836,$AU$7:$BB$7,0))</f>
        <v>1</v>
      </c>
    </row>
    <row r="837" spans="15:42" ht="14.25" x14ac:dyDescent="0.45">
      <c r="O837" s="43" t="s">
        <v>35</v>
      </c>
      <c r="P837" s="43">
        <v>2</v>
      </c>
      <c r="Q837" s="43">
        <v>8</v>
      </c>
      <c r="R837" s="43">
        <v>2</v>
      </c>
      <c r="S837" s="45"/>
      <c r="T837" t="b">
        <f>(S836+S837+S838)=T3</f>
        <v>0</v>
      </c>
      <c r="X837" s="1">
        <f t="shared" si="72"/>
        <v>0</v>
      </c>
      <c r="Y837" s="48">
        <v>0</v>
      </c>
      <c r="AA837" s="1">
        <v>4</v>
      </c>
      <c r="AB837" s="1" t="s">
        <v>12</v>
      </c>
      <c r="AC837" s="1" t="s">
        <v>18</v>
      </c>
      <c r="AD837" s="1">
        <v>22</v>
      </c>
      <c r="AE837" s="1">
        <v>16</v>
      </c>
      <c r="AF837" s="1">
        <v>0.76</v>
      </c>
      <c r="AG837" s="1">
        <v>0.81</v>
      </c>
      <c r="AH837" s="1">
        <v>0</v>
      </c>
      <c r="AI837" s="1">
        <v>0</v>
      </c>
      <c r="AJ837" s="1">
        <f t="shared" si="67"/>
        <v>0</v>
      </c>
      <c r="AK837" s="1">
        <f>D81</f>
        <v>0</v>
      </c>
      <c r="AL837" s="1">
        <f>D87</f>
        <v>0</v>
      </c>
      <c r="AM837" s="1">
        <f t="shared" si="68"/>
        <v>0</v>
      </c>
      <c r="AN837" s="1">
        <f t="shared" si="69"/>
        <v>0</v>
      </c>
      <c r="AO837" s="1">
        <f t="shared" si="70"/>
        <v>0</v>
      </c>
      <c r="AP837" t="b" cm="1">
        <f t="array" ref="AP837">INDEX($AU$8:$BB$25,6*(R837-1)+MATCH(AB837,$AS$8:$AS$13,0),MATCH(O837,$AU$7:$BB$7,0))</f>
        <v>1</v>
      </c>
    </row>
    <row r="838" spans="15:42" ht="14.25" x14ac:dyDescent="0.45">
      <c r="O838" s="43" t="s">
        <v>35</v>
      </c>
      <c r="P838" s="43">
        <v>2</v>
      </c>
      <c r="Q838" s="43">
        <v>8</v>
      </c>
      <c r="R838" s="43">
        <v>3</v>
      </c>
      <c r="S838" s="45"/>
      <c r="T838" t="b">
        <f>(S836+S837+S838)=T3</f>
        <v>0</v>
      </c>
      <c r="X838" s="1">
        <f t="shared" si="72"/>
        <v>0</v>
      </c>
      <c r="Y838" s="48">
        <v>0</v>
      </c>
      <c r="AA838" s="1">
        <v>4</v>
      </c>
      <c r="AB838" s="1" t="s">
        <v>12</v>
      </c>
      <c r="AC838" s="1" t="s">
        <v>18</v>
      </c>
      <c r="AD838" s="1">
        <v>22</v>
      </c>
      <c r="AE838" s="1">
        <v>16</v>
      </c>
      <c r="AF838" s="1">
        <v>0.76</v>
      </c>
      <c r="AG838" s="1">
        <v>0.81</v>
      </c>
      <c r="AH838" s="1">
        <v>0</v>
      </c>
      <c r="AI838" s="1">
        <v>0</v>
      </c>
      <c r="AJ838" s="1">
        <f t="shared" si="67"/>
        <v>0</v>
      </c>
      <c r="AK838" s="1">
        <f>E81</f>
        <v>0</v>
      </c>
      <c r="AL838" s="1">
        <f>E87</f>
        <v>0</v>
      </c>
      <c r="AM838" s="1">
        <f t="shared" si="68"/>
        <v>0</v>
      </c>
      <c r="AN838" s="1">
        <f t="shared" si="69"/>
        <v>0</v>
      </c>
      <c r="AO838" s="1">
        <f t="shared" si="70"/>
        <v>0</v>
      </c>
      <c r="AP838" t="b" cm="1">
        <f t="array" ref="AP838">INDEX($AU$8:$BB$25,6*(R838-1)+MATCH(AB838,$AS$8:$AS$13,0),MATCH(O838,$AU$7:$BB$7,0))</f>
        <v>1</v>
      </c>
    </row>
    <row r="839" spans="15:42" ht="14.25" x14ac:dyDescent="0.45">
      <c r="O839" s="43" t="s">
        <v>35</v>
      </c>
      <c r="P839" s="43">
        <v>2</v>
      </c>
      <c r="Q839" s="43">
        <v>9</v>
      </c>
      <c r="R839" s="43">
        <v>1</v>
      </c>
      <c r="S839" s="45"/>
      <c r="T839" t="b">
        <f>(S839+S840+S841)=T3</f>
        <v>0</v>
      </c>
      <c r="X839" s="1">
        <f t="shared" si="72"/>
        <v>0</v>
      </c>
      <c r="Y839" s="48">
        <v>0</v>
      </c>
      <c r="AA839" s="1">
        <v>4</v>
      </c>
      <c r="AB839" s="1" t="s">
        <v>15</v>
      </c>
      <c r="AC839" s="1" t="s">
        <v>21</v>
      </c>
      <c r="AD839" s="1">
        <v>7</v>
      </c>
      <c r="AE839" s="1">
        <v>6</v>
      </c>
      <c r="AF839" s="1">
        <v>0.76</v>
      </c>
      <c r="AG839" s="1">
        <v>0.84</v>
      </c>
      <c r="AH839" s="1">
        <v>0</v>
      </c>
      <c r="AI839" s="1">
        <v>0</v>
      </c>
      <c r="AJ839" s="1">
        <f t="shared" si="67"/>
        <v>0</v>
      </c>
      <c r="AK839" s="1">
        <f>C84</f>
        <v>0</v>
      </c>
      <c r="AL839" s="1">
        <f>C90</f>
        <v>0</v>
      </c>
      <c r="AM839" s="1">
        <f t="shared" si="68"/>
        <v>0</v>
      </c>
      <c r="AN839" s="1">
        <f t="shared" si="69"/>
        <v>0</v>
      </c>
      <c r="AO839" s="1">
        <f t="shared" si="70"/>
        <v>0</v>
      </c>
      <c r="AP839" t="b" cm="1">
        <f t="array" ref="AP839">INDEX($AU$8:$BB$25,6*(R839-1)+MATCH(AB839,$AS$8:$AS$13,0),MATCH(O839,$AU$7:$BB$7,0))</f>
        <v>1</v>
      </c>
    </row>
    <row r="840" spans="15:42" ht="14.25" x14ac:dyDescent="0.45">
      <c r="O840" s="43" t="s">
        <v>35</v>
      </c>
      <c r="P840" s="43">
        <v>2</v>
      </c>
      <c r="Q840" s="43">
        <v>9</v>
      </c>
      <c r="R840" s="43">
        <v>2</v>
      </c>
      <c r="S840" s="45"/>
      <c r="T840" t="b">
        <f>(S839+S840+S841)=T3</f>
        <v>0</v>
      </c>
      <c r="X840" s="1">
        <f t="shared" si="72"/>
        <v>0</v>
      </c>
      <c r="Y840" s="48">
        <v>0</v>
      </c>
      <c r="AA840" s="1">
        <v>4</v>
      </c>
      <c r="AB840" s="1" t="s">
        <v>15</v>
      </c>
      <c r="AC840" s="1" t="s">
        <v>21</v>
      </c>
      <c r="AD840" s="1">
        <v>7</v>
      </c>
      <c r="AE840" s="1">
        <v>6</v>
      </c>
      <c r="AF840" s="1">
        <v>0.76</v>
      </c>
      <c r="AG840" s="1">
        <v>0.84</v>
      </c>
      <c r="AH840" s="1">
        <v>0</v>
      </c>
      <c r="AI840" s="1">
        <v>0</v>
      </c>
      <c r="AJ840" s="1">
        <f t="shared" si="67"/>
        <v>0</v>
      </c>
      <c r="AK840" s="1">
        <f>D84</f>
        <v>0</v>
      </c>
      <c r="AL840" s="1">
        <f>D90</f>
        <v>0</v>
      </c>
      <c r="AM840" s="1">
        <f t="shared" si="68"/>
        <v>0</v>
      </c>
      <c r="AN840" s="1">
        <f t="shared" si="69"/>
        <v>0</v>
      </c>
      <c r="AO840" s="1">
        <f t="shared" si="70"/>
        <v>0</v>
      </c>
      <c r="AP840" t="b" cm="1">
        <f t="array" ref="AP840">INDEX($AU$8:$BB$25,6*(R840-1)+MATCH(AB840,$AS$8:$AS$13,0),MATCH(O840,$AU$7:$BB$7,0))</f>
        <v>1</v>
      </c>
    </row>
    <row r="841" spans="15:42" ht="14.25" x14ac:dyDescent="0.45">
      <c r="O841" s="43" t="s">
        <v>35</v>
      </c>
      <c r="P841" s="43">
        <v>2</v>
      </c>
      <c r="Q841" s="43">
        <v>9</v>
      </c>
      <c r="R841" s="43">
        <v>3</v>
      </c>
      <c r="S841" s="45"/>
      <c r="T841" t="b">
        <f>(S839+S840+S841)=T3</f>
        <v>0</v>
      </c>
      <c r="X841" s="1">
        <f t="shared" si="72"/>
        <v>0</v>
      </c>
      <c r="Y841" s="48">
        <v>0</v>
      </c>
      <c r="AA841" s="1">
        <v>4</v>
      </c>
      <c r="AB841" s="1" t="s">
        <v>15</v>
      </c>
      <c r="AC841" s="1" t="s">
        <v>21</v>
      </c>
      <c r="AD841" s="1">
        <v>7</v>
      </c>
      <c r="AE841" s="1">
        <v>6</v>
      </c>
      <c r="AF841" s="1">
        <v>0.76</v>
      </c>
      <c r="AG841" s="1">
        <v>0.84</v>
      </c>
      <c r="AH841" s="1">
        <v>0</v>
      </c>
      <c r="AI841" s="1">
        <v>0</v>
      </c>
      <c r="AJ841" s="1">
        <f t="shared" ref="AJ841:AJ904" si="73">SUMIFS(AH$8:AH$1039,$O$8:$O$1039,O841,$AB$8:$AB$1039,AB841,$R$8:$R$1039,R841,$AA$8:$AA$1039,"&lt;="&amp;AA841)</f>
        <v>0</v>
      </c>
      <c r="AK841" s="1">
        <f>E84</f>
        <v>0</v>
      </c>
      <c r="AL841" s="1">
        <f>E90</f>
        <v>0</v>
      </c>
      <c r="AM841" s="1">
        <f t="shared" ref="AM841:AM904" si="74">MAX(0,AJ841-AK841)</f>
        <v>0</v>
      </c>
      <c r="AN841" s="1">
        <f t="shared" ref="AN841:AN904" si="75">IF(AM841=0,AH841,IF(AM841&gt;=AH841,0,AH841-AM841))</f>
        <v>0</v>
      </c>
      <c r="AO841" s="1">
        <f t="shared" ref="AO841:AO904" si="76">IF(AM841&gt;=AH841,AI841,AI841*AM841/AH841)</f>
        <v>0</v>
      </c>
      <c r="AP841" t="b" cm="1">
        <f t="array" ref="AP841">INDEX($AU$8:$BB$25,6*(R841-1)+MATCH(AB841,$AS$8:$AS$13,0),MATCH(O841,$AU$7:$BB$7,0))</f>
        <v>1</v>
      </c>
    </row>
    <row r="842" spans="15:42" ht="14.25" x14ac:dyDescent="0.45">
      <c r="O842" s="43" t="s">
        <v>35</v>
      </c>
      <c r="P842" s="43">
        <v>2</v>
      </c>
      <c r="Q842" s="43">
        <v>10</v>
      </c>
      <c r="R842" s="43">
        <v>1</v>
      </c>
      <c r="S842" s="45"/>
      <c r="T842" t="b">
        <f>(S842+S843+S844)=T3</f>
        <v>0</v>
      </c>
      <c r="X842" s="1">
        <f t="shared" si="72"/>
        <v>0</v>
      </c>
      <c r="Y842" s="48">
        <v>0</v>
      </c>
      <c r="AA842" s="1">
        <v>6</v>
      </c>
      <c r="AB842" s="1" t="s">
        <v>15</v>
      </c>
      <c r="AC842" s="1" t="s">
        <v>21</v>
      </c>
      <c r="AD842" s="1">
        <v>9</v>
      </c>
      <c r="AE842" s="1">
        <v>7</v>
      </c>
      <c r="AF842" s="1">
        <v>0.76</v>
      </c>
      <c r="AG842" s="1">
        <v>0.84</v>
      </c>
      <c r="AH842" s="1">
        <v>0</v>
      </c>
      <c r="AI842" s="1">
        <v>0</v>
      </c>
      <c r="AJ842" s="1">
        <f t="shared" si="73"/>
        <v>0</v>
      </c>
      <c r="AK842" s="1">
        <f>C84</f>
        <v>0</v>
      </c>
      <c r="AL842" s="1">
        <f>C90</f>
        <v>0</v>
      </c>
      <c r="AM842" s="1">
        <f t="shared" si="74"/>
        <v>0</v>
      </c>
      <c r="AN842" s="1">
        <f t="shared" si="75"/>
        <v>0</v>
      </c>
      <c r="AO842" s="1">
        <f t="shared" si="76"/>
        <v>0</v>
      </c>
      <c r="AP842" t="b" cm="1">
        <f t="array" ref="AP842">INDEX($AU$8:$BB$25,6*(R842-1)+MATCH(AB842,$AS$8:$AS$13,0),MATCH(O842,$AU$7:$BB$7,0))</f>
        <v>1</v>
      </c>
    </row>
    <row r="843" spans="15:42" ht="14.25" x14ac:dyDescent="0.45">
      <c r="O843" s="43" t="s">
        <v>35</v>
      </c>
      <c r="P843" s="43">
        <v>2</v>
      </c>
      <c r="Q843" s="43">
        <v>10</v>
      </c>
      <c r="R843" s="43">
        <v>2</v>
      </c>
      <c r="S843" s="45"/>
      <c r="T843" t="b">
        <f>(S842+S843+S844)=T3</f>
        <v>0</v>
      </c>
      <c r="X843" s="1">
        <f t="shared" si="72"/>
        <v>0</v>
      </c>
      <c r="Y843" s="48">
        <v>0</v>
      </c>
      <c r="AA843" s="1">
        <v>6</v>
      </c>
      <c r="AB843" s="1" t="s">
        <v>15</v>
      </c>
      <c r="AC843" s="1" t="s">
        <v>21</v>
      </c>
      <c r="AD843" s="1">
        <v>9</v>
      </c>
      <c r="AE843" s="1">
        <v>7</v>
      </c>
      <c r="AF843" s="1">
        <v>0.76</v>
      </c>
      <c r="AG843" s="1">
        <v>0.84</v>
      </c>
      <c r="AH843" s="1">
        <v>0</v>
      </c>
      <c r="AI843" s="1">
        <v>0</v>
      </c>
      <c r="AJ843" s="1">
        <f t="shared" si="73"/>
        <v>0</v>
      </c>
      <c r="AK843" s="1">
        <f>D84</f>
        <v>0</v>
      </c>
      <c r="AL843" s="1">
        <f>D90</f>
        <v>0</v>
      </c>
      <c r="AM843" s="1">
        <f t="shared" si="74"/>
        <v>0</v>
      </c>
      <c r="AN843" s="1">
        <f t="shared" si="75"/>
        <v>0</v>
      </c>
      <c r="AO843" s="1">
        <f t="shared" si="76"/>
        <v>0</v>
      </c>
      <c r="AP843" t="b" cm="1">
        <f t="array" ref="AP843">INDEX($AU$8:$BB$25,6*(R843-1)+MATCH(AB843,$AS$8:$AS$13,0),MATCH(O843,$AU$7:$BB$7,0))</f>
        <v>1</v>
      </c>
    </row>
    <row r="844" spans="15:42" ht="14.25" x14ac:dyDescent="0.45">
      <c r="O844" s="43" t="s">
        <v>35</v>
      </c>
      <c r="P844" s="43">
        <v>2</v>
      </c>
      <c r="Q844" s="43">
        <v>10</v>
      </c>
      <c r="R844" s="43">
        <v>3</v>
      </c>
      <c r="S844" s="45"/>
      <c r="T844" t="b">
        <f>(S842+S843+S844)=T3</f>
        <v>0</v>
      </c>
      <c r="X844" s="1">
        <f t="shared" si="72"/>
        <v>0</v>
      </c>
      <c r="Y844" s="48">
        <v>0</v>
      </c>
      <c r="AA844" s="1">
        <v>6</v>
      </c>
      <c r="AB844" s="1" t="s">
        <v>15</v>
      </c>
      <c r="AC844" s="1" t="s">
        <v>21</v>
      </c>
      <c r="AD844" s="1">
        <v>9</v>
      </c>
      <c r="AE844" s="1">
        <v>7</v>
      </c>
      <c r="AF844" s="1">
        <v>0.76</v>
      </c>
      <c r="AG844" s="1">
        <v>0.84</v>
      </c>
      <c r="AH844" s="1">
        <v>0</v>
      </c>
      <c r="AI844" s="1">
        <v>0</v>
      </c>
      <c r="AJ844" s="1">
        <f t="shared" si="73"/>
        <v>0</v>
      </c>
      <c r="AK844" s="1">
        <f>E84</f>
        <v>0</v>
      </c>
      <c r="AL844" s="1">
        <f>E90</f>
        <v>0</v>
      </c>
      <c r="AM844" s="1">
        <f t="shared" si="74"/>
        <v>0</v>
      </c>
      <c r="AN844" s="1">
        <f t="shared" si="75"/>
        <v>0</v>
      </c>
      <c r="AO844" s="1">
        <f t="shared" si="76"/>
        <v>0</v>
      </c>
      <c r="AP844" t="b" cm="1">
        <f t="array" ref="AP844">INDEX($AU$8:$BB$25,6*(R844-1)+MATCH(AB844,$AS$8:$AS$13,0),MATCH(O844,$AU$7:$BB$7,0))</f>
        <v>1</v>
      </c>
    </row>
    <row r="845" spans="15:42" ht="14.25" x14ac:dyDescent="0.45">
      <c r="O845" s="43" t="s">
        <v>35</v>
      </c>
      <c r="P845" s="43">
        <v>2</v>
      </c>
      <c r="Q845" s="43">
        <v>11</v>
      </c>
      <c r="R845" s="43">
        <v>1</v>
      </c>
      <c r="S845" s="45"/>
      <c r="T845" t="b">
        <f>(S845+S846+S847)=T3</f>
        <v>0</v>
      </c>
      <c r="X845" s="1">
        <f t="shared" si="72"/>
        <v>0</v>
      </c>
      <c r="Y845" s="48">
        <v>0</v>
      </c>
      <c r="AA845" s="1">
        <v>2</v>
      </c>
      <c r="AB845" s="1" t="s">
        <v>15</v>
      </c>
      <c r="AC845" s="1" t="s">
        <v>21</v>
      </c>
      <c r="AD845" s="1">
        <v>20</v>
      </c>
      <c r="AE845" s="1">
        <v>19</v>
      </c>
      <c r="AF845" s="1">
        <v>0.76</v>
      </c>
      <c r="AG845" s="1">
        <v>0.84</v>
      </c>
      <c r="AH845" s="1">
        <v>0</v>
      </c>
      <c r="AI845" s="1">
        <v>0</v>
      </c>
      <c r="AJ845" s="1">
        <f t="shared" si="73"/>
        <v>0</v>
      </c>
      <c r="AK845" s="1">
        <f>C84</f>
        <v>0</v>
      </c>
      <c r="AL845" s="1">
        <f>C90</f>
        <v>0</v>
      </c>
      <c r="AM845" s="1">
        <f t="shared" si="74"/>
        <v>0</v>
      </c>
      <c r="AN845" s="1">
        <f t="shared" si="75"/>
        <v>0</v>
      </c>
      <c r="AO845" s="1">
        <f t="shared" si="76"/>
        <v>0</v>
      </c>
      <c r="AP845" t="b" cm="1">
        <f t="array" ref="AP845">INDEX($AU$8:$BB$25,6*(R845-1)+MATCH(AB845,$AS$8:$AS$13,0),MATCH(O845,$AU$7:$BB$7,0))</f>
        <v>1</v>
      </c>
    </row>
    <row r="846" spans="15:42" ht="14.25" x14ac:dyDescent="0.45">
      <c r="O846" s="43" t="s">
        <v>35</v>
      </c>
      <c r="P846" s="43">
        <v>2</v>
      </c>
      <c r="Q846" s="43">
        <v>11</v>
      </c>
      <c r="R846" s="43">
        <v>2</v>
      </c>
      <c r="S846" s="45"/>
      <c r="T846" t="b">
        <f>(S845+S846+S847)=T3</f>
        <v>0</v>
      </c>
      <c r="X846" s="1">
        <f t="shared" si="72"/>
        <v>0</v>
      </c>
      <c r="Y846" s="48">
        <v>0</v>
      </c>
      <c r="AA846" s="1">
        <v>2</v>
      </c>
      <c r="AB846" s="1" t="s">
        <v>15</v>
      </c>
      <c r="AC846" s="1" t="s">
        <v>21</v>
      </c>
      <c r="AD846" s="1">
        <v>20</v>
      </c>
      <c r="AE846" s="1">
        <v>19</v>
      </c>
      <c r="AF846" s="1">
        <v>0.76</v>
      </c>
      <c r="AG846" s="1">
        <v>0.84</v>
      </c>
      <c r="AH846" s="1">
        <v>0</v>
      </c>
      <c r="AI846" s="1">
        <v>0</v>
      </c>
      <c r="AJ846" s="1">
        <f t="shared" si="73"/>
        <v>0</v>
      </c>
      <c r="AK846" s="1">
        <f>D84</f>
        <v>0</v>
      </c>
      <c r="AL846" s="1">
        <f>D90</f>
        <v>0</v>
      </c>
      <c r="AM846" s="1">
        <f t="shared" si="74"/>
        <v>0</v>
      </c>
      <c r="AN846" s="1">
        <f t="shared" si="75"/>
        <v>0</v>
      </c>
      <c r="AO846" s="1">
        <f t="shared" si="76"/>
        <v>0</v>
      </c>
      <c r="AP846" t="b" cm="1">
        <f t="array" ref="AP846">INDEX($AU$8:$BB$25,6*(R846-1)+MATCH(AB846,$AS$8:$AS$13,0),MATCH(O846,$AU$7:$BB$7,0))</f>
        <v>1</v>
      </c>
    </row>
    <row r="847" spans="15:42" ht="14.25" x14ac:dyDescent="0.45">
      <c r="O847" s="43" t="s">
        <v>35</v>
      </c>
      <c r="P847" s="43">
        <v>2</v>
      </c>
      <c r="Q847" s="43">
        <v>11</v>
      </c>
      <c r="R847" s="43">
        <v>3</v>
      </c>
      <c r="S847" s="45"/>
      <c r="T847" t="b">
        <f>(S845+S846+S847)=T3</f>
        <v>0</v>
      </c>
      <c r="X847" s="1">
        <f t="shared" si="72"/>
        <v>0</v>
      </c>
      <c r="Y847" s="48">
        <v>0</v>
      </c>
      <c r="AA847" s="1">
        <v>2</v>
      </c>
      <c r="AB847" s="1" t="s">
        <v>15</v>
      </c>
      <c r="AC847" s="1" t="s">
        <v>21</v>
      </c>
      <c r="AD847" s="1">
        <v>20</v>
      </c>
      <c r="AE847" s="1">
        <v>19</v>
      </c>
      <c r="AF847" s="1">
        <v>0.76</v>
      </c>
      <c r="AG847" s="1">
        <v>0.84</v>
      </c>
      <c r="AH847" s="1">
        <v>0</v>
      </c>
      <c r="AI847" s="1">
        <v>0</v>
      </c>
      <c r="AJ847" s="1">
        <f t="shared" si="73"/>
        <v>0</v>
      </c>
      <c r="AK847" s="1">
        <f>E84</f>
        <v>0</v>
      </c>
      <c r="AL847" s="1">
        <f>E90</f>
        <v>0</v>
      </c>
      <c r="AM847" s="1">
        <f t="shared" si="74"/>
        <v>0</v>
      </c>
      <c r="AN847" s="1">
        <f t="shared" si="75"/>
        <v>0</v>
      </c>
      <c r="AO847" s="1">
        <f t="shared" si="76"/>
        <v>0</v>
      </c>
      <c r="AP847" t="b" cm="1">
        <f t="array" ref="AP847">INDEX($AU$8:$BB$25,6*(R847-1)+MATCH(AB847,$AS$8:$AS$13,0),MATCH(O847,$AU$7:$BB$7,0))</f>
        <v>1</v>
      </c>
    </row>
    <row r="848" spans="15:42" ht="14.25" x14ac:dyDescent="0.45">
      <c r="O848" s="43" t="s">
        <v>35</v>
      </c>
      <c r="P848" s="43">
        <v>2</v>
      </c>
      <c r="Q848" s="43">
        <v>12</v>
      </c>
      <c r="R848" s="43">
        <v>1</v>
      </c>
      <c r="S848" s="45"/>
      <c r="T848" t="b">
        <f>(S848+S849+S850)=T3</f>
        <v>0</v>
      </c>
      <c r="X848" s="1">
        <f t="shared" si="72"/>
        <v>0</v>
      </c>
      <c r="Y848" s="48">
        <v>0</v>
      </c>
      <c r="AA848" s="1">
        <v>7</v>
      </c>
      <c r="AB848" s="1" t="s">
        <v>16</v>
      </c>
      <c r="AC848" s="1" t="s">
        <v>22</v>
      </c>
      <c r="AD848" s="1">
        <v>21</v>
      </c>
      <c r="AE848" s="1">
        <v>18</v>
      </c>
      <c r="AF848" s="1">
        <v>0.8</v>
      </c>
      <c r="AG848" s="1">
        <v>0.9</v>
      </c>
      <c r="AH848" s="1">
        <v>0</v>
      </c>
      <c r="AI848" s="1">
        <v>0</v>
      </c>
      <c r="AJ848" s="1">
        <f t="shared" si="73"/>
        <v>0</v>
      </c>
      <c r="AK848" s="1">
        <f>C85</f>
        <v>0</v>
      </c>
      <c r="AL848" s="1">
        <f>C91</f>
        <v>0</v>
      </c>
      <c r="AM848" s="1">
        <f t="shared" si="74"/>
        <v>0</v>
      </c>
      <c r="AN848" s="1">
        <f t="shared" si="75"/>
        <v>0</v>
      </c>
      <c r="AO848" s="1">
        <f t="shared" si="76"/>
        <v>0</v>
      </c>
      <c r="AP848" t="b" cm="1">
        <f t="array" ref="AP848">INDEX($AU$8:$BB$25,6*(R848-1)+MATCH(AB848,$AS$8:$AS$13,0),MATCH(O848,$AU$7:$BB$7,0))</f>
        <v>1</v>
      </c>
    </row>
    <row r="849" spans="15:42" ht="14.25" x14ac:dyDescent="0.45">
      <c r="O849" s="43" t="s">
        <v>35</v>
      </c>
      <c r="P849" s="43">
        <v>2</v>
      </c>
      <c r="Q849" s="43">
        <v>12</v>
      </c>
      <c r="R849" s="43">
        <v>2</v>
      </c>
      <c r="S849" s="45"/>
      <c r="T849" t="b">
        <f>(S848+S849+S850)=T3</f>
        <v>0</v>
      </c>
      <c r="X849" s="1">
        <f t="shared" si="72"/>
        <v>0</v>
      </c>
      <c r="Y849" s="48">
        <v>0</v>
      </c>
      <c r="AA849" s="1">
        <v>7</v>
      </c>
      <c r="AB849" s="1" t="s">
        <v>16</v>
      </c>
      <c r="AC849" s="1" t="s">
        <v>22</v>
      </c>
      <c r="AD849" s="1">
        <v>21</v>
      </c>
      <c r="AE849" s="1">
        <v>18</v>
      </c>
      <c r="AF849" s="1">
        <v>0.8</v>
      </c>
      <c r="AG849" s="1">
        <v>0.9</v>
      </c>
      <c r="AH849" s="1">
        <v>0</v>
      </c>
      <c r="AI849" s="1">
        <v>0</v>
      </c>
      <c r="AJ849" s="1">
        <f t="shared" si="73"/>
        <v>0</v>
      </c>
      <c r="AK849" s="1">
        <f>D85</f>
        <v>0</v>
      </c>
      <c r="AL849" s="1">
        <f>D91</f>
        <v>0</v>
      </c>
      <c r="AM849" s="1">
        <f t="shared" si="74"/>
        <v>0</v>
      </c>
      <c r="AN849" s="1">
        <f t="shared" si="75"/>
        <v>0</v>
      </c>
      <c r="AO849" s="1">
        <f t="shared" si="76"/>
        <v>0</v>
      </c>
      <c r="AP849" t="b" cm="1">
        <f t="array" ref="AP849">INDEX($AU$8:$BB$25,6*(R849-1)+MATCH(AB849,$AS$8:$AS$13,0),MATCH(O849,$AU$7:$BB$7,0))</f>
        <v>1</v>
      </c>
    </row>
    <row r="850" spans="15:42" ht="14.25" x14ac:dyDescent="0.45">
      <c r="O850" s="43" t="s">
        <v>35</v>
      </c>
      <c r="P850" s="43">
        <v>2</v>
      </c>
      <c r="Q850" s="43">
        <v>12</v>
      </c>
      <c r="R850" s="43">
        <v>3</v>
      </c>
      <c r="S850" s="45"/>
      <c r="T850" t="b">
        <f>(S848+S849+S850)=T3</f>
        <v>0</v>
      </c>
      <c r="X850" s="1">
        <f t="shared" si="72"/>
        <v>0</v>
      </c>
      <c r="Y850" s="48">
        <v>0</v>
      </c>
      <c r="AA850" s="1">
        <v>7</v>
      </c>
      <c r="AB850" s="1" t="s">
        <v>16</v>
      </c>
      <c r="AC850" s="1" t="s">
        <v>22</v>
      </c>
      <c r="AD850" s="1">
        <v>21</v>
      </c>
      <c r="AE850" s="1">
        <v>18</v>
      </c>
      <c r="AF850" s="1">
        <v>0.8</v>
      </c>
      <c r="AG850" s="1">
        <v>0.9</v>
      </c>
      <c r="AH850" s="1">
        <v>0</v>
      </c>
      <c r="AI850" s="1">
        <v>0</v>
      </c>
      <c r="AJ850" s="1">
        <f t="shared" si="73"/>
        <v>0</v>
      </c>
      <c r="AK850" s="1">
        <f>E85</f>
        <v>0</v>
      </c>
      <c r="AL850" s="1">
        <f>E91</f>
        <v>0</v>
      </c>
      <c r="AM850" s="1">
        <f t="shared" si="74"/>
        <v>0</v>
      </c>
      <c r="AN850" s="1">
        <f t="shared" si="75"/>
        <v>0</v>
      </c>
      <c r="AO850" s="1">
        <f t="shared" si="76"/>
        <v>0</v>
      </c>
      <c r="AP850" t="b" cm="1">
        <f t="array" ref="AP850">INDEX($AU$8:$BB$25,6*(R850-1)+MATCH(AB850,$AS$8:$AS$13,0),MATCH(O850,$AU$7:$BB$7,0))</f>
        <v>1</v>
      </c>
    </row>
    <row r="851" spans="15:42" ht="14.25" x14ac:dyDescent="0.45">
      <c r="O851" s="43" t="s">
        <v>35</v>
      </c>
      <c r="P851" s="43">
        <v>2</v>
      </c>
      <c r="Q851" s="43">
        <v>13</v>
      </c>
      <c r="R851" s="43">
        <v>1</v>
      </c>
      <c r="S851" s="45"/>
      <c r="T851" t="b">
        <f>(S851+S852+S853)=T3</f>
        <v>0</v>
      </c>
      <c r="X851" s="1">
        <f t="shared" si="72"/>
        <v>0</v>
      </c>
      <c r="Y851" s="48">
        <v>0</v>
      </c>
      <c r="AA851" s="1">
        <v>8</v>
      </c>
      <c r="AB851" s="1" t="s">
        <v>15</v>
      </c>
      <c r="AC851" s="1" t="s">
        <v>21</v>
      </c>
      <c r="AD851" s="1">
        <v>12</v>
      </c>
      <c r="AE851" s="1">
        <v>9</v>
      </c>
      <c r="AF851" s="1">
        <v>0.76</v>
      </c>
      <c r="AG851" s="1">
        <v>0.84</v>
      </c>
      <c r="AH851" s="1">
        <v>0</v>
      </c>
      <c r="AI851" s="1">
        <v>0</v>
      </c>
      <c r="AJ851" s="1">
        <f t="shared" si="73"/>
        <v>0</v>
      </c>
      <c r="AK851" s="1">
        <f>C84</f>
        <v>0</v>
      </c>
      <c r="AL851" s="1">
        <f>C90</f>
        <v>0</v>
      </c>
      <c r="AM851" s="1">
        <f t="shared" si="74"/>
        <v>0</v>
      </c>
      <c r="AN851" s="1">
        <f t="shared" si="75"/>
        <v>0</v>
      </c>
      <c r="AO851" s="1">
        <f t="shared" si="76"/>
        <v>0</v>
      </c>
      <c r="AP851" t="b" cm="1">
        <f t="array" ref="AP851">INDEX($AU$8:$BB$25,6*(R851-1)+MATCH(AB851,$AS$8:$AS$13,0),MATCH(O851,$AU$7:$BB$7,0))</f>
        <v>1</v>
      </c>
    </row>
    <row r="852" spans="15:42" ht="14.25" x14ac:dyDescent="0.45">
      <c r="O852" s="43" t="s">
        <v>35</v>
      </c>
      <c r="P852" s="43">
        <v>2</v>
      </c>
      <c r="Q852" s="43">
        <v>13</v>
      </c>
      <c r="R852" s="43">
        <v>2</v>
      </c>
      <c r="S852" s="45"/>
      <c r="T852" t="b">
        <f>(S851+S852+S853)=T3</f>
        <v>0</v>
      </c>
      <c r="X852" s="1">
        <f t="shared" si="72"/>
        <v>0</v>
      </c>
      <c r="Y852" s="48">
        <v>0</v>
      </c>
      <c r="AA852" s="1">
        <v>8</v>
      </c>
      <c r="AB852" s="1" t="s">
        <v>15</v>
      </c>
      <c r="AC852" s="1" t="s">
        <v>21</v>
      </c>
      <c r="AD852" s="1">
        <v>12</v>
      </c>
      <c r="AE852" s="1">
        <v>9</v>
      </c>
      <c r="AF852" s="1">
        <v>0.76</v>
      </c>
      <c r="AG852" s="1">
        <v>0.84</v>
      </c>
      <c r="AH852" s="1">
        <v>0</v>
      </c>
      <c r="AI852" s="1">
        <v>0</v>
      </c>
      <c r="AJ852" s="1">
        <f t="shared" si="73"/>
        <v>0</v>
      </c>
      <c r="AK852" s="1">
        <f>D84</f>
        <v>0</v>
      </c>
      <c r="AL852" s="1">
        <f>D90</f>
        <v>0</v>
      </c>
      <c r="AM852" s="1">
        <f t="shared" si="74"/>
        <v>0</v>
      </c>
      <c r="AN852" s="1">
        <f t="shared" si="75"/>
        <v>0</v>
      </c>
      <c r="AO852" s="1">
        <f t="shared" si="76"/>
        <v>0</v>
      </c>
      <c r="AP852" t="b" cm="1">
        <f t="array" ref="AP852">INDEX($AU$8:$BB$25,6*(R852-1)+MATCH(AB852,$AS$8:$AS$13,0),MATCH(O852,$AU$7:$BB$7,0))</f>
        <v>1</v>
      </c>
    </row>
    <row r="853" spans="15:42" ht="14.25" x14ac:dyDescent="0.45">
      <c r="O853" s="43" t="s">
        <v>35</v>
      </c>
      <c r="P853" s="43">
        <v>2</v>
      </c>
      <c r="Q853" s="43">
        <v>13</v>
      </c>
      <c r="R853" s="43">
        <v>3</v>
      </c>
      <c r="S853" s="45"/>
      <c r="T853" t="b">
        <f>(S851+S852+S853)=T3</f>
        <v>0</v>
      </c>
      <c r="X853" s="1">
        <f t="shared" si="72"/>
        <v>0</v>
      </c>
      <c r="Y853" s="48">
        <v>0</v>
      </c>
      <c r="AA853" s="1">
        <v>8</v>
      </c>
      <c r="AB853" s="1" t="s">
        <v>15</v>
      </c>
      <c r="AC853" s="1" t="s">
        <v>21</v>
      </c>
      <c r="AD853" s="1">
        <v>12</v>
      </c>
      <c r="AE853" s="1">
        <v>9</v>
      </c>
      <c r="AF853" s="1">
        <v>0.76</v>
      </c>
      <c r="AG853" s="1">
        <v>0.84</v>
      </c>
      <c r="AH853" s="1">
        <v>0</v>
      </c>
      <c r="AI853" s="1">
        <v>0</v>
      </c>
      <c r="AJ853" s="1">
        <f t="shared" si="73"/>
        <v>0</v>
      </c>
      <c r="AK853" s="1">
        <f>E84</f>
        <v>0</v>
      </c>
      <c r="AL853" s="1">
        <f>E90</f>
        <v>0</v>
      </c>
      <c r="AM853" s="1">
        <f t="shared" si="74"/>
        <v>0</v>
      </c>
      <c r="AN853" s="1">
        <f t="shared" si="75"/>
        <v>0</v>
      </c>
      <c r="AO853" s="1">
        <f t="shared" si="76"/>
        <v>0</v>
      </c>
      <c r="AP853" t="b" cm="1">
        <f t="array" ref="AP853">INDEX($AU$8:$BB$25,6*(R853-1)+MATCH(AB853,$AS$8:$AS$13,0),MATCH(O853,$AU$7:$BB$7,0))</f>
        <v>1</v>
      </c>
    </row>
    <row r="854" spans="15:42" ht="14.25" x14ac:dyDescent="0.45">
      <c r="O854" s="43" t="s">
        <v>35</v>
      </c>
      <c r="P854" s="43">
        <v>2</v>
      </c>
      <c r="Q854" s="43">
        <v>14</v>
      </c>
      <c r="R854" s="43">
        <v>1</v>
      </c>
      <c r="S854" s="45"/>
      <c r="T854" t="b">
        <f>(S854+S855+S856)=T3</f>
        <v>0</v>
      </c>
      <c r="X854" s="1">
        <f t="shared" si="72"/>
        <v>0</v>
      </c>
      <c r="Y854" s="48">
        <v>0</v>
      </c>
      <c r="AA854" s="1">
        <v>5</v>
      </c>
      <c r="AB854" s="1" t="s">
        <v>15</v>
      </c>
      <c r="AC854" s="1" t="s">
        <v>21</v>
      </c>
      <c r="AD854" s="1">
        <v>15</v>
      </c>
      <c r="AE854" s="1">
        <v>12</v>
      </c>
      <c r="AF854" s="1">
        <v>0.76</v>
      </c>
      <c r="AG854" s="1">
        <v>0.84</v>
      </c>
      <c r="AH854" s="1">
        <v>0</v>
      </c>
      <c r="AI854" s="1">
        <v>0</v>
      </c>
      <c r="AJ854" s="1">
        <f t="shared" si="73"/>
        <v>0</v>
      </c>
      <c r="AK854" s="1">
        <f>C84</f>
        <v>0</v>
      </c>
      <c r="AL854" s="1">
        <f>C90</f>
        <v>0</v>
      </c>
      <c r="AM854" s="1">
        <f t="shared" si="74"/>
        <v>0</v>
      </c>
      <c r="AN854" s="1">
        <f t="shared" si="75"/>
        <v>0</v>
      </c>
      <c r="AO854" s="1">
        <f t="shared" si="76"/>
        <v>0</v>
      </c>
      <c r="AP854" t="b" cm="1">
        <f t="array" ref="AP854">INDEX($AU$8:$BB$25,6*(R854-1)+MATCH(AB854,$AS$8:$AS$13,0),MATCH(O854,$AU$7:$BB$7,0))</f>
        <v>1</v>
      </c>
    </row>
    <row r="855" spans="15:42" ht="14.25" x14ac:dyDescent="0.45">
      <c r="O855" s="43" t="s">
        <v>35</v>
      </c>
      <c r="P855" s="43">
        <v>2</v>
      </c>
      <c r="Q855" s="43">
        <v>14</v>
      </c>
      <c r="R855" s="43">
        <v>2</v>
      </c>
      <c r="S855" s="45"/>
      <c r="T855" t="b">
        <f>(S854+S855+S856)=T3</f>
        <v>0</v>
      </c>
      <c r="X855" s="1">
        <f t="shared" si="72"/>
        <v>0</v>
      </c>
      <c r="Y855" s="48">
        <v>0</v>
      </c>
      <c r="AA855" s="1">
        <v>5</v>
      </c>
      <c r="AB855" s="1" t="s">
        <v>15</v>
      </c>
      <c r="AC855" s="1" t="s">
        <v>21</v>
      </c>
      <c r="AD855" s="1">
        <v>15</v>
      </c>
      <c r="AE855" s="1">
        <v>12</v>
      </c>
      <c r="AF855" s="1">
        <v>0.76</v>
      </c>
      <c r="AG855" s="1">
        <v>0.84</v>
      </c>
      <c r="AH855" s="1">
        <v>0</v>
      </c>
      <c r="AI855" s="1">
        <v>0</v>
      </c>
      <c r="AJ855" s="1">
        <f t="shared" si="73"/>
        <v>0</v>
      </c>
      <c r="AK855" s="1">
        <f>D84</f>
        <v>0</v>
      </c>
      <c r="AL855" s="1">
        <f>D90</f>
        <v>0</v>
      </c>
      <c r="AM855" s="1">
        <f t="shared" si="74"/>
        <v>0</v>
      </c>
      <c r="AN855" s="1">
        <f t="shared" si="75"/>
        <v>0</v>
      </c>
      <c r="AO855" s="1">
        <f t="shared" si="76"/>
        <v>0</v>
      </c>
      <c r="AP855" t="b" cm="1">
        <f t="array" ref="AP855">INDEX($AU$8:$BB$25,6*(R855-1)+MATCH(AB855,$AS$8:$AS$13,0),MATCH(O855,$AU$7:$BB$7,0))</f>
        <v>1</v>
      </c>
    </row>
    <row r="856" spans="15:42" ht="14.25" x14ac:dyDescent="0.45">
      <c r="O856" s="43" t="s">
        <v>35</v>
      </c>
      <c r="P856" s="43">
        <v>2</v>
      </c>
      <c r="Q856" s="43">
        <v>14</v>
      </c>
      <c r="R856" s="43">
        <v>3</v>
      </c>
      <c r="S856" s="45"/>
      <c r="T856" t="b">
        <f>(S854+S855+S856)=T3</f>
        <v>0</v>
      </c>
      <c r="X856" s="1">
        <f t="shared" si="72"/>
        <v>0</v>
      </c>
      <c r="Y856" s="48">
        <v>0</v>
      </c>
      <c r="AA856" s="1">
        <v>5</v>
      </c>
      <c r="AB856" s="1" t="s">
        <v>15</v>
      </c>
      <c r="AC856" s="1" t="s">
        <v>21</v>
      </c>
      <c r="AD856" s="1">
        <v>15</v>
      </c>
      <c r="AE856" s="1">
        <v>12</v>
      </c>
      <c r="AF856" s="1">
        <v>0.76</v>
      </c>
      <c r="AG856" s="1">
        <v>0.84</v>
      </c>
      <c r="AH856" s="1">
        <v>0</v>
      </c>
      <c r="AI856" s="1">
        <v>0</v>
      </c>
      <c r="AJ856" s="1">
        <f t="shared" si="73"/>
        <v>0</v>
      </c>
      <c r="AK856" s="1">
        <f>E84</f>
        <v>0</v>
      </c>
      <c r="AL856" s="1">
        <f>E90</f>
        <v>0</v>
      </c>
      <c r="AM856" s="1">
        <f t="shared" si="74"/>
        <v>0</v>
      </c>
      <c r="AN856" s="1">
        <f t="shared" si="75"/>
        <v>0</v>
      </c>
      <c r="AO856" s="1">
        <f t="shared" si="76"/>
        <v>0</v>
      </c>
      <c r="AP856" t="b" cm="1">
        <f t="array" ref="AP856">INDEX($AU$8:$BB$25,6*(R856-1)+MATCH(AB856,$AS$8:$AS$13,0),MATCH(O856,$AU$7:$BB$7,0))</f>
        <v>1</v>
      </c>
    </row>
    <row r="857" spans="15:42" ht="14.25" x14ac:dyDescent="0.45">
      <c r="O857" s="43" t="s">
        <v>35</v>
      </c>
      <c r="P857" s="43">
        <v>2</v>
      </c>
      <c r="Q857" s="43">
        <v>15</v>
      </c>
      <c r="R857" s="43">
        <v>1</v>
      </c>
      <c r="S857" s="45"/>
      <c r="T857" t="b">
        <f>(S857+S858+S859)=T3</f>
        <v>0</v>
      </c>
      <c r="X857" s="1">
        <f t="shared" si="72"/>
        <v>0</v>
      </c>
      <c r="Y857" s="48">
        <v>0</v>
      </c>
      <c r="AA857" s="1">
        <v>7</v>
      </c>
      <c r="AB857" s="1" t="s">
        <v>15</v>
      </c>
      <c r="AC857" s="1" t="s">
        <v>21</v>
      </c>
      <c r="AD857" s="1">
        <v>13</v>
      </c>
      <c r="AE857" s="1">
        <v>10</v>
      </c>
      <c r="AF857" s="1">
        <v>0.76</v>
      </c>
      <c r="AG857" s="1">
        <v>0.84</v>
      </c>
      <c r="AH857" s="1">
        <v>0</v>
      </c>
      <c r="AI857" s="1">
        <v>0</v>
      </c>
      <c r="AJ857" s="1">
        <f t="shared" si="73"/>
        <v>0</v>
      </c>
      <c r="AK857" s="1">
        <f>C84</f>
        <v>0</v>
      </c>
      <c r="AL857" s="1">
        <f>C90</f>
        <v>0</v>
      </c>
      <c r="AM857" s="1">
        <f t="shared" si="74"/>
        <v>0</v>
      </c>
      <c r="AN857" s="1">
        <f t="shared" si="75"/>
        <v>0</v>
      </c>
      <c r="AO857" s="1">
        <f t="shared" si="76"/>
        <v>0</v>
      </c>
      <c r="AP857" t="b" cm="1">
        <f t="array" ref="AP857">INDEX($AU$8:$BB$25,6*(R857-1)+MATCH(AB857,$AS$8:$AS$13,0),MATCH(O857,$AU$7:$BB$7,0))</f>
        <v>1</v>
      </c>
    </row>
    <row r="858" spans="15:42" ht="14.25" x14ac:dyDescent="0.45">
      <c r="O858" s="43" t="s">
        <v>35</v>
      </c>
      <c r="P858" s="43">
        <v>2</v>
      </c>
      <c r="Q858" s="43">
        <v>15</v>
      </c>
      <c r="R858" s="43">
        <v>2</v>
      </c>
      <c r="S858" s="45"/>
      <c r="T858" t="b">
        <f>(S857+S858+S859)=T3</f>
        <v>0</v>
      </c>
      <c r="X858" s="1">
        <f t="shared" si="72"/>
        <v>0</v>
      </c>
      <c r="Y858" s="48">
        <v>0</v>
      </c>
      <c r="AA858" s="1">
        <v>7</v>
      </c>
      <c r="AB858" s="1" t="s">
        <v>15</v>
      </c>
      <c r="AC858" s="1" t="s">
        <v>21</v>
      </c>
      <c r="AD858" s="1">
        <v>13</v>
      </c>
      <c r="AE858" s="1">
        <v>10</v>
      </c>
      <c r="AF858" s="1">
        <v>0.76</v>
      </c>
      <c r="AG858" s="1">
        <v>0.84</v>
      </c>
      <c r="AH858" s="1">
        <v>0</v>
      </c>
      <c r="AI858" s="1">
        <v>0</v>
      </c>
      <c r="AJ858" s="1">
        <f t="shared" si="73"/>
        <v>0</v>
      </c>
      <c r="AK858" s="1">
        <f>D84</f>
        <v>0</v>
      </c>
      <c r="AL858" s="1">
        <f>D90</f>
        <v>0</v>
      </c>
      <c r="AM858" s="1">
        <f t="shared" si="74"/>
        <v>0</v>
      </c>
      <c r="AN858" s="1">
        <f t="shared" si="75"/>
        <v>0</v>
      </c>
      <c r="AO858" s="1">
        <f t="shared" si="76"/>
        <v>0</v>
      </c>
      <c r="AP858" t="b" cm="1">
        <f t="array" ref="AP858">INDEX($AU$8:$BB$25,6*(R858-1)+MATCH(AB858,$AS$8:$AS$13,0),MATCH(O858,$AU$7:$BB$7,0))</f>
        <v>1</v>
      </c>
    </row>
    <row r="859" spans="15:42" ht="14.25" x14ac:dyDescent="0.45">
      <c r="O859" s="43" t="s">
        <v>35</v>
      </c>
      <c r="P859" s="43">
        <v>2</v>
      </c>
      <c r="Q859" s="43">
        <v>15</v>
      </c>
      <c r="R859" s="43">
        <v>3</v>
      </c>
      <c r="S859" s="45"/>
      <c r="T859" t="b">
        <f>(S857+S858+S859)=T3</f>
        <v>0</v>
      </c>
      <c r="X859" s="1">
        <f t="shared" si="72"/>
        <v>0</v>
      </c>
      <c r="Y859" s="48">
        <v>0</v>
      </c>
      <c r="AA859" s="1">
        <v>7</v>
      </c>
      <c r="AB859" s="1" t="s">
        <v>15</v>
      </c>
      <c r="AC859" s="1" t="s">
        <v>21</v>
      </c>
      <c r="AD859" s="1">
        <v>13</v>
      </c>
      <c r="AE859" s="1">
        <v>10</v>
      </c>
      <c r="AF859" s="1">
        <v>0.76</v>
      </c>
      <c r="AG859" s="1">
        <v>0.84</v>
      </c>
      <c r="AH859" s="1">
        <v>0</v>
      </c>
      <c r="AI859" s="1">
        <v>0</v>
      </c>
      <c r="AJ859" s="1">
        <f t="shared" si="73"/>
        <v>0</v>
      </c>
      <c r="AK859" s="1">
        <f>E84</f>
        <v>0</v>
      </c>
      <c r="AL859" s="1">
        <f>E90</f>
        <v>0</v>
      </c>
      <c r="AM859" s="1">
        <f t="shared" si="74"/>
        <v>0</v>
      </c>
      <c r="AN859" s="1">
        <f t="shared" si="75"/>
        <v>0</v>
      </c>
      <c r="AO859" s="1">
        <f t="shared" si="76"/>
        <v>0</v>
      </c>
      <c r="AP859" t="b" cm="1">
        <f t="array" ref="AP859">INDEX($AU$8:$BB$25,6*(R859-1)+MATCH(AB859,$AS$8:$AS$13,0),MATCH(O859,$AU$7:$BB$7,0))</f>
        <v>1</v>
      </c>
    </row>
    <row r="860" spans="15:42" ht="14.25" x14ac:dyDescent="0.45">
      <c r="O860" s="43" t="s">
        <v>35</v>
      </c>
      <c r="P860" s="43">
        <v>3</v>
      </c>
      <c r="Q860" s="43">
        <v>1</v>
      </c>
      <c r="R860" s="43">
        <v>1</v>
      </c>
      <c r="S860" s="45"/>
      <c r="T860" t="b">
        <f>(S860+S861+S862)=T4</f>
        <v>0</v>
      </c>
      <c r="X860" s="1">
        <v>0</v>
      </c>
      <c r="Y860" s="48">
        <v>0</v>
      </c>
      <c r="AA860" s="1">
        <v>1</v>
      </c>
      <c r="AB860" s="1" t="s">
        <v>13</v>
      </c>
      <c r="AC860" s="1" t="s">
        <v>19</v>
      </c>
      <c r="AD860" s="1">
        <v>21</v>
      </c>
      <c r="AE860" s="1">
        <v>20</v>
      </c>
      <c r="AF860" s="1">
        <v>0.8</v>
      </c>
      <c r="AG860" s="1">
        <v>0.86</v>
      </c>
      <c r="AH860" s="1">
        <v>0</v>
      </c>
      <c r="AI860" s="1">
        <v>0</v>
      </c>
      <c r="AJ860" s="1">
        <f t="shared" si="73"/>
        <v>0</v>
      </c>
      <c r="AK860" s="1">
        <f>C82</f>
        <v>0</v>
      </c>
      <c r="AL860" s="1">
        <f>C88</f>
        <v>0</v>
      </c>
      <c r="AM860" s="1">
        <f t="shared" si="74"/>
        <v>0</v>
      </c>
      <c r="AN860" s="1">
        <f t="shared" si="75"/>
        <v>0</v>
      </c>
      <c r="AO860" s="1">
        <f t="shared" si="76"/>
        <v>0</v>
      </c>
      <c r="AP860" t="b" cm="1">
        <f t="array" ref="AP860">INDEX($AU$8:$BB$25,6*(R860-1)+MATCH(AB860,$AS$8:$AS$13,0),MATCH(O860,$AU$7:$BB$7,0))</f>
        <v>1</v>
      </c>
    </row>
    <row r="861" spans="15:42" ht="14.25" x14ac:dyDescent="0.45">
      <c r="O861" s="43" t="s">
        <v>35</v>
      </c>
      <c r="P861" s="43">
        <v>3</v>
      </c>
      <c r="Q861" s="43">
        <v>1</v>
      </c>
      <c r="R861" s="43">
        <v>2</v>
      </c>
      <c r="S861" s="45"/>
      <c r="T861" t="b">
        <f>(S860+S861+S862)=T4</f>
        <v>0</v>
      </c>
      <c r="X861" s="1">
        <v>0</v>
      </c>
      <c r="Y861" s="48">
        <v>0</v>
      </c>
      <c r="AA861" s="1">
        <v>1</v>
      </c>
      <c r="AB861" s="1" t="s">
        <v>13</v>
      </c>
      <c r="AC861" s="1" t="s">
        <v>19</v>
      </c>
      <c r="AD861" s="1">
        <v>21</v>
      </c>
      <c r="AE861" s="1">
        <v>20</v>
      </c>
      <c r="AF861" s="1">
        <v>0.8</v>
      </c>
      <c r="AG861" s="1">
        <v>0.86</v>
      </c>
      <c r="AH861" s="1">
        <v>0</v>
      </c>
      <c r="AI861" s="1">
        <v>0</v>
      </c>
      <c r="AJ861" s="1">
        <f t="shared" si="73"/>
        <v>0</v>
      </c>
      <c r="AK861" s="1">
        <f>D82</f>
        <v>0</v>
      </c>
      <c r="AL861" s="1">
        <f>D88</f>
        <v>0</v>
      </c>
      <c r="AM861" s="1">
        <f t="shared" si="74"/>
        <v>0</v>
      </c>
      <c r="AN861" s="1">
        <f t="shared" si="75"/>
        <v>0</v>
      </c>
      <c r="AO861" s="1">
        <f t="shared" si="76"/>
        <v>0</v>
      </c>
      <c r="AP861" t="b" cm="1">
        <f t="array" ref="AP861">INDEX($AU$8:$BB$25,6*(R861-1)+MATCH(AB861,$AS$8:$AS$13,0),MATCH(O861,$AU$7:$BB$7,0))</f>
        <v>1</v>
      </c>
    </row>
    <row r="862" spans="15:42" ht="14.25" x14ac:dyDescent="0.45">
      <c r="O862" s="43" t="s">
        <v>35</v>
      </c>
      <c r="P862" s="43">
        <v>3</v>
      </c>
      <c r="Q862" s="43">
        <v>1</v>
      </c>
      <c r="R862" s="43">
        <v>3</v>
      </c>
      <c r="S862" s="45"/>
      <c r="T862" t="b">
        <f>(S860+S861+S862)=T4</f>
        <v>0</v>
      </c>
      <c r="X862" s="1">
        <v>0</v>
      </c>
      <c r="Y862" s="48">
        <v>0</v>
      </c>
      <c r="AA862" s="1">
        <v>1</v>
      </c>
      <c r="AB862" s="1" t="s">
        <v>13</v>
      </c>
      <c r="AC862" s="1" t="s">
        <v>19</v>
      </c>
      <c r="AD862" s="1">
        <v>21</v>
      </c>
      <c r="AE862" s="1">
        <v>20</v>
      </c>
      <c r="AF862" s="1">
        <v>0.8</v>
      </c>
      <c r="AG862" s="1">
        <v>0.86</v>
      </c>
      <c r="AH862" s="1">
        <v>0</v>
      </c>
      <c r="AI862" s="1">
        <v>0</v>
      </c>
      <c r="AJ862" s="1">
        <f t="shared" si="73"/>
        <v>0</v>
      </c>
      <c r="AK862" s="1">
        <f>E82</f>
        <v>0</v>
      </c>
      <c r="AL862" s="1">
        <f>E88</f>
        <v>0</v>
      </c>
      <c r="AM862" s="1">
        <f t="shared" si="74"/>
        <v>0</v>
      </c>
      <c r="AN862" s="1">
        <f t="shared" si="75"/>
        <v>0</v>
      </c>
      <c r="AO862" s="1">
        <f t="shared" si="76"/>
        <v>0</v>
      </c>
      <c r="AP862" t="b" cm="1">
        <f t="array" ref="AP862">INDEX($AU$8:$BB$25,6*(R862-1)+MATCH(AB862,$AS$8:$AS$13,0),MATCH(O862,$AU$7:$BB$7,0))</f>
        <v>1</v>
      </c>
    </row>
    <row r="863" spans="15:42" ht="14.25" x14ac:dyDescent="0.45">
      <c r="O863" s="43" t="s">
        <v>35</v>
      </c>
      <c r="P863" s="43">
        <v>3</v>
      </c>
      <c r="Q863" s="43">
        <v>2</v>
      </c>
      <c r="R863" s="43">
        <v>1</v>
      </c>
      <c r="S863" s="45"/>
      <c r="T863" t="b">
        <f>(S863+S864+S865)=T4</f>
        <v>0</v>
      </c>
      <c r="X863" s="1">
        <f t="shared" ref="X863:X910" si="77">MAX(S860-S863,0)</f>
        <v>0</v>
      </c>
      <c r="Y863" s="48">
        <v>0</v>
      </c>
      <c r="AA863" s="1">
        <v>8</v>
      </c>
      <c r="AB863" s="1" t="s">
        <v>14</v>
      </c>
      <c r="AC863" s="1" t="s">
        <v>20</v>
      </c>
      <c r="AD863" s="1">
        <v>9</v>
      </c>
      <c r="AE863" s="1">
        <v>7</v>
      </c>
      <c r="AF863" s="1">
        <v>0.8</v>
      </c>
      <c r="AG863" s="1">
        <v>0.88</v>
      </c>
      <c r="AH863" s="1">
        <v>0</v>
      </c>
      <c r="AI863" s="1">
        <v>0</v>
      </c>
      <c r="AJ863" s="1">
        <f t="shared" si="73"/>
        <v>0</v>
      </c>
      <c r="AK863" s="1">
        <f>C83</f>
        <v>0</v>
      </c>
      <c r="AL863" s="1">
        <f>C89</f>
        <v>0</v>
      </c>
      <c r="AM863" s="1">
        <f t="shared" si="74"/>
        <v>0</v>
      </c>
      <c r="AN863" s="1">
        <f t="shared" si="75"/>
        <v>0</v>
      </c>
      <c r="AO863" s="1">
        <f t="shared" si="76"/>
        <v>0</v>
      </c>
      <c r="AP863" t="b" cm="1">
        <f t="array" ref="AP863">INDEX($AU$8:$BB$25,6*(R863-1)+MATCH(AB863,$AS$8:$AS$13,0),MATCH(O863,$AU$7:$BB$7,0))</f>
        <v>1</v>
      </c>
    </row>
    <row r="864" spans="15:42" ht="14.25" x14ac:dyDescent="0.45">
      <c r="O864" s="43" t="s">
        <v>35</v>
      </c>
      <c r="P864" s="43">
        <v>3</v>
      </c>
      <c r="Q864" s="43">
        <v>2</v>
      </c>
      <c r="R864" s="43">
        <v>2</v>
      </c>
      <c r="S864" s="45"/>
      <c r="T864" t="b">
        <f>(S863+S864+S865)=T4</f>
        <v>0</v>
      </c>
      <c r="X864" s="1">
        <f t="shared" si="77"/>
        <v>0</v>
      </c>
      <c r="Y864" s="48">
        <v>0</v>
      </c>
      <c r="AA864" s="1">
        <v>8</v>
      </c>
      <c r="AB864" s="1" t="s">
        <v>14</v>
      </c>
      <c r="AC864" s="1" t="s">
        <v>20</v>
      </c>
      <c r="AD864" s="1">
        <v>9</v>
      </c>
      <c r="AE864" s="1">
        <v>7</v>
      </c>
      <c r="AF864" s="1">
        <v>0.8</v>
      </c>
      <c r="AG864" s="1">
        <v>0.88</v>
      </c>
      <c r="AH864" s="1">
        <v>0</v>
      </c>
      <c r="AI864" s="1">
        <v>0</v>
      </c>
      <c r="AJ864" s="1">
        <f t="shared" si="73"/>
        <v>0</v>
      </c>
      <c r="AK864" s="1">
        <f>D83</f>
        <v>0</v>
      </c>
      <c r="AL864" s="1">
        <f>D89</f>
        <v>0</v>
      </c>
      <c r="AM864" s="1">
        <f t="shared" si="74"/>
        <v>0</v>
      </c>
      <c r="AN864" s="1">
        <f t="shared" si="75"/>
        <v>0</v>
      </c>
      <c r="AO864" s="1">
        <f t="shared" si="76"/>
        <v>0</v>
      </c>
      <c r="AP864" t="b" cm="1">
        <f t="array" ref="AP864">INDEX($AU$8:$BB$25,6*(R864-1)+MATCH(AB864,$AS$8:$AS$13,0),MATCH(O864,$AU$7:$BB$7,0))</f>
        <v>1</v>
      </c>
    </row>
    <row r="865" spans="15:42" ht="14.25" x14ac:dyDescent="0.45">
      <c r="O865" s="43" t="s">
        <v>35</v>
      </c>
      <c r="P865" s="43">
        <v>3</v>
      </c>
      <c r="Q865" s="43">
        <v>2</v>
      </c>
      <c r="R865" s="43">
        <v>3</v>
      </c>
      <c r="S865" s="45"/>
      <c r="T865" t="b">
        <f>(S863+S864+S865)=T4</f>
        <v>0</v>
      </c>
      <c r="X865" s="1">
        <f t="shared" si="77"/>
        <v>0</v>
      </c>
      <c r="Y865" s="48">
        <v>0</v>
      </c>
      <c r="AA865" s="1">
        <v>8</v>
      </c>
      <c r="AB865" s="1" t="s">
        <v>14</v>
      </c>
      <c r="AC865" s="1" t="s">
        <v>20</v>
      </c>
      <c r="AD865" s="1">
        <v>9</v>
      </c>
      <c r="AE865" s="1">
        <v>7</v>
      </c>
      <c r="AF865" s="1">
        <v>0.8</v>
      </c>
      <c r="AG865" s="1">
        <v>0.88</v>
      </c>
      <c r="AH865" s="1">
        <v>0</v>
      </c>
      <c r="AI865" s="1">
        <v>0</v>
      </c>
      <c r="AJ865" s="1">
        <f t="shared" si="73"/>
        <v>0</v>
      </c>
      <c r="AK865" s="1">
        <f>E83</f>
        <v>0</v>
      </c>
      <c r="AL865" s="1">
        <f>E89</f>
        <v>0</v>
      </c>
      <c r="AM865" s="1">
        <f t="shared" si="74"/>
        <v>0</v>
      </c>
      <c r="AN865" s="1">
        <f t="shared" si="75"/>
        <v>0</v>
      </c>
      <c r="AO865" s="1">
        <f t="shared" si="76"/>
        <v>0</v>
      </c>
      <c r="AP865" t="b" cm="1">
        <f t="array" ref="AP865">INDEX($AU$8:$BB$25,6*(R865-1)+MATCH(AB865,$AS$8:$AS$13,0),MATCH(O865,$AU$7:$BB$7,0))</f>
        <v>1</v>
      </c>
    </row>
    <row r="866" spans="15:42" ht="14.25" x14ac:dyDescent="0.45">
      <c r="O866" s="43" t="s">
        <v>35</v>
      </c>
      <c r="P866" s="43">
        <v>3</v>
      </c>
      <c r="Q866" s="43">
        <v>3</v>
      </c>
      <c r="R866" s="43">
        <v>1</v>
      </c>
      <c r="S866" s="45"/>
      <c r="T866" t="b">
        <f>(S866+S867+S868)=T4</f>
        <v>0</v>
      </c>
      <c r="X866" s="1">
        <f t="shared" si="77"/>
        <v>0</v>
      </c>
      <c r="Y866" s="48">
        <v>0</v>
      </c>
      <c r="AA866" s="1">
        <v>1</v>
      </c>
      <c r="AB866" s="1" t="s">
        <v>15</v>
      </c>
      <c r="AC866" s="1" t="s">
        <v>21</v>
      </c>
      <c r="AD866" s="1">
        <v>24</v>
      </c>
      <c r="AE866" s="1">
        <v>23</v>
      </c>
      <c r="AF866" s="1">
        <v>0.76</v>
      </c>
      <c r="AG866" s="1">
        <v>0.84</v>
      </c>
      <c r="AH866" s="1">
        <v>0</v>
      </c>
      <c r="AI866" s="1">
        <v>0</v>
      </c>
      <c r="AJ866" s="1">
        <f t="shared" si="73"/>
        <v>0</v>
      </c>
      <c r="AK866" s="1">
        <f>C84</f>
        <v>0</v>
      </c>
      <c r="AL866" s="1">
        <f>C90</f>
        <v>0</v>
      </c>
      <c r="AM866" s="1">
        <f t="shared" si="74"/>
        <v>0</v>
      </c>
      <c r="AN866" s="1">
        <f t="shared" si="75"/>
        <v>0</v>
      </c>
      <c r="AO866" s="1">
        <f t="shared" si="76"/>
        <v>0</v>
      </c>
      <c r="AP866" t="b" cm="1">
        <f t="array" ref="AP866">INDEX($AU$8:$BB$25,6*(R866-1)+MATCH(AB866,$AS$8:$AS$13,0),MATCH(O866,$AU$7:$BB$7,0))</f>
        <v>1</v>
      </c>
    </row>
    <row r="867" spans="15:42" ht="14.25" x14ac:dyDescent="0.45">
      <c r="O867" s="43" t="s">
        <v>35</v>
      </c>
      <c r="P867" s="43">
        <v>3</v>
      </c>
      <c r="Q867" s="43">
        <v>3</v>
      </c>
      <c r="R867" s="43">
        <v>2</v>
      </c>
      <c r="S867" s="45"/>
      <c r="T867" t="b">
        <f>(S866+S867+S868)=T4</f>
        <v>0</v>
      </c>
      <c r="X867" s="1">
        <f t="shared" si="77"/>
        <v>0</v>
      </c>
      <c r="Y867" s="48">
        <v>0</v>
      </c>
      <c r="AA867" s="1">
        <v>1</v>
      </c>
      <c r="AB867" s="1" t="s">
        <v>15</v>
      </c>
      <c r="AC867" s="1" t="s">
        <v>21</v>
      </c>
      <c r="AD867" s="1">
        <v>24</v>
      </c>
      <c r="AE867" s="1">
        <v>23</v>
      </c>
      <c r="AF867" s="1">
        <v>0.76</v>
      </c>
      <c r="AG867" s="1">
        <v>0.84</v>
      </c>
      <c r="AH867" s="1">
        <v>0</v>
      </c>
      <c r="AI867" s="1">
        <v>0</v>
      </c>
      <c r="AJ867" s="1">
        <f t="shared" si="73"/>
        <v>0</v>
      </c>
      <c r="AK867" s="1">
        <f>D84</f>
        <v>0</v>
      </c>
      <c r="AL867" s="1">
        <f>D90</f>
        <v>0</v>
      </c>
      <c r="AM867" s="1">
        <f t="shared" si="74"/>
        <v>0</v>
      </c>
      <c r="AN867" s="1">
        <f t="shared" si="75"/>
        <v>0</v>
      </c>
      <c r="AO867" s="1">
        <f t="shared" si="76"/>
        <v>0</v>
      </c>
      <c r="AP867" t="b" cm="1">
        <f t="array" ref="AP867">INDEX($AU$8:$BB$25,6*(R867-1)+MATCH(AB867,$AS$8:$AS$13,0),MATCH(O867,$AU$7:$BB$7,0))</f>
        <v>1</v>
      </c>
    </row>
    <row r="868" spans="15:42" ht="14.25" x14ac:dyDescent="0.45">
      <c r="O868" s="43" t="s">
        <v>35</v>
      </c>
      <c r="P868" s="43">
        <v>3</v>
      </c>
      <c r="Q868" s="43">
        <v>3</v>
      </c>
      <c r="R868" s="43">
        <v>3</v>
      </c>
      <c r="S868" s="45"/>
      <c r="T868" t="b">
        <f>(S866+S867+S868)=T4</f>
        <v>0</v>
      </c>
      <c r="X868" s="1">
        <f t="shared" si="77"/>
        <v>0</v>
      </c>
      <c r="Y868" s="48">
        <v>0</v>
      </c>
      <c r="AA868" s="1">
        <v>1</v>
      </c>
      <c r="AB868" s="1" t="s">
        <v>15</v>
      </c>
      <c r="AC868" s="1" t="s">
        <v>21</v>
      </c>
      <c r="AD868" s="1">
        <v>24</v>
      </c>
      <c r="AE868" s="1">
        <v>23</v>
      </c>
      <c r="AF868" s="1">
        <v>0.76</v>
      </c>
      <c r="AG868" s="1">
        <v>0.84</v>
      </c>
      <c r="AH868" s="1">
        <v>0</v>
      </c>
      <c r="AI868" s="1">
        <v>0</v>
      </c>
      <c r="AJ868" s="1">
        <f t="shared" si="73"/>
        <v>0</v>
      </c>
      <c r="AK868" s="1">
        <f>E84</f>
        <v>0</v>
      </c>
      <c r="AL868" s="1">
        <f>E90</f>
        <v>0</v>
      </c>
      <c r="AM868" s="1">
        <f t="shared" si="74"/>
        <v>0</v>
      </c>
      <c r="AN868" s="1">
        <f t="shared" si="75"/>
        <v>0</v>
      </c>
      <c r="AO868" s="1">
        <f t="shared" si="76"/>
        <v>0</v>
      </c>
      <c r="AP868" t="b" cm="1">
        <f t="array" ref="AP868">INDEX($AU$8:$BB$25,6*(R868-1)+MATCH(AB868,$AS$8:$AS$13,0),MATCH(O868,$AU$7:$BB$7,0))</f>
        <v>1</v>
      </c>
    </row>
    <row r="869" spans="15:42" ht="14.25" x14ac:dyDescent="0.45">
      <c r="O869" s="43" t="s">
        <v>35</v>
      </c>
      <c r="P869" s="43">
        <v>3</v>
      </c>
      <c r="Q869" s="43">
        <v>4</v>
      </c>
      <c r="R869" s="43">
        <v>1</v>
      </c>
      <c r="S869" s="45"/>
      <c r="T869" t="b">
        <f>(S869+S870+S871)=T4</f>
        <v>0</v>
      </c>
      <c r="X869" s="1">
        <f t="shared" si="77"/>
        <v>0</v>
      </c>
      <c r="Y869" s="48">
        <v>0</v>
      </c>
      <c r="AA869" s="1">
        <v>9</v>
      </c>
      <c r="AB869" s="1" t="s">
        <v>15</v>
      </c>
      <c r="AC869" s="1" t="s">
        <v>21</v>
      </c>
      <c r="AD869" s="1">
        <v>15</v>
      </c>
      <c r="AE869" s="1">
        <v>11</v>
      </c>
      <c r="AF869" s="1">
        <v>0.76</v>
      </c>
      <c r="AG869" s="1">
        <v>0.84</v>
      </c>
      <c r="AH869" s="1">
        <v>0</v>
      </c>
      <c r="AI869" s="1">
        <v>0</v>
      </c>
      <c r="AJ869" s="1">
        <f t="shared" si="73"/>
        <v>0</v>
      </c>
      <c r="AK869" s="1">
        <f>C84</f>
        <v>0</v>
      </c>
      <c r="AL869" s="1">
        <f>C90</f>
        <v>0</v>
      </c>
      <c r="AM869" s="1">
        <f t="shared" si="74"/>
        <v>0</v>
      </c>
      <c r="AN869" s="1">
        <f t="shared" si="75"/>
        <v>0</v>
      </c>
      <c r="AO869" s="1">
        <f t="shared" si="76"/>
        <v>0</v>
      </c>
      <c r="AP869" t="b" cm="1">
        <f t="array" ref="AP869">INDEX($AU$8:$BB$25,6*(R869-1)+MATCH(AB869,$AS$8:$AS$13,0),MATCH(O869,$AU$7:$BB$7,0))</f>
        <v>1</v>
      </c>
    </row>
    <row r="870" spans="15:42" ht="14.25" x14ac:dyDescent="0.45">
      <c r="O870" s="43" t="s">
        <v>35</v>
      </c>
      <c r="P870" s="43">
        <v>3</v>
      </c>
      <c r="Q870" s="43">
        <v>4</v>
      </c>
      <c r="R870" s="43">
        <v>2</v>
      </c>
      <c r="S870" s="45"/>
      <c r="T870" t="b">
        <f>(S869+S870+S871)=T4</f>
        <v>0</v>
      </c>
      <c r="X870" s="1">
        <f t="shared" si="77"/>
        <v>0</v>
      </c>
      <c r="Y870" s="48">
        <v>0</v>
      </c>
      <c r="AA870" s="1">
        <v>9</v>
      </c>
      <c r="AB870" s="1" t="s">
        <v>15</v>
      </c>
      <c r="AC870" s="1" t="s">
        <v>21</v>
      </c>
      <c r="AD870" s="1">
        <v>15</v>
      </c>
      <c r="AE870" s="1">
        <v>11</v>
      </c>
      <c r="AF870" s="1">
        <v>0.76</v>
      </c>
      <c r="AG870" s="1">
        <v>0.84</v>
      </c>
      <c r="AH870" s="1">
        <v>0</v>
      </c>
      <c r="AI870" s="1">
        <v>0</v>
      </c>
      <c r="AJ870" s="1">
        <f t="shared" si="73"/>
        <v>0</v>
      </c>
      <c r="AK870" s="1">
        <f>D84</f>
        <v>0</v>
      </c>
      <c r="AL870" s="1">
        <f>D90</f>
        <v>0</v>
      </c>
      <c r="AM870" s="1">
        <f t="shared" si="74"/>
        <v>0</v>
      </c>
      <c r="AN870" s="1">
        <f t="shared" si="75"/>
        <v>0</v>
      </c>
      <c r="AO870" s="1">
        <f t="shared" si="76"/>
        <v>0</v>
      </c>
      <c r="AP870" t="b" cm="1">
        <f t="array" ref="AP870">INDEX($AU$8:$BB$25,6*(R870-1)+MATCH(AB870,$AS$8:$AS$13,0),MATCH(O870,$AU$7:$BB$7,0))</f>
        <v>1</v>
      </c>
    </row>
    <row r="871" spans="15:42" ht="14.25" x14ac:dyDescent="0.45">
      <c r="O871" s="43" t="s">
        <v>35</v>
      </c>
      <c r="P871" s="43">
        <v>3</v>
      </c>
      <c r="Q871" s="43">
        <v>4</v>
      </c>
      <c r="R871" s="43">
        <v>3</v>
      </c>
      <c r="S871" s="45"/>
      <c r="T871" t="b">
        <f>(S869+S870+S871)=T4</f>
        <v>0</v>
      </c>
      <c r="X871" s="1">
        <f t="shared" si="77"/>
        <v>0</v>
      </c>
      <c r="Y871" s="48">
        <v>0</v>
      </c>
      <c r="AA871" s="1">
        <v>9</v>
      </c>
      <c r="AB871" s="1" t="s">
        <v>15</v>
      </c>
      <c r="AC871" s="1" t="s">
        <v>21</v>
      </c>
      <c r="AD871" s="1">
        <v>15</v>
      </c>
      <c r="AE871" s="1">
        <v>11</v>
      </c>
      <c r="AF871" s="1">
        <v>0.76</v>
      </c>
      <c r="AG871" s="1">
        <v>0.84</v>
      </c>
      <c r="AH871" s="1">
        <v>0</v>
      </c>
      <c r="AI871" s="1">
        <v>0</v>
      </c>
      <c r="AJ871" s="1">
        <f t="shared" si="73"/>
        <v>0</v>
      </c>
      <c r="AK871" s="1">
        <f>E84</f>
        <v>0</v>
      </c>
      <c r="AL871" s="1">
        <f>E90</f>
        <v>0</v>
      </c>
      <c r="AM871" s="1">
        <f t="shared" si="74"/>
        <v>0</v>
      </c>
      <c r="AN871" s="1">
        <f t="shared" si="75"/>
        <v>0</v>
      </c>
      <c r="AO871" s="1">
        <f t="shared" si="76"/>
        <v>0</v>
      </c>
      <c r="AP871" t="b" cm="1">
        <f t="array" ref="AP871">INDEX($AU$8:$BB$25,6*(R871-1)+MATCH(AB871,$AS$8:$AS$13,0),MATCH(O871,$AU$7:$BB$7,0))</f>
        <v>1</v>
      </c>
    </row>
    <row r="872" spans="15:42" ht="14.25" x14ac:dyDescent="0.45">
      <c r="O872" s="43" t="s">
        <v>35</v>
      </c>
      <c r="P872" s="43">
        <v>3</v>
      </c>
      <c r="Q872" s="43">
        <v>5</v>
      </c>
      <c r="R872" s="43">
        <v>1</v>
      </c>
      <c r="S872" s="45"/>
      <c r="T872" t="b">
        <f>(S872+S873+S874)=T4</f>
        <v>0</v>
      </c>
      <c r="X872" s="1">
        <f t="shared" si="77"/>
        <v>0</v>
      </c>
      <c r="Y872" s="48">
        <v>0</v>
      </c>
      <c r="AA872" s="1">
        <v>6</v>
      </c>
      <c r="AB872" s="1" t="s">
        <v>16</v>
      </c>
      <c r="AC872" s="1" t="s">
        <v>22</v>
      </c>
      <c r="AD872" s="1">
        <v>16</v>
      </c>
      <c r="AE872" s="1">
        <v>14</v>
      </c>
      <c r="AF872" s="1">
        <v>0.8</v>
      </c>
      <c r="AG872" s="1">
        <v>0.9</v>
      </c>
      <c r="AH872" s="1">
        <v>0</v>
      </c>
      <c r="AI872" s="1">
        <v>0</v>
      </c>
      <c r="AJ872" s="1">
        <f t="shared" si="73"/>
        <v>0</v>
      </c>
      <c r="AK872" s="1">
        <f>C85</f>
        <v>0</v>
      </c>
      <c r="AL872" s="1">
        <f>C91</f>
        <v>0</v>
      </c>
      <c r="AM872" s="1">
        <f t="shared" si="74"/>
        <v>0</v>
      </c>
      <c r="AN872" s="1">
        <f t="shared" si="75"/>
        <v>0</v>
      </c>
      <c r="AO872" s="1">
        <f t="shared" si="76"/>
        <v>0</v>
      </c>
      <c r="AP872" t="b" cm="1">
        <f t="array" ref="AP872">INDEX($AU$8:$BB$25,6*(R872-1)+MATCH(AB872,$AS$8:$AS$13,0),MATCH(O872,$AU$7:$BB$7,0))</f>
        <v>1</v>
      </c>
    </row>
    <row r="873" spans="15:42" ht="14.25" x14ac:dyDescent="0.45">
      <c r="O873" s="43" t="s">
        <v>35</v>
      </c>
      <c r="P873" s="43">
        <v>3</v>
      </c>
      <c r="Q873" s="43">
        <v>5</v>
      </c>
      <c r="R873" s="43">
        <v>2</v>
      </c>
      <c r="S873" s="45"/>
      <c r="T873" t="b">
        <f>(S872+S873+S874)=T4</f>
        <v>0</v>
      </c>
      <c r="X873" s="1">
        <f t="shared" si="77"/>
        <v>0</v>
      </c>
      <c r="Y873" s="48">
        <v>0</v>
      </c>
      <c r="AA873" s="1">
        <v>6</v>
      </c>
      <c r="AB873" s="1" t="s">
        <v>16</v>
      </c>
      <c r="AC873" s="1" t="s">
        <v>22</v>
      </c>
      <c r="AD873" s="1">
        <v>16</v>
      </c>
      <c r="AE873" s="1">
        <v>14</v>
      </c>
      <c r="AF873" s="1">
        <v>0.8</v>
      </c>
      <c r="AG873" s="1">
        <v>0.9</v>
      </c>
      <c r="AH873" s="1">
        <v>0</v>
      </c>
      <c r="AI873" s="1">
        <v>0</v>
      </c>
      <c r="AJ873" s="1">
        <f t="shared" si="73"/>
        <v>0</v>
      </c>
      <c r="AK873" s="1">
        <f>D85</f>
        <v>0</v>
      </c>
      <c r="AL873" s="1">
        <f>D91</f>
        <v>0</v>
      </c>
      <c r="AM873" s="1">
        <f t="shared" si="74"/>
        <v>0</v>
      </c>
      <c r="AN873" s="1">
        <f t="shared" si="75"/>
        <v>0</v>
      </c>
      <c r="AO873" s="1">
        <f t="shared" si="76"/>
        <v>0</v>
      </c>
      <c r="AP873" t="b" cm="1">
        <f t="array" ref="AP873">INDEX($AU$8:$BB$25,6*(R873-1)+MATCH(AB873,$AS$8:$AS$13,0),MATCH(O873,$AU$7:$BB$7,0))</f>
        <v>1</v>
      </c>
    </row>
    <row r="874" spans="15:42" ht="14.25" x14ac:dyDescent="0.45">
      <c r="O874" s="43" t="s">
        <v>35</v>
      </c>
      <c r="P874" s="43">
        <v>3</v>
      </c>
      <c r="Q874" s="43">
        <v>5</v>
      </c>
      <c r="R874" s="43">
        <v>3</v>
      </c>
      <c r="S874" s="45"/>
      <c r="T874" t="b">
        <f>(S872+S873+S874)=T4</f>
        <v>0</v>
      </c>
      <c r="X874" s="1">
        <f t="shared" si="77"/>
        <v>0</v>
      </c>
      <c r="Y874" s="48">
        <v>0</v>
      </c>
      <c r="AA874" s="1">
        <v>6</v>
      </c>
      <c r="AB874" s="1" t="s">
        <v>16</v>
      </c>
      <c r="AC874" s="1" t="s">
        <v>22</v>
      </c>
      <c r="AD874" s="1">
        <v>16</v>
      </c>
      <c r="AE874" s="1">
        <v>14</v>
      </c>
      <c r="AF874" s="1">
        <v>0.8</v>
      </c>
      <c r="AG874" s="1">
        <v>0.9</v>
      </c>
      <c r="AH874" s="1">
        <v>0</v>
      </c>
      <c r="AI874" s="1">
        <v>0</v>
      </c>
      <c r="AJ874" s="1">
        <f t="shared" si="73"/>
        <v>0</v>
      </c>
      <c r="AK874" s="1">
        <f>E85</f>
        <v>0</v>
      </c>
      <c r="AL874" s="1">
        <f>E91</f>
        <v>0</v>
      </c>
      <c r="AM874" s="1">
        <f t="shared" si="74"/>
        <v>0</v>
      </c>
      <c r="AN874" s="1">
        <f t="shared" si="75"/>
        <v>0</v>
      </c>
      <c r="AO874" s="1">
        <f t="shared" si="76"/>
        <v>0</v>
      </c>
      <c r="AP874" t="b" cm="1">
        <f t="array" ref="AP874">INDEX($AU$8:$BB$25,6*(R874-1)+MATCH(AB874,$AS$8:$AS$13,0),MATCH(O874,$AU$7:$BB$7,0))</f>
        <v>1</v>
      </c>
    </row>
    <row r="875" spans="15:42" ht="14.25" x14ac:dyDescent="0.45">
      <c r="O875" s="43" t="s">
        <v>35</v>
      </c>
      <c r="P875" s="43">
        <v>3</v>
      </c>
      <c r="Q875" s="43">
        <v>6</v>
      </c>
      <c r="R875" s="43">
        <v>1</v>
      </c>
      <c r="S875" s="45"/>
      <c r="T875" t="b">
        <f>(S875+S876+S877)=T4</f>
        <v>0</v>
      </c>
      <c r="X875" s="1">
        <f t="shared" si="77"/>
        <v>0</v>
      </c>
      <c r="Y875" s="48">
        <v>0</v>
      </c>
      <c r="AA875" s="1">
        <v>1</v>
      </c>
      <c r="AB875" s="1" t="s">
        <v>14</v>
      </c>
      <c r="AC875" s="1" t="s">
        <v>20</v>
      </c>
      <c r="AD875" s="1">
        <v>12</v>
      </c>
      <c r="AE875" s="1">
        <v>11</v>
      </c>
      <c r="AF875" s="1">
        <v>0.8</v>
      </c>
      <c r="AG875" s="1">
        <v>0.88</v>
      </c>
      <c r="AH875" s="1">
        <v>0</v>
      </c>
      <c r="AI875" s="1">
        <v>0</v>
      </c>
      <c r="AJ875" s="1">
        <f t="shared" si="73"/>
        <v>0</v>
      </c>
      <c r="AK875" s="1">
        <f>C83</f>
        <v>0</v>
      </c>
      <c r="AL875" s="1">
        <f>C89</f>
        <v>0</v>
      </c>
      <c r="AM875" s="1">
        <f t="shared" si="74"/>
        <v>0</v>
      </c>
      <c r="AN875" s="1">
        <f t="shared" si="75"/>
        <v>0</v>
      </c>
      <c r="AO875" s="1">
        <f t="shared" si="76"/>
        <v>0</v>
      </c>
      <c r="AP875" t="b" cm="1">
        <f t="array" ref="AP875">INDEX($AU$8:$BB$25,6*(R875-1)+MATCH(AB875,$AS$8:$AS$13,0),MATCH(O875,$AU$7:$BB$7,0))</f>
        <v>1</v>
      </c>
    </row>
    <row r="876" spans="15:42" ht="14.25" x14ac:dyDescent="0.45">
      <c r="O876" s="43" t="s">
        <v>35</v>
      </c>
      <c r="P876" s="43">
        <v>3</v>
      </c>
      <c r="Q876" s="43">
        <v>6</v>
      </c>
      <c r="R876" s="43">
        <v>2</v>
      </c>
      <c r="S876" s="45"/>
      <c r="T876" t="b">
        <f>(S875+S876+S877)=T4</f>
        <v>0</v>
      </c>
      <c r="X876" s="1">
        <f t="shared" si="77"/>
        <v>0</v>
      </c>
      <c r="Y876" s="48">
        <v>0</v>
      </c>
      <c r="AA876" s="1">
        <v>1</v>
      </c>
      <c r="AB876" s="1" t="s">
        <v>14</v>
      </c>
      <c r="AC876" s="1" t="s">
        <v>20</v>
      </c>
      <c r="AD876" s="1">
        <v>12</v>
      </c>
      <c r="AE876" s="1">
        <v>11</v>
      </c>
      <c r="AF876" s="1">
        <v>0.8</v>
      </c>
      <c r="AG876" s="1">
        <v>0.88</v>
      </c>
      <c r="AH876" s="1">
        <v>0</v>
      </c>
      <c r="AI876" s="1">
        <v>0</v>
      </c>
      <c r="AJ876" s="1">
        <f t="shared" si="73"/>
        <v>0</v>
      </c>
      <c r="AK876" s="1">
        <f>D83</f>
        <v>0</v>
      </c>
      <c r="AL876" s="1">
        <f>D89</f>
        <v>0</v>
      </c>
      <c r="AM876" s="1">
        <f t="shared" si="74"/>
        <v>0</v>
      </c>
      <c r="AN876" s="1">
        <f t="shared" si="75"/>
        <v>0</v>
      </c>
      <c r="AO876" s="1">
        <f t="shared" si="76"/>
        <v>0</v>
      </c>
      <c r="AP876" t="b" cm="1">
        <f t="array" ref="AP876">INDEX($AU$8:$BB$25,6*(R876-1)+MATCH(AB876,$AS$8:$AS$13,0),MATCH(O876,$AU$7:$BB$7,0))</f>
        <v>1</v>
      </c>
    </row>
    <row r="877" spans="15:42" ht="14.25" x14ac:dyDescent="0.45">
      <c r="O877" s="43" t="s">
        <v>35</v>
      </c>
      <c r="P877" s="43">
        <v>3</v>
      </c>
      <c r="Q877" s="43">
        <v>6</v>
      </c>
      <c r="R877" s="43">
        <v>3</v>
      </c>
      <c r="S877" s="45"/>
      <c r="T877" t="b">
        <f>(S875+S876+S877)=T4</f>
        <v>0</v>
      </c>
      <c r="X877" s="1">
        <f t="shared" si="77"/>
        <v>0</v>
      </c>
      <c r="Y877" s="48">
        <v>0</v>
      </c>
      <c r="AA877" s="1">
        <v>1</v>
      </c>
      <c r="AB877" s="1" t="s">
        <v>14</v>
      </c>
      <c r="AC877" s="1" t="s">
        <v>20</v>
      </c>
      <c r="AD877" s="1">
        <v>12</v>
      </c>
      <c r="AE877" s="1">
        <v>11</v>
      </c>
      <c r="AF877" s="1">
        <v>0.8</v>
      </c>
      <c r="AG877" s="1">
        <v>0.88</v>
      </c>
      <c r="AH877" s="1">
        <v>0</v>
      </c>
      <c r="AI877" s="1">
        <v>0</v>
      </c>
      <c r="AJ877" s="1">
        <f t="shared" si="73"/>
        <v>0</v>
      </c>
      <c r="AK877" s="1">
        <f>E83</f>
        <v>0</v>
      </c>
      <c r="AL877" s="1">
        <f>E89</f>
        <v>0</v>
      </c>
      <c r="AM877" s="1">
        <f t="shared" si="74"/>
        <v>0</v>
      </c>
      <c r="AN877" s="1">
        <f t="shared" si="75"/>
        <v>0</v>
      </c>
      <c r="AO877" s="1">
        <f t="shared" si="76"/>
        <v>0</v>
      </c>
      <c r="AP877" t="b" cm="1">
        <f t="array" ref="AP877">INDEX($AU$8:$BB$25,6*(R877-1)+MATCH(AB877,$AS$8:$AS$13,0),MATCH(O877,$AU$7:$BB$7,0))</f>
        <v>1</v>
      </c>
    </row>
    <row r="878" spans="15:42" ht="14.25" x14ac:dyDescent="0.45">
      <c r="O878" s="43" t="s">
        <v>35</v>
      </c>
      <c r="P878" s="43">
        <v>3</v>
      </c>
      <c r="Q878" s="43">
        <v>7</v>
      </c>
      <c r="R878" s="43">
        <v>1</v>
      </c>
      <c r="S878" s="45"/>
      <c r="T878" t="b">
        <f>(S878+S879+S880)=T4</f>
        <v>0</v>
      </c>
      <c r="X878" s="1">
        <f t="shared" si="77"/>
        <v>0</v>
      </c>
      <c r="Y878" s="48">
        <v>0</v>
      </c>
      <c r="AA878" s="1">
        <v>3</v>
      </c>
      <c r="AB878" s="1" t="s">
        <v>13</v>
      </c>
      <c r="AC878" s="1" t="s">
        <v>19</v>
      </c>
      <c r="AD878" s="1">
        <v>24</v>
      </c>
      <c r="AE878" s="1">
        <v>21</v>
      </c>
      <c r="AF878" s="1">
        <v>0.8</v>
      </c>
      <c r="AG878" s="1">
        <v>0.86</v>
      </c>
      <c r="AH878" s="1">
        <v>0</v>
      </c>
      <c r="AI878" s="1">
        <v>0</v>
      </c>
      <c r="AJ878" s="1">
        <f t="shared" si="73"/>
        <v>0</v>
      </c>
      <c r="AK878" s="1">
        <f>C82</f>
        <v>0</v>
      </c>
      <c r="AL878" s="1">
        <f>C88</f>
        <v>0</v>
      </c>
      <c r="AM878" s="1">
        <f t="shared" si="74"/>
        <v>0</v>
      </c>
      <c r="AN878" s="1">
        <f t="shared" si="75"/>
        <v>0</v>
      </c>
      <c r="AO878" s="1">
        <f t="shared" si="76"/>
        <v>0</v>
      </c>
      <c r="AP878" t="b" cm="1">
        <f t="array" ref="AP878">INDEX($AU$8:$BB$25,6*(R878-1)+MATCH(AB878,$AS$8:$AS$13,0),MATCH(O878,$AU$7:$BB$7,0))</f>
        <v>1</v>
      </c>
    </row>
    <row r="879" spans="15:42" ht="14.25" x14ac:dyDescent="0.45">
      <c r="O879" s="43" t="s">
        <v>35</v>
      </c>
      <c r="P879" s="43">
        <v>3</v>
      </c>
      <c r="Q879" s="43">
        <v>7</v>
      </c>
      <c r="R879" s="43">
        <v>2</v>
      </c>
      <c r="S879" s="45"/>
      <c r="T879" t="b">
        <f>(S878+S879+S880)=T4</f>
        <v>0</v>
      </c>
      <c r="X879" s="1">
        <f t="shared" si="77"/>
        <v>0</v>
      </c>
      <c r="Y879" s="48">
        <v>0</v>
      </c>
      <c r="AA879" s="1">
        <v>3</v>
      </c>
      <c r="AB879" s="1" t="s">
        <v>13</v>
      </c>
      <c r="AC879" s="1" t="s">
        <v>19</v>
      </c>
      <c r="AD879" s="1">
        <v>24</v>
      </c>
      <c r="AE879" s="1">
        <v>21</v>
      </c>
      <c r="AF879" s="1">
        <v>0.8</v>
      </c>
      <c r="AG879" s="1">
        <v>0.86</v>
      </c>
      <c r="AH879" s="1">
        <v>0</v>
      </c>
      <c r="AI879" s="1">
        <v>0</v>
      </c>
      <c r="AJ879" s="1">
        <f t="shared" si="73"/>
        <v>0</v>
      </c>
      <c r="AK879" s="1">
        <f>D82</f>
        <v>0</v>
      </c>
      <c r="AL879" s="1">
        <f>D88</f>
        <v>0</v>
      </c>
      <c r="AM879" s="1">
        <f t="shared" si="74"/>
        <v>0</v>
      </c>
      <c r="AN879" s="1">
        <f t="shared" si="75"/>
        <v>0</v>
      </c>
      <c r="AO879" s="1">
        <f t="shared" si="76"/>
        <v>0</v>
      </c>
      <c r="AP879" t="b" cm="1">
        <f t="array" ref="AP879">INDEX($AU$8:$BB$25,6*(R879-1)+MATCH(AB879,$AS$8:$AS$13,0),MATCH(O879,$AU$7:$BB$7,0))</f>
        <v>1</v>
      </c>
    </row>
    <row r="880" spans="15:42" ht="14.25" x14ac:dyDescent="0.45">
      <c r="O880" s="43" t="s">
        <v>35</v>
      </c>
      <c r="P880" s="43">
        <v>3</v>
      </c>
      <c r="Q880" s="43">
        <v>7</v>
      </c>
      <c r="R880" s="43">
        <v>3</v>
      </c>
      <c r="S880" s="45"/>
      <c r="T880" t="b">
        <f>(S878+S879+S880)=T4</f>
        <v>0</v>
      </c>
      <c r="X880" s="1">
        <f t="shared" si="77"/>
        <v>0</v>
      </c>
      <c r="Y880" s="48">
        <v>0</v>
      </c>
      <c r="AA880" s="1">
        <v>3</v>
      </c>
      <c r="AB880" s="1" t="s">
        <v>13</v>
      </c>
      <c r="AC880" s="1" t="s">
        <v>19</v>
      </c>
      <c r="AD880" s="1">
        <v>24</v>
      </c>
      <c r="AE880" s="1">
        <v>21</v>
      </c>
      <c r="AF880" s="1">
        <v>0.8</v>
      </c>
      <c r="AG880" s="1">
        <v>0.86</v>
      </c>
      <c r="AH880" s="1">
        <v>0</v>
      </c>
      <c r="AI880" s="1">
        <v>0</v>
      </c>
      <c r="AJ880" s="1">
        <f t="shared" si="73"/>
        <v>0</v>
      </c>
      <c r="AK880" s="1">
        <f>E82</f>
        <v>0</v>
      </c>
      <c r="AL880" s="1">
        <f>E88</f>
        <v>0</v>
      </c>
      <c r="AM880" s="1">
        <f t="shared" si="74"/>
        <v>0</v>
      </c>
      <c r="AN880" s="1">
        <f t="shared" si="75"/>
        <v>0</v>
      </c>
      <c r="AO880" s="1">
        <f t="shared" si="76"/>
        <v>0</v>
      </c>
      <c r="AP880" t="b" cm="1">
        <f t="array" ref="AP880">INDEX($AU$8:$BB$25,6*(R880-1)+MATCH(AB880,$AS$8:$AS$13,0),MATCH(O880,$AU$7:$BB$7,0))</f>
        <v>1</v>
      </c>
    </row>
    <row r="881" spans="15:42" ht="14.25" x14ac:dyDescent="0.45">
      <c r="O881" s="43" t="s">
        <v>35</v>
      </c>
      <c r="P881" s="43">
        <v>3</v>
      </c>
      <c r="Q881" s="43">
        <v>8</v>
      </c>
      <c r="R881" s="43">
        <v>1</v>
      </c>
      <c r="S881" s="45"/>
      <c r="T881" t="b">
        <f>(S881+S882+S883)=T4</f>
        <v>0</v>
      </c>
      <c r="X881" s="1">
        <f t="shared" si="77"/>
        <v>0</v>
      </c>
      <c r="Y881" s="48">
        <v>0</v>
      </c>
      <c r="AA881" s="1">
        <v>5</v>
      </c>
      <c r="AB881" s="1" t="s">
        <v>13</v>
      </c>
      <c r="AC881" s="1" t="s">
        <v>19</v>
      </c>
      <c r="AD881" s="1">
        <v>19</v>
      </c>
      <c r="AE881" s="1">
        <v>13</v>
      </c>
      <c r="AF881" s="1">
        <v>0.8</v>
      </c>
      <c r="AG881" s="1">
        <v>0.86</v>
      </c>
      <c r="AH881" s="1">
        <v>0</v>
      </c>
      <c r="AI881" s="1">
        <v>0</v>
      </c>
      <c r="AJ881" s="1">
        <f t="shared" si="73"/>
        <v>0</v>
      </c>
      <c r="AK881" s="1">
        <f>C82</f>
        <v>0</v>
      </c>
      <c r="AL881" s="1">
        <f>C88</f>
        <v>0</v>
      </c>
      <c r="AM881" s="1">
        <f t="shared" si="74"/>
        <v>0</v>
      </c>
      <c r="AN881" s="1">
        <f t="shared" si="75"/>
        <v>0</v>
      </c>
      <c r="AO881" s="1">
        <f t="shared" si="76"/>
        <v>0</v>
      </c>
      <c r="AP881" t="b" cm="1">
        <f t="array" ref="AP881">INDEX($AU$8:$BB$25,6*(R881-1)+MATCH(AB881,$AS$8:$AS$13,0),MATCH(O881,$AU$7:$BB$7,0))</f>
        <v>1</v>
      </c>
    </row>
    <row r="882" spans="15:42" ht="14.25" x14ac:dyDescent="0.45">
      <c r="O882" s="43" t="s">
        <v>35</v>
      </c>
      <c r="P882" s="43">
        <v>3</v>
      </c>
      <c r="Q882" s="43">
        <v>8</v>
      </c>
      <c r="R882" s="43">
        <v>2</v>
      </c>
      <c r="S882" s="45"/>
      <c r="T882" t="b">
        <f>(S881+S882+S883)=T4</f>
        <v>0</v>
      </c>
      <c r="X882" s="1">
        <f t="shared" si="77"/>
        <v>0</v>
      </c>
      <c r="Y882" s="48">
        <v>0</v>
      </c>
      <c r="AA882" s="1">
        <v>5</v>
      </c>
      <c r="AB882" s="1" t="s">
        <v>13</v>
      </c>
      <c r="AC882" s="1" t="s">
        <v>19</v>
      </c>
      <c r="AD882" s="1">
        <v>19</v>
      </c>
      <c r="AE882" s="1">
        <v>13</v>
      </c>
      <c r="AF882" s="1">
        <v>0.8</v>
      </c>
      <c r="AG882" s="1">
        <v>0.86</v>
      </c>
      <c r="AH882" s="1">
        <v>0</v>
      </c>
      <c r="AI882" s="1">
        <v>0</v>
      </c>
      <c r="AJ882" s="1">
        <f t="shared" si="73"/>
        <v>0</v>
      </c>
      <c r="AK882" s="1">
        <f>D82</f>
        <v>0</v>
      </c>
      <c r="AL882" s="1">
        <f>D88</f>
        <v>0</v>
      </c>
      <c r="AM882" s="1">
        <f t="shared" si="74"/>
        <v>0</v>
      </c>
      <c r="AN882" s="1">
        <f t="shared" si="75"/>
        <v>0</v>
      </c>
      <c r="AO882" s="1">
        <f t="shared" si="76"/>
        <v>0</v>
      </c>
      <c r="AP882" t="b" cm="1">
        <f t="array" ref="AP882">INDEX($AU$8:$BB$25,6*(R882-1)+MATCH(AB882,$AS$8:$AS$13,0),MATCH(O882,$AU$7:$BB$7,0))</f>
        <v>1</v>
      </c>
    </row>
    <row r="883" spans="15:42" ht="14.25" x14ac:dyDescent="0.45">
      <c r="O883" s="43" t="s">
        <v>35</v>
      </c>
      <c r="P883" s="43">
        <v>3</v>
      </c>
      <c r="Q883" s="43">
        <v>8</v>
      </c>
      <c r="R883" s="43">
        <v>3</v>
      </c>
      <c r="S883" s="45"/>
      <c r="T883" t="b">
        <f>(S881+S882+S883)=T4</f>
        <v>0</v>
      </c>
      <c r="X883" s="1">
        <f t="shared" si="77"/>
        <v>0</v>
      </c>
      <c r="Y883" s="48">
        <v>0</v>
      </c>
      <c r="AA883" s="1">
        <v>5</v>
      </c>
      <c r="AB883" s="1" t="s">
        <v>13</v>
      </c>
      <c r="AC883" s="1" t="s">
        <v>19</v>
      </c>
      <c r="AD883" s="1">
        <v>19</v>
      </c>
      <c r="AE883" s="1">
        <v>13</v>
      </c>
      <c r="AF883" s="1">
        <v>0.8</v>
      </c>
      <c r="AG883" s="1">
        <v>0.86</v>
      </c>
      <c r="AH883" s="1">
        <v>0</v>
      </c>
      <c r="AI883" s="1">
        <v>0</v>
      </c>
      <c r="AJ883" s="1">
        <f t="shared" si="73"/>
        <v>0</v>
      </c>
      <c r="AK883" s="1">
        <f>E82</f>
        <v>0</v>
      </c>
      <c r="AL883" s="1">
        <f>E88</f>
        <v>0</v>
      </c>
      <c r="AM883" s="1">
        <f t="shared" si="74"/>
        <v>0</v>
      </c>
      <c r="AN883" s="1">
        <f t="shared" si="75"/>
        <v>0</v>
      </c>
      <c r="AO883" s="1">
        <f t="shared" si="76"/>
        <v>0</v>
      </c>
      <c r="AP883" t="b" cm="1">
        <f t="array" ref="AP883">INDEX($AU$8:$BB$25,6*(R883-1)+MATCH(AB883,$AS$8:$AS$13,0),MATCH(O883,$AU$7:$BB$7,0))</f>
        <v>1</v>
      </c>
    </row>
    <row r="884" spans="15:42" ht="14.25" x14ac:dyDescent="0.45">
      <c r="O884" s="43" t="s">
        <v>35</v>
      </c>
      <c r="P884" s="43">
        <v>3</v>
      </c>
      <c r="Q884" s="43">
        <v>9</v>
      </c>
      <c r="R884" s="43">
        <v>1</v>
      </c>
      <c r="S884" s="45"/>
      <c r="T884" t="b">
        <f>(S884+S885+S886)=T4</f>
        <v>0</v>
      </c>
      <c r="X884" s="1">
        <f t="shared" si="77"/>
        <v>0</v>
      </c>
      <c r="Y884" s="48">
        <v>0</v>
      </c>
      <c r="AA884" s="1">
        <v>3</v>
      </c>
      <c r="AB884" s="1" t="s">
        <v>14</v>
      </c>
      <c r="AC884" s="1" t="s">
        <v>20</v>
      </c>
      <c r="AD884" s="1">
        <v>15</v>
      </c>
      <c r="AE884" s="1">
        <v>13</v>
      </c>
      <c r="AF884" s="1">
        <v>0.8</v>
      </c>
      <c r="AG884" s="1">
        <v>0.88</v>
      </c>
      <c r="AH884" s="1">
        <v>0</v>
      </c>
      <c r="AI884" s="1">
        <v>0</v>
      </c>
      <c r="AJ884" s="1">
        <f t="shared" si="73"/>
        <v>0</v>
      </c>
      <c r="AK884" s="1">
        <f>C83</f>
        <v>0</v>
      </c>
      <c r="AL884" s="1">
        <f>C89</f>
        <v>0</v>
      </c>
      <c r="AM884" s="1">
        <f t="shared" si="74"/>
        <v>0</v>
      </c>
      <c r="AN884" s="1">
        <f t="shared" si="75"/>
        <v>0</v>
      </c>
      <c r="AO884" s="1">
        <f t="shared" si="76"/>
        <v>0</v>
      </c>
      <c r="AP884" t="b" cm="1">
        <f t="array" ref="AP884">INDEX($AU$8:$BB$25,6*(R884-1)+MATCH(AB884,$AS$8:$AS$13,0),MATCH(O884,$AU$7:$BB$7,0))</f>
        <v>1</v>
      </c>
    </row>
    <row r="885" spans="15:42" ht="14.25" x14ac:dyDescent="0.45">
      <c r="O885" s="43" t="s">
        <v>35</v>
      </c>
      <c r="P885" s="43">
        <v>3</v>
      </c>
      <c r="Q885" s="43">
        <v>9</v>
      </c>
      <c r="R885" s="43">
        <v>2</v>
      </c>
      <c r="S885" s="45"/>
      <c r="T885" t="b">
        <f>(S884+S885+S886)=T4</f>
        <v>0</v>
      </c>
      <c r="X885" s="1">
        <f t="shared" si="77"/>
        <v>0</v>
      </c>
      <c r="Y885" s="48">
        <v>0</v>
      </c>
      <c r="AA885" s="1">
        <v>3</v>
      </c>
      <c r="AB885" s="1" t="s">
        <v>14</v>
      </c>
      <c r="AC885" s="1" t="s">
        <v>20</v>
      </c>
      <c r="AD885" s="1">
        <v>15</v>
      </c>
      <c r="AE885" s="1">
        <v>13</v>
      </c>
      <c r="AF885" s="1">
        <v>0.8</v>
      </c>
      <c r="AG885" s="1">
        <v>0.88</v>
      </c>
      <c r="AH885" s="1">
        <v>0</v>
      </c>
      <c r="AI885" s="1">
        <v>0</v>
      </c>
      <c r="AJ885" s="1">
        <f t="shared" si="73"/>
        <v>0</v>
      </c>
      <c r="AK885" s="1">
        <f>D83</f>
        <v>0</v>
      </c>
      <c r="AL885" s="1">
        <f>D89</f>
        <v>0</v>
      </c>
      <c r="AM885" s="1">
        <f t="shared" si="74"/>
        <v>0</v>
      </c>
      <c r="AN885" s="1">
        <f t="shared" si="75"/>
        <v>0</v>
      </c>
      <c r="AO885" s="1">
        <f t="shared" si="76"/>
        <v>0</v>
      </c>
      <c r="AP885" t="b" cm="1">
        <f t="array" ref="AP885">INDEX($AU$8:$BB$25,6*(R885-1)+MATCH(AB885,$AS$8:$AS$13,0),MATCH(O885,$AU$7:$BB$7,0))</f>
        <v>1</v>
      </c>
    </row>
    <row r="886" spans="15:42" ht="14.25" x14ac:dyDescent="0.45">
      <c r="O886" s="43" t="s">
        <v>35</v>
      </c>
      <c r="P886" s="43">
        <v>3</v>
      </c>
      <c r="Q886" s="43">
        <v>9</v>
      </c>
      <c r="R886" s="43">
        <v>3</v>
      </c>
      <c r="S886" s="45"/>
      <c r="T886" t="b">
        <f>(S884+S885+S886)=T4</f>
        <v>0</v>
      </c>
      <c r="X886" s="1">
        <f t="shared" si="77"/>
        <v>0</v>
      </c>
      <c r="Y886" s="48">
        <v>0</v>
      </c>
      <c r="AA886" s="1">
        <v>3</v>
      </c>
      <c r="AB886" s="1" t="s">
        <v>14</v>
      </c>
      <c r="AC886" s="1" t="s">
        <v>20</v>
      </c>
      <c r="AD886" s="1">
        <v>15</v>
      </c>
      <c r="AE886" s="1">
        <v>13</v>
      </c>
      <c r="AF886" s="1">
        <v>0.8</v>
      </c>
      <c r="AG886" s="1">
        <v>0.88</v>
      </c>
      <c r="AH886" s="1">
        <v>0</v>
      </c>
      <c r="AI886" s="1">
        <v>0</v>
      </c>
      <c r="AJ886" s="1">
        <f t="shared" si="73"/>
        <v>0</v>
      </c>
      <c r="AK886" s="1">
        <f>E83</f>
        <v>0</v>
      </c>
      <c r="AL886" s="1">
        <f>E89</f>
        <v>0</v>
      </c>
      <c r="AM886" s="1">
        <f t="shared" si="74"/>
        <v>0</v>
      </c>
      <c r="AN886" s="1">
        <f t="shared" si="75"/>
        <v>0</v>
      </c>
      <c r="AO886" s="1">
        <f t="shared" si="76"/>
        <v>0</v>
      </c>
      <c r="AP886" t="b" cm="1">
        <f t="array" ref="AP886">INDEX($AU$8:$BB$25,6*(R886-1)+MATCH(AB886,$AS$8:$AS$13,0),MATCH(O886,$AU$7:$BB$7,0))</f>
        <v>1</v>
      </c>
    </row>
    <row r="887" spans="15:42" ht="14.25" x14ac:dyDescent="0.45">
      <c r="O887" s="43" t="s">
        <v>35</v>
      </c>
      <c r="P887" s="43">
        <v>3</v>
      </c>
      <c r="Q887" s="43">
        <v>10</v>
      </c>
      <c r="R887" s="43">
        <v>1</v>
      </c>
      <c r="S887" s="45"/>
      <c r="T887" t="b">
        <f>(S887+S888+S889)=T4</f>
        <v>0</v>
      </c>
      <c r="X887" s="1">
        <f t="shared" si="77"/>
        <v>0</v>
      </c>
      <c r="Y887" s="48">
        <v>0</v>
      </c>
      <c r="AA887" s="1">
        <v>5</v>
      </c>
      <c r="AB887" s="1" t="s">
        <v>14</v>
      </c>
      <c r="AC887" s="1" t="s">
        <v>20</v>
      </c>
      <c r="AD887" s="1">
        <v>24</v>
      </c>
      <c r="AE887" s="1">
        <v>20</v>
      </c>
      <c r="AF887" s="1">
        <v>0.8</v>
      </c>
      <c r="AG887" s="1">
        <v>0.88</v>
      </c>
      <c r="AH887" s="1">
        <v>0</v>
      </c>
      <c r="AI887" s="1">
        <v>0</v>
      </c>
      <c r="AJ887" s="1">
        <f t="shared" si="73"/>
        <v>0</v>
      </c>
      <c r="AK887" s="1">
        <f>C83</f>
        <v>0</v>
      </c>
      <c r="AL887" s="1">
        <f>C89</f>
        <v>0</v>
      </c>
      <c r="AM887" s="1">
        <f t="shared" si="74"/>
        <v>0</v>
      </c>
      <c r="AN887" s="1">
        <f t="shared" si="75"/>
        <v>0</v>
      </c>
      <c r="AO887" s="1">
        <f t="shared" si="76"/>
        <v>0</v>
      </c>
      <c r="AP887" t="b" cm="1">
        <f t="array" ref="AP887">INDEX($AU$8:$BB$25,6*(R887-1)+MATCH(AB887,$AS$8:$AS$13,0),MATCH(O887,$AU$7:$BB$7,0))</f>
        <v>1</v>
      </c>
    </row>
    <row r="888" spans="15:42" ht="14.25" x14ac:dyDescent="0.45">
      <c r="O888" s="43" t="s">
        <v>35</v>
      </c>
      <c r="P888" s="43">
        <v>3</v>
      </c>
      <c r="Q888" s="43">
        <v>10</v>
      </c>
      <c r="R888" s="43">
        <v>2</v>
      </c>
      <c r="S888" s="45"/>
      <c r="T888" t="b">
        <f>(S887+S888+S889)=T4</f>
        <v>0</v>
      </c>
      <c r="X888" s="1">
        <f t="shared" si="77"/>
        <v>0</v>
      </c>
      <c r="Y888" s="48">
        <v>0</v>
      </c>
      <c r="AA888" s="1">
        <v>5</v>
      </c>
      <c r="AB888" s="1" t="s">
        <v>14</v>
      </c>
      <c r="AC888" s="1" t="s">
        <v>20</v>
      </c>
      <c r="AD888" s="1">
        <v>24</v>
      </c>
      <c r="AE888" s="1">
        <v>20</v>
      </c>
      <c r="AF888" s="1">
        <v>0.8</v>
      </c>
      <c r="AG888" s="1">
        <v>0.88</v>
      </c>
      <c r="AH888" s="1">
        <v>0</v>
      </c>
      <c r="AI888" s="1">
        <v>0</v>
      </c>
      <c r="AJ888" s="1">
        <f t="shared" si="73"/>
        <v>0</v>
      </c>
      <c r="AK888" s="1">
        <f>D83</f>
        <v>0</v>
      </c>
      <c r="AL888" s="1">
        <f>D89</f>
        <v>0</v>
      </c>
      <c r="AM888" s="1">
        <f t="shared" si="74"/>
        <v>0</v>
      </c>
      <c r="AN888" s="1">
        <f t="shared" si="75"/>
        <v>0</v>
      </c>
      <c r="AO888" s="1">
        <f t="shared" si="76"/>
        <v>0</v>
      </c>
      <c r="AP888" t="b" cm="1">
        <f t="array" ref="AP888">INDEX($AU$8:$BB$25,6*(R888-1)+MATCH(AB888,$AS$8:$AS$13,0),MATCH(O888,$AU$7:$BB$7,0))</f>
        <v>1</v>
      </c>
    </row>
    <row r="889" spans="15:42" ht="14.25" x14ac:dyDescent="0.45">
      <c r="O889" s="43" t="s">
        <v>35</v>
      </c>
      <c r="P889" s="43">
        <v>3</v>
      </c>
      <c r="Q889" s="43">
        <v>10</v>
      </c>
      <c r="R889" s="43">
        <v>3</v>
      </c>
      <c r="S889" s="45"/>
      <c r="T889" t="b">
        <f>(S887+S888+S889)=T4</f>
        <v>0</v>
      </c>
      <c r="X889" s="1">
        <f t="shared" si="77"/>
        <v>0</v>
      </c>
      <c r="Y889" s="48">
        <v>0</v>
      </c>
      <c r="AA889" s="1">
        <v>5</v>
      </c>
      <c r="AB889" s="1" t="s">
        <v>14</v>
      </c>
      <c r="AC889" s="1" t="s">
        <v>20</v>
      </c>
      <c r="AD889" s="1">
        <v>24</v>
      </c>
      <c r="AE889" s="1">
        <v>20</v>
      </c>
      <c r="AF889" s="1">
        <v>0.8</v>
      </c>
      <c r="AG889" s="1">
        <v>0.88</v>
      </c>
      <c r="AH889" s="1">
        <v>0</v>
      </c>
      <c r="AI889" s="1">
        <v>0</v>
      </c>
      <c r="AJ889" s="1">
        <f t="shared" si="73"/>
        <v>0</v>
      </c>
      <c r="AK889" s="1">
        <f>E83</f>
        <v>0</v>
      </c>
      <c r="AL889" s="1">
        <f>E89</f>
        <v>0</v>
      </c>
      <c r="AM889" s="1">
        <f t="shared" si="74"/>
        <v>0</v>
      </c>
      <c r="AN889" s="1">
        <f t="shared" si="75"/>
        <v>0</v>
      </c>
      <c r="AO889" s="1">
        <f t="shared" si="76"/>
        <v>0</v>
      </c>
      <c r="AP889" t="b" cm="1">
        <f t="array" ref="AP889">INDEX($AU$8:$BB$25,6*(R889-1)+MATCH(AB889,$AS$8:$AS$13,0),MATCH(O889,$AU$7:$BB$7,0))</f>
        <v>1</v>
      </c>
    </row>
    <row r="890" spans="15:42" ht="14.25" x14ac:dyDescent="0.45">
      <c r="O890" s="43" t="s">
        <v>35</v>
      </c>
      <c r="P890" s="43">
        <v>3</v>
      </c>
      <c r="Q890" s="43">
        <v>11</v>
      </c>
      <c r="R890" s="43">
        <v>1</v>
      </c>
      <c r="S890" s="45"/>
      <c r="T890" t="b">
        <f>(S890+S891+S892)=T4</f>
        <v>0</v>
      </c>
      <c r="X890" s="1">
        <f t="shared" si="77"/>
        <v>0</v>
      </c>
      <c r="Y890" s="48">
        <v>0</v>
      </c>
      <c r="AA890" s="1">
        <v>3</v>
      </c>
      <c r="AB890" s="1" t="s">
        <v>15</v>
      </c>
      <c r="AC890" s="1" t="s">
        <v>21</v>
      </c>
      <c r="AD890" s="1">
        <v>17</v>
      </c>
      <c r="AE890" s="1">
        <v>15</v>
      </c>
      <c r="AF890" s="1">
        <v>0.76</v>
      </c>
      <c r="AG890" s="1">
        <v>0.84</v>
      </c>
      <c r="AH890" s="1">
        <v>0</v>
      </c>
      <c r="AI890" s="1">
        <v>0</v>
      </c>
      <c r="AJ890" s="1">
        <f t="shared" si="73"/>
        <v>0</v>
      </c>
      <c r="AK890" s="1">
        <f>C84</f>
        <v>0</v>
      </c>
      <c r="AL890" s="1">
        <f>C90</f>
        <v>0</v>
      </c>
      <c r="AM890" s="1">
        <f t="shared" si="74"/>
        <v>0</v>
      </c>
      <c r="AN890" s="1">
        <f t="shared" si="75"/>
        <v>0</v>
      </c>
      <c r="AO890" s="1">
        <f t="shared" si="76"/>
        <v>0</v>
      </c>
      <c r="AP890" t="b" cm="1">
        <f t="array" ref="AP890">INDEX($AU$8:$BB$25,6*(R890-1)+MATCH(AB890,$AS$8:$AS$13,0),MATCH(O890,$AU$7:$BB$7,0))</f>
        <v>1</v>
      </c>
    </row>
    <row r="891" spans="15:42" ht="14.25" x14ac:dyDescent="0.45">
      <c r="O891" s="43" t="s">
        <v>35</v>
      </c>
      <c r="P891" s="43">
        <v>3</v>
      </c>
      <c r="Q891" s="43">
        <v>11</v>
      </c>
      <c r="R891" s="43">
        <v>2</v>
      </c>
      <c r="S891" s="45"/>
      <c r="T891" t="b">
        <f>(S890+S891+S892)=T4</f>
        <v>0</v>
      </c>
      <c r="X891" s="1">
        <f t="shared" si="77"/>
        <v>0</v>
      </c>
      <c r="Y891" s="48">
        <v>0</v>
      </c>
      <c r="AA891" s="1">
        <v>3</v>
      </c>
      <c r="AB891" s="1" t="s">
        <v>15</v>
      </c>
      <c r="AC891" s="1" t="s">
        <v>21</v>
      </c>
      <c r="AD891" s="1">
        <v>17</v>
      </c>
      <c r="AE891" s="1">
        <v>15</v>
      </c>
      <c r="AF891" s="1">
        <v>0.76</v>
      </c>
      <c r="AG891" s="1">
        <v>0.84</v>
      </c>
      <c r="AH891" s="1">
        <v>0</v>
      </c>
      <c r="AI891" s="1">
        <v>0</v>
      </c>
      <c r="AJ891" s="1">
        <f t="shared" si="73"/>
        <v>0</v>
      </c>
      <c r="AK891" s="1">
        <f>D84</f>
        <v>0</v>
      </c>
      <c r="AL891" s="1">
        <f>D90</f>
        <v>0</v>
      </c>
      <c r="AM891" s="1">
        <f t="shared" si="74"/>
        <v>0</v>
      </c>
      <c r="AN891" s="1">
        <f t="shared" si="75"/>
        <v>0</v>
      </c>
      <c r="AO891" s="1">
        <f t="shared" si="76"/>
        <v>0</v>
      </c>
      <c r="AP891" t="b" cm="1">
        <f t="array" ref="AP891">INDEX($AU$8:$BB$25,6*(R891-1)+MATCH(AB891,$AS$8:$AS$13,0),MATCH(O891,$AU$7:$BB$7,0))</f>
        <v>1</v>
      </c>
    </row>
    <row r="892" spans="15:42" ht="14.25" x14ac:dyDescent="0.45">
      <c r="O892" s="43" t="s">
        <v>35</v>
      </c>
      <c r="P892" s="43">
        <v>3</v>
      </c>
      <c r="Q892" s="43">
        <v>11</v>
      </c>
      <c r="R892" s="43">
        <v>3</v>
      </c>
      <c r="S892" s="45"/>
      <c r="T892" t="b">
        <f>(S890+S891+S892)=T4</f>
        <v>0</v>
      </c>
      <c r="X892" s="1">
        <f t="shared" si="77"/>
        <v>0</v>
      </c>
      <c r="Y892" s="48">
        <v>0</v>
      </c>
      <c r="AA892" s="1">
        <v>3</v>
      </c>
      <c r="AB892" s="1" t="s">
        <v>15</v>
      </c>
      <c r="AC892" s="1" t="s">
        <v>21</v>
      </c>
      <c r="AD892" s="1">
        <v>17</v>
      </c>
      <c r="AE892" s="1">
        <v>15</v>
      </c>
      <c r="AF892" s="1">
        <v>0.76</v>
      </c>
      <c r="AG892" s="1">
        <v>0.84</v>
      </c>
      <c r="AH892" s="1">
        <v>0</v>
      </c>
      <c r="AI892" s="1">
        <v>0</v>
      </c>
      <c r="AJ892" s="1">
        <f t="shared" si="73"/>
        <v>0</v>
      </c>
      <c r="AK892" s="1">
        <f>E84</f>
        <v>0</v>
      </c>
      <c r="AL892" s="1">
        <f>E90</f>
        <v>0</v>
      </c>
      <c r="AM892" s="1">
        <f t="shared" si="74"/>
        <v>0</v>
      </c>
      <c r="AN892" s="1">
        <f t="shared" si="75"/>
        <v>0</v>
      </c>
      <c r="AO892" s="1">
        <f t="shared" si="76"/>
        <v>0</v>
      </c>
      <c r="AP892" t="b" cm="1">
        <f t="array" ref="AP892">INDEX($AU$8:$BB$25,6*(R892-1)+MATCH(AB892,$AS$8:$AS$13,0),MATCH(O892,$AU$7:$BB$7,0))</f>
        <v>1</v>
      </c>
    </row>
    <row r="893" spans="15:42" ht="14.25" x14ac:dyDescent="0.45">
      <c r="O893" s="43" t="s">
        <v>35</v>
      </c>
      <c r="P893" s="43">
        <v>3</v>
      </c>
      <c r="Q893" s="43">
        <v>12</v>
      </c>
      <c r="R893" s="43">
        <v>1</v>
      </c>
      <c r="S893" s="45"/>
      <c r="T893" t="b">
        <f>(S893+S894+S895)=T4</f>
        <v>0</v>
      </c>
      <c r="X893" s="1">
        <f t="shared" si="77"/>
        <v>0</v>
      </c>
      <c r="Y893" s="48">
        <v>0</v>
      </c>
      <c r="AA893" s="1">
        <v>10</v>
      </c>
      <c r="AB893" s="1" t="s">
        <v>15</v>
      </c>
      <c r="AC893" s="1" t="s">
        <v>21</v>
      </c>
      <c r="AD893" s="1">
        <v>18</v>
      </c>
      <c r="AE893" s="1">
        <v>13</v>
      </c>
      <c r="AF893" s="1">
        <v>0.76</v>
      </c>
      <c r="AG893" s="1">
        <v>0.84</v>
      </c>
      <c r="AH893" s="1">
        <v>0</v>
      </c>
      <c r="AI893" s="1">
        <v>0</v>
      </c>
      <c r="AJ893" s="1">
        <f t="shared" si="73"/>
        <v>0</v>
      </c>
      <c r="AK893" s="1">
        <f>C84</f>
        <v>0</v>
      </c>
      <c r="AL893" s="1">
        <f>C90</f>
        <v>0</v>
      </c>
      <c r="AM893" s="1">
        <f t="shared" si="74"/>
        <v>0</v>
      </c>
      <c r="AN893" s="1">
        <f t="shared" si="75"/>
        <v>0</v>
      </c>
      <c r="AO893" s="1">
        <f t="shared" si="76"/>
        <v>0</v>
      </c>
      <c r="AP893" t="b" cm="1">
        <f t="array" ref="AP893">INDEX($AU$8:$BB$25,6*(R893-1)+MATCH(AB893,$AS$8:$AS$13,0),MATCH(O893,$AU$7:$BB$7,0))</f>
        <v>1</v>
      </c>
    </row>
    <row r="894" spans="15:42" ht="14.25" x14ac:dyDescent="0.45">
      <c r="O894" s="43" t="s">
        <v>35</v>
      </c>
      <c r="P894" s="43">
        <v>3</v>
      </c>
      <c r="Q894" s="43">
        <v>12</v>
      </c>
      <c r="R894" s="43">
        <v>2</v>
      </c>
      <c r="S894" s="45"/>
      <c r="T894" t="b">
        <f>(S893+S894+S895)=T4</f>
        <v>0</v>
      </c>
      <c r="X894" s="1">
        <f t="shared" si="77"/>
        <v>0</v>
      </c>
      <c r="Y894" s="48">
        <v>0</v>
      </c>
      <c r="AA894" s="1">
        <v>10</v>
      </c>
      <c r="AB894" s="1" t="s">
        <v>15</v>
      </c>
      <c r="AC894" s="1" t="s">
        <v>21</v>
      </c>
      <c r="AD894" s="1">
        <v>18</v>
      </c>
      <c r="AE894" s="1">
        <v>13</v>
      </c>
      <c r="AF894" s="1">
        <v>0.76</v>
      </c>
      <c r="AG894" s="1">
        <v>0.84</v>
      </c>
      <c r="AH894" s="1">
        <v>0</v>
      </c>
      <c r="AI894" s="1">
        <v>0</v>
      </c>
      <c r="AJ894" s="1">
        <f t="shared" si="73"/>
        <v>0</v>
      </c>
      <c r="AK894" s="1">
        <f>D84</f>
        <v>0</v>
      </c>
      <c r="AL894" s="1">
        <f>D90</f>
        <v>0</v>
      </c>
      <c r="AM894" s="1">
        <f t="shared" si="74"/>
        <v>0</v>
      </c>
      <c r="AN894" s="1">
        <f t="shared" si="75"/>
        <v>0</v>
      </c>
      <c r="AO894" s="1">
        <f t="shared" si="76"/>
        <v>0</v>
      </c>
      <c r="AP894" t="b" cm="1">
        <f t="array" ref="AP894">INDEX($AU$8:$BB$25,6*(R894-1)+MATCH(AB894,$AS$8:$AS$13,0),MATCH(O894,$AU$7:$BB$7,0))</f>
        <v>1</v>
      </c>
    </row>
    <row r="895" spans="15:42" ht="14.25" x14ac:dyDescent="0.45">
      <c r="O895" s="43" t="s">
        <v>35</v>
      </c>
      <c r="P895" s="43">
        <v>3</v>
      </c>
      <c r="Q895" s="43">
        <v>12</v>
      </c>
      <c r="R895" s="43">
        <v>3</v>
      </c>
      <c r="S895" s="45"/>
      <c r="T895" t="b">
        <f>(S893+S894+S895)=T4</f>
        <v>0</v>
      </c>
      <c r="X895" s="1">
        <f t="shared" si="77"/>
        <v>0</v>
      </c>
      <c r="Y895" s="48">
        <v>0</v>
      </c>
      <c r="AA895" s="1">
        <v>10</v>
      </c>
      <c r="AB895" s="1" t="s">
        <v>15</v>
      </c>
      <c r="AC895" s="1" t="s">
        <v>21</v>
      </c>
      <c r="AD895" s="1">
        <v>18</v>
      </c>
      <c r="AE895" s="1">
        <v>13</v>
      </c>
      <c r="AF895" s="1">
        <v>0.76</v>
      </c>
      <c r="AG895" s="1">
        <v>0.84</v>
      </c>
      <c r="AH895" s="1">
        <v>0</v>
      </c>
      <c r="AI895" s="1">
        <v>0</v>
      </c>
      <c r="AJ895" s="1">
        <f t="shared" si="73"/>
        <v>0</v>
      </c>
      <c r="AK895" s="1">
        <f>E84</f>
        <v>0</v>
      </c>
      <c r="AL895" s="1">
        <f>E90</f>
        <v>0</v>
      </c>
      <c r="AM895" s="1">
        <f t="shared" si="74"/>
        <v>0</v>
      </c>
      <c r="AN895" s="1">
        <f t="shared" si="75"/>
        <v>0</v>
      </c>
      <c r="AO895" s="1">
        <f t="shared" si="76"/>
        <v>0</v>
      </c>
      <c r="AP895" t="b" cm="1">
        <f t="array" ref="AP895">INDEX($AU$8:$BB$25,6*(R895-1)+MATCH(AB895,$AS$8:$AS$13,0),MATCH(O895,$AU$7:$BB$7,0))</f>
        <v>1</v>
      </c>
    </row>
    <row r="896" spans="15:42" ht="14.25" x14ac:dyDescent="0.45">
      <c r="O896" s="43" t="s">
        <v>35</v>
      </c>
      <c r="P896" s="43">
        <v>3</v>
      </c>
      <c r="Q896" s="43">
        <v>13</v>
      </c>
      <c r="R896" s="43">
        <v>1</v>
      </c>
      <c r="S896" s="45"/>
      <c r="T896" t="b">
        <f>(S896+S897+S898)=T4</f>
        <v>0</v>
      </c>
      <c r="X896" s="1">
        <f t="shared" si="77"/>
        <v>0</v>
      </c>
      <c r="Y896" s="48">
        <v>0</v>
      </c>
      <c r="AA896" s="1">
        <v>2</v>
      </c>
      <c r="AB896" s="1" t="s">
        <v>16</v>
      </c>
      <c r="AC896" s="1" t="s">
        <v>22</v>
      </c>
      <c r="AD896" s="1">
        <v>20</v>
      </c>
      <c r="AE896" s="1">
        <v>18</v>
      </c>
      <c r="AF896" s="1">
        <v>0.8</v>
      </c>
      <c r="AG896" s="1">
        <v>0.9</v>
      </c>
      <c r="AH896" s="1">
        <v>0</v>
      </c>
      <c r="AI896" s="1">
        <v>0</v>
      </c>
      <c r="AJ896" s="1">
        <f t="shared" si="73"/>
        <v>0</v>
      </c>
      <c r="AK896" s="1">
        <f>C85</f>
        <v>0</v>
      </c>
      <c r="AL896" s="1">
        <f>C91</f>
        <v>0</v>
      </c>
      <c r="AM896" s="1">
        <f t="shared" si="74"/>
        <v>0</v>
      </c>
      <c r="AN896" s="1">
        <f t="shared" si="75"/>
        <v>0</v>
      </c>
      <c r="AO896" s="1">
        <f t="shared" si="76"/>
        <v>0</v>
      </c>
      <c r="AP896" t="b" cm="1">
        <f t="array" ref="AP896">INDEX($AU$8:$BB$25,6*(R896-1)+MATCH(AB896,$AS$8:$AS$13,0),MATCH(O896,$AU$7:$BB$7,0))</f>
        <v>1</v>
      </c>
    </row>
    <row r="897" spans="15:42" ht="14.25" x14ac:dyDescent="0.45">
      <c r="O897" s="43" t="s">
        <v>35</v>
      </c>
      <c r="P897" s="43">
        <v>3</v>
      </c>
      <c r="Q897" s="43">
        <v>13</v>
      </c>
      <c r="R897" s="43">
        <v>2</v>
      </c>
      <c r="S897" s="45"/>
      <c r="T897" t="b">
        <f>(S896+S897+S898)=T4</f>
        <v>0</v>
      </c>
      <c r="X897" s="1">
        <f t="shared" si="77"/>
        <v>0</v>
      </c>
      <c r="Y897" s="48">
        <v>0</v>
      </c>
      <c r="AA897" s="1">
        <v>2</v>
      </c>
      <c r="AB897" s="1" t="s">
        <v>16</v>
      </c>
      <c r="AC897" s="1" t="s">
        <v>22</v>
      </c>
      <c r="AD897" s="1">
        <v>20</v>
      </c>
      <c r="AE897" s="1">
        <v>18</v>
      </c>
      <c r="AF897" s="1">
        <v>0.8</v>
      </c>
      <c r="AG897" s="1">
        <v>0.9</v>
      </c>
      <c r="AH897" s="1">
        <v>0</v>
      </c>
      <c r="AI897" s="1">
        <v>0</v>
      </c>
      <c r="AJ897" s="1">
        <f t="shared" si="73"/>
        <v>0</v>
      </c>
      <c r="AK897" s="1">
        <f>D85</f>
        <v>0</v>
      </c>
      <c r="AL897" s="1">
        <f>D91</f>
        <v>0</v>
      </c>
      <c r="AM897" s="1">
        <f t="shared" si="74"/>
        <v>0</v>
      </c>
      <c r="AN897" s="1">
        <f t="shared" si="75"/>
        <v>0</v>
      </c>
      <c r="AO897" s="1">
        <f t="shared" si="76"/>
        <v>0</v>
      </c>
      <c r="AP897" t="b" cm="1">
        <f t="array" ref="AP897">INDEX($AU$8:$BB$25,6*(R897-1)+MATCH(AB897,$AS$8:$AS$13,0),MATCH(O897,$AU$7:$BB$7,0))</f>
        <v>1</v>
      </c>
    </row>
    <row r="898" spans="15:42" ht="14.25" x14ac:dyDescent="0.45">
      <c r="O898" s="43" t="s">
        <v>35</v>
      </c>
      <c r="P898" s="43">
        <v>3</v>
      </c>
      <c r="Q898" s="43">
        <v>13</v>
      </c>
      <c r="R898" s="43">
        <v>3</v>
      </c>
      <c r="S898" s="45"/>
      <c r="T898" t="b">
        <f>(S896+S897+S898)=T4</f>
        <v>0</v>
      </c>
      <c r="X898" s="1">
        <f t="shared" si="77"/>
        <v>0</v>
      </c>
      <c r="Y898" s="48">
        <v>0</v>
      </c>
      <c r="AA898" s="1">
        <v>2</v>
      </c>
      <c r="AB898" s="1" t="s">
        <v>16</v>
      </c>
      <c r="AC898" s="1" t="s">
        <v>22</v>
      </c>
      <c r="AD898" s="1">
        <v>20</v>
      </c>
      <c r="AE898" s="1">
        <v>18</v>
      </c>
      <c r="AF898" s="1">
        <v>0.8</v>
      </c>
      <c r="AG898" s="1">
        <v>0.9</v>
      </c>
      <c r="AH898" s="1">
        <v>0</v>
      </c>
      <c r="AI898" s="1">
        <v>0</v>
      </c>
      <c r="AJ898" s="1">
        <f t="shared" si="73"/>
        <v>0</v>
      </c>
      <c r="AK898" s="1">
        <f>E85</f>
        <v>0</v>
      </c>
      <c r="AL898" s="1">
        <f>E91</f>
        <v>0</v>
      </c>
      <c r="AM898" s="1">
        <f t="shared" si="74"/>
        <v>0</v>
      </c>
      <c r="AN898" s="1">
        <f t="shared" si="75"/>
        <v>0</v>
      </c>
      <c r="AO898" s="1">
        <f t="shared" si="76"/>
        <v>0</v>
      </c>
      <c r="AP898" t="b" cm="1">
        <f t="array" ref="AP898">INDEX($AU$8:$BB$25,6*(R898-1)+MATCH(AB898,$AS$8:$AS$13,0),MATCH(O898,$AU$7:$BB$7,0))</f>
        <v>1</v>
      </c>
    </row>
    <row r="899" spans="15:42" ht="14.25" x14ac:dyDescent="0.45">
      <c r="O899" s="43" t="s">
        <v>35</v>
      </c>
      <c r="P899" s="43">
        <v>3</v>
      </c>
      <c r="Q899" s="43">
        <v>14</v>
      </c>
      <c r="R899" s="43">
        <v>1</v>
      </c>
      <c r="S899" s="45"/>
      <c r="T899" t="b">
        <f>(S899+S900+S901)=T4</f>
        <v>0</v>
      </c>
      <c r="X899" s="1">
        <f t="shared" si="77"/>
        <v>0</v>
      </c>
      <c r="Y899" s="48">
        <v>0</v>
      </c>
      <c r="AA899" s="1">
        <v>2</v>
      </c>
      <c r="AB899" s="1" t="s">
        <v>13</v>
      </c>
      <c r="AC899" s="1" t="s">
        <v>19</v>
      </c>
      <c r="AD899" s="1">
        <v>12</v>
      </c>
      <c r="AE899" s="1">
        <v>11</v>
      </c>
      <c r="AF899" s="1">
        <v>0.8</v>
      </c>
      <c r="AG899" s="1">
        <v>0.86</v>
      </c>
      <c r="AH899" s="1">
        <v>0</v>
      </c>
      <c r="AI899" s="1">
        <v>0</v>
      </c>
      <c r="AJ899" s="1">
        <f t="shared" si="73"/>
        <v>0</v>
      </c>
      <c r="AK899" s="1">
        <f>C82</f>
        <v>0</v>
      </c>
      <c r="AL899" s="1">
        <f>C88</f>
        <v>0</v>
      </c>
      <c r="AM899" s="1">
        <f t="shared" si="74"/>
        <v>0</v>
      </c>
      <c r="AN899" s="1">
        <f t="shared" si="75"/>
        <v>0</v>
      </c>
      <c r="AO899" s="1">
        <f t="shared" si="76"/>
        <v>0</v>
      </c>
      <c r="AP899" t="b" cm="1">
        <f t="array" ref="AP899">INDEX($AU$8:$BB$25,6*(R899-1)+MATCH(AB899,$AS$8:$AS$13,0),MATCH(O899,$AU$7:$BB$7,0))</f>
        <v>1</v>
      </c>
    </row>
    <row r="900" spans="15:42" ht="14.25" x14ac:dyDescent="0.45">
      <c r="O900" s="43" t="s">
        <v>35</v>
      </c>
      <c r="P900" s="43">
        <v>3</v>
      </c>
      <c r="Q900" s="43">
        <v>14</v>
      </c>
      <c r="R900" s="43">
        <v>2</v>
      </c>
      <c r="S900" s="45"/>
      <c r="T900" t="b">
        <f>(S899+S900+S901)=T4</f>
        <v>0</v>
      </c>
      <c r="X900" s="1">
        <f t="shared" si="77"/>
        <v>0</v>
      </c>
      <c r="Y900" s="48">
        <v>0</v>
      </c>
      <c r="AA900" s="1">
        <v>2</v>
      </c>
      <c r="AB900" s="1" t="s">
        <v>13</v>
      </c>
      <c r="AC900" s="1" t="s">
        <v>19</v>
      </c>
      <c r="AD900" s="1">
        <v>12</v>
      </c>
      <c r="AE900" s="1">
        <v>11</v>
      </c>
      <c r="AF900" s="1">
        <v>0.8</v>
      </c>
      <c r="AG900" s="1">
        <v>0.86</v>
      </c>
      <c r="AH900" s="1">
        <v>0</v>
      </c>
      <c r="AI900" s="1">
        <v>0</v>
      </c>
      <c r="AJ900" s="1">
        <f t="shared" si="73"/>
        <v>0</v>
      </c>
      <c r="AK900" s="1">
        <f>D82</f>
        <v>0</v>
      </c>
      <c r="AL900" s="1">
        <f>D88</f>
        <v>0</v>
      </c>
      <c r="AM900" s="1">
        <f t="shared" si="74"/>
        <v>0</v>
      </c>
      <c r="AN900" s="1">
        <f t="shared" si="75"/>
        <v>0</v>
      </c>
      <c r="AO900" s="1">
        <f t="shared" si="76"/>
        <v>0</v>
      </c>
      <c r="AP900" t="b" cm="1">
        <f t="array" ref="AP900">INDEX($AU$8:$BB$25,6*(R900-1)+MATCH(AB900,$AS$8:$AS$13,0),MATCH(O900,$AU$7:$BB$7,0))</f>
        <v>1</v>
      </c>
    </row>
    <row r="901" spans="15:42" ht="14.25" x14ac:dyDescent="0.45">
      <c r="O901" s="43" t="s">
        <v>35</v>
      </c>
      <c r="P901" s="43">
        <v>3</v>
      </c>
      <c r="Q901" s="43">
        <v>14</v>
      </c>
      <c r="R901" s="43">
        <v>3</v>
      </c>
      <c r="S901" s="45"/>
      <c r="T901" t="b">
        <f>(S899+S900+S901)=T4</f>
        <v>0</v>
      </c>
      <c r="X901" s="1">
        <f t="shared" si="77"/>
        <v>0</v>
      </c>
      <c r="Y901" s="48">
        <v>0</v>
      </c>
      <c r="AA901" s="1">
        <v>2</v>
      </c>
      <c r="AB901" s="1" t="s">
        <v>13</v>
      </c>
      <c r="AC901" s="1" t="s">
        <v>19</v>
      </c>
      <c r="AD901" s="1">
        <v>12</v>
      </c>
      <c r="AE901" s="1">
        <v>11</v>
      </c>
      <c r="AF901" s="1">
        <v>0.8</v>
      </c>
      <c r="AG901" s="1">
        <v>0.86</v>
      </c>
      <c r="AH901" s="1">
        <v>0</v>
      </c>
      <c r="AI901" s="1">
        <v>0</v>
      </c>
      <c r="AJ901" s="1">
        <f t="shared" si="73"/>
        <v>0</v>
      </c>
      <c r="AK901" s="1">
        <f>E82</f>
        <v>0</v>
      </c>
      <c r="AL901" s="1">
        <f>E88</f>
        <v>0</v>
      </c>
      <c r="AM901" s="1">
        <f t="shared" si="74"/>
        <v>0</v>
      </c>
      <c r="AN901" s="1">
        <f t="shared" si="75"/>
        <v>0</v>
      </c>
      <c r="AO901" s="1">
        <f t="shared" si="76"/>
        <v>0</v>
      </c>
      <c r="AP901" t="b" cm="1">
        <f t="array" ref="AP901">INDEX($AU$8:$BB$25,6*(R901-1)+MATCH(AB901,$AS$8:$AS$13,0),MATCH(O901,$AU$7:$BB$7,0))</f>
        <v>1</v>
      </c>
    </row>
    <row r="902" spans="15:42" ht="14.25" x14ac:dyDescent="0.45">
      <c r="O902" s="43" t="s">
        <v>35</v>
      </c>
      <c r="P902" s="43">
        <v>3</v>
      </c>
      <c r="Q902" s="43">
        <v>15</v>
      </c>
      <c r="R902" s="43">
        <v>1</v>
      </c>
      <c r="S902" s="45"/>
      <c r="T902" t="b">
        <f>(S902+S903+S904)=T4</f>
        <v>0</v>
      </c>
      <c r="X902" s="1">
        <f t="shared" si="77"/>
        <v>0</v>
      </c>
      <c r="Y902" s="48">
        <v>0</v>
      </c>
      <c r="AA902" s="1">
        <v>2</v>
      </c>
      <c r="AB902" s="1" t="s">
        <v>14</v>
      </c>
      <c r="AC902" s="1" t="s">
        <v>20</v>
      </c>
      <c r="AD902" s="1">
        <v>11</v>
      </c>
      <c r="AE902" s="1">
        <v>10</v>
      </c>
      <c r="AF902" s="1">
        <v>0.8</v>
      </c>
      <c r="AG902" s="1">
        <v>0.88</v>
      </c>
      <c r="AH902" s="1">
        <v>0</v>
      </c>
      <c r="AI902" s="1">
        <v>0</v>
      </c>
      <c r="AJ902" s="1">
        <f t="shared" si="73"/>
        <v>0</v>
      </c>
      <c r="AK902" s="1">
        <f>C83</f>
        <v>0</v>
      </c>
      <c r="AL902" s="1">
        <f>C89</f>
        <v>0</v>
      </c>
      <c r="AM902" s="1">
        <f t="shared" si="74"/>
        <v>0</v>
      </c>
      <c r="AN902" s="1">
        <f t="shared" si="75"/>
        <v>0</v>
      </c>
      <c r="AO902" s="1">
        <f t="shared" si="76"/>
        <v>0</v>
      </c>
      <c r="AP902" t="b" cm="1">
        <f t="array" ref="AP902">INDEX($AU$8:$BB$25,6*(R902-1)+MATCH(AB902,$AS$8:$AS$13,0),MATCH(O902,$AU$7:$BB$7,0))</f>
        <v>1</v>
      </c>
    </row>
    <row r="903" spans="15:42" ht="14.25" x14ac:dyDescent="0.45">
      <c r="O903" s="43" t="s">
        <v>35</v>
      </c>
      <c r="P903" s="43">
        <v>3</v>
      </c>
      <c r="Q903" s="43">
        <v>15</v>
      </c>
      <c r="R903" s="43">
        <v>2</v>
      </c>
      <c r="S903" s="45"/>
      <c r="T903" t="b">
        <f>(S902+S903+S904)=T4</f>
        <v>0</v>
      </c>
      <c r="X903" s="1">
        <f t="shared" si="77"/>
        <v>0</v>
      </c>
      <c r="Y903" s="48">
        <v>0</v>
      </c>
      <c r="AA903" s="1">
        <v>2</v>
      </c>
      <c r="AB903" s="1" t="s">
        <v>14</v>
      </c>
      <c r="AC903" s="1" t="s">
        <v>20</v>
      </c>
      <c r="AD903" s="1">
        <v>11</v>
      </c>
      <c r="AE903" s="1">
        <v>10</v>
      </c>
      <c r="AF903" s="1">
        <v>0.8</v>
      </c>
      <c r="AG903" s="1">
        <v>0.88</v>
      </c>
      <c r="AH903" s="1">
        <v>0</v>
      </c>
      <c r="AI903" s="1">
        <v>0</v>
      </c>
      <c r="AJ903" s="1">
        <f t="shared" si="73"/>
        <v>0</v>
      </c>
      <c r="AK903" s="1">
        <f>D83</f>
        <v>0</v>
      </c>
      <c r="AL903" s="1">
        <f>D89</f>
        <v>0</v>
      </c>
      <c r="AM903" s="1">
        <f t="shared" si="74"/>
        <v>0</v>
      </c>
      <c r="AN903" s="1">
        <f t="shared" si="75"/>
        <v>0</v>
      </c>
      <c r="AO903" s="1">
        <f t="shared" si="76"/>
        <v>0</v>
      </c>
      <c r="AP903" t="b" cm="1">
        <f t="array" ref="AP903">INDEX($AU$8:$BB$25,6*(R903-1)+MATCH(AB903,$AS$8:$AS$13,0),MATCH(O903,$AU$7:$BB$7,0))</f>
        <v>1</v>
      </c>
    </row>
    <row r="904" spans="15:42" ht="14.25" x14ac:dyDescent="0.45">
      <c r="O904" s="43" t="s">
        <v>35</v>
      </c>
      <c r="P904" s="43">
        <v>3</v>
      </c>
      <c r="Q904" s="43">
        <v>15</v>
      </c>
      <c r="R904" s="43">
        <v>3</v>
      </c>
      <c r="S904" s="45"/>
      <c r="T904" t="b">
        <f>(S902+S903+S904)=T4</f>
        <v>0</v>
      </c>
      <c r="X904" s="1">
        <f t="shared" si="77"/>
        <v>0</v>
      </c>
      <c r="Y904" s="48">
        <v>0</v>
      </c>
      <c r="AA904" s="1">
        <v>2</v>
      </c>
      <c r="AB904" s="1" t="s">
        <v>14</v>
      </c>
      <c r="AC904" s="1" t="s">
        <v>20</v>
      </c>
      <c r="AD904" s="1">
        <v>11</v>
      </c>
      <c r="AE904" s="1">
        <v>10</v>
      </c>
      <c r="AF904" s="1">
        <v>0.8</v>
      </c>
      <c r="AG904" s="1">
        <v>0.88</v>
      </c>
      <c r="AH904" s="1">
        <v>0</v>
      </c>
      <c r="AI904" s="1">
        <v>0</v>
      </c>
      <c r="AJ904" s="1">
        <f t="shared" si="73"/>
        <v>0</v>
      </c>
      <c r="AK904" s="1">
        <f>E83</f>
        <v>0</v>
      </c>
      <c r="AL904" s="1">
        <f>E89</f>
        <v>0</v>
      </c>
      <c r="AM904" s="1">
        <f t="shared" si="74"/>
        <v>0</v>
      </c>
      <c r="AN904" s="1">
        <f t="shared" si="75"/>
        <v>0</v>
      </c>
      <c r="AO904" s="1">
        <f t="shared" si="76"/>
        <v>0</v>
      </c>
      <c r="AP904" t="b" cm="1">
        <f t="array" ref="AP904">INDEX($AU$8:$BB$25,6*(R904-1)+MATCH(AB904,$AS$8:$AS$13,0),MATCH(O904,$AU$7:$BB$7,0))</f>
        <v>1</v>
      </c>
    </row>
    <row r="905" spans="15:42" ht="14.25" x14ac:dyDescent="0.45">
      <c r="O905" s="43" t="s">
        <v>35</v>
      </c>
      <c r="P905" s="43">
        <v>3</v>
      </c>
      <c r="Q905" s="43">
        <v>16</v>
      </c>
      <c r="R905" s="43">
        <v>1</v>
      </c>
      <c r="S905" s="45"/>
      <c r="T905" t="b">
        <f>(S905+S906+S907)=T4</f>
        <v>0</v>
      </c>
      <c r="X905" s="1">
        <f t="shared" si="77"/>
        <v>0</v>
      </c>
      <c r="Y905" s="48">
        <v>0</v>
      </c>
      <c r="AA905" s="1">
        <v>4</v>
      </c>
      <c r="AB905" s="1" t="s">
        <v>13</v>
      </c>
      <c r="AC905" s="1" t="s">
        <v>19</v>
      </c>
      <c r="AD905" s="1">
        <v>25</v>
      </c>
      <c r="AE905" s="1">
        <v>20</v>
      </c>
      <c r="AF905" s="1">
        <v>0.8</v>
      </c>
      <c r="AG905" s="1">
        <v>0.86</v>
      </c>
      <c r="AH905" s="1">
        <v>0</v>
      </c>
      <c r="AI905" s="1">
        <v>0</v>
      </c>
      <c r="AJ905" s="1">
        <f t="shared" ref="AJ905:AJ968" si="78">SUMIFS(AH$8:AH$1039,$O$8:$O$1039,O905,$AB$8:$AB$1039,AB905,$R$8:$R$1039,R905,$AA$8:$AA$1039,"&lt;="&amp;AA905)</f>
        <v>0</v>
      </c>
      <c r="AK905" s="1">
        <f>C82</f>
        <v>0</v>
      </c>
      <c r="AL905" s="1">
        <f>C88</f>
        <v>0</v>
      </c>
      <c r="AM905" s="1">
        <f t="shared" ref="AM905:AM968" si="79">MAX(0,AJ905-AK905)</f>
        <v>0</v>
      </c>
      <c r="AN905" s="1">
        <f t="shared" ref="AN905:AN968" si="80">IF(AM905=0,AH905,IF(AM905&gt;=AH905,0,AH905-AM905))</f>
        <v>0</v>
      </c>
      <c r="AO905" s="1">
        <f t="shared" ref="AO905:AO968" si="81">IF(AM905&gt;=AH905,AI905,AI905*AM905/AH905)</f>
        <v>0</v>
      </c>
      <c r="AP905" t="b" cm="1">
        <f t="array" ref="AP905">INDEX($AU$8:$BB$25,6*(R905-1)+MATCH(AB905,$AS$8:$AS$13,0),MATCH(O905,$AU$7:$BB$7,0))</f>
        <v>1</v>
      </c>
    </row>
    <row r="906" spans="15:42" ht="14.25" x14ac:dyDescent="0.45">
      <c r="O906" s="43" t="s">
        <v>35</v>
      </c>
      <c r="P906" s="43">
        <v>3</v>
      </c>
      <c r="Q906" s="43">
        <v>16</v>
      </c>
      <c r="R906" s="43">
        <v>2</v>
      </c>
      <c r="S906" s="45"/>
      <c r="T906" t="b">
        <f>(S905+S906+S907)=T4</f>
        <v>0</v>
      </c>
      <c r="X906" s="1">
        <f t="shared" si="77"/>
        <v>0</v>
      </c>
      <c r="Y906" s="48">
        <v>0</v>
      </c>
      <c r="AA906" s="1">
        <v>4</v>
      </c>
      <c r="AB906" s="1" t="s">
        <v>13</v>
      </c>
      <c r="AC906" s="1" t="s">
        <v>19</v>
      </c>
      <c r="AD906" s="1">
        <v>25</v>
      </c>
      <c r="AE906" s="1">
        <v>20</v>
      </c>
      <c r="AF906" s="1">
        <v>0.8</v>
      </c>
      <c r="AG906" s="1">
        <v>0.86</v>
      </c>
      <c r="AH906" s="1">
        <v>0</v>
      </c>
      <c r="AI906" s="1">
        <v>0</v>
      </c>
      <c r="AJ906" s="1">
        <f t="shared" si="78"/>
        <v>0</v>
      </c>
      <c r="AK906" s="1">
        <f>D82</f>
        <v>0</v>
      </c>
      <c r="AL906" s="1">
        <f>D88</f>
        <v>0</v>
      </c>
      <c r="AM906" s="1">
        <f t="shared" si="79"/>
        <v>0</v>
      </c>
      <c r="AN906" s="1">
        <f t="shared" si="80"/>
        <v>0</v>
      </c>
      <c r="AO906" s="1">
        <f t="shared" si="81"/>
        <v>0</v>
      </c>
      <c r="AP906" t="b" cm="1">
        <f t="array" ref="AP906">INDEX($AU$8:$BB$25,6*(R906-1)+MATCH(AB906,$AS$8:$AS$13,0),MATCH(O906,$AU$7:$BB$7,0))</f>
        <v>1</v>
      </c>
    </row>
    <row r="907" spans="15:42" ht="14.25" x14ac:dyDescent="0.45">
      <c r="O907" s="43" t="s">
        <v>35</v>
      </c>
      <c r="P907" s="43">
        <v>3</v>
      </c>
      <c r="Q907" s="43">
        <v>16</v>
      </c>
      <c r="R907" s="43">
        <v>3</v>
      </c>
      <c r="S907" s="45"/>
      <c r="T907" t="b">
        <f>(S905+S906+S907)=T4</f>
        <v>0</v>
      </c>
      <c r="X907" s="1">
        <f t="shared" si="77"/>
        <v>0</v>
      </c>
      <c r="Y907" s="48">
        <v>0</v>
      </c>
      <c r="AA907" s="1">
        <v>4</v>
      </c>
      <c r="AB907" s="1" t="s">
        <v>13</v>
      </c>
      <c r="AC907" s="1" t="s">
        <v>19</v>
      </c>
      <c r="AD907" s="1">
        <v>25</v>
      </c>
      <c r="AE907" s="1">
        <v>20</v>
      </c>
      <c r="AF907" s="1">
        <v>0.8</v>
      </c>
      <c r="AG907" s="1">
        <v>0.86</v>
      </c>
      <c r="AH907" s="1">
        <v>0</v>
      </c>
      <c r="AI907" s="1">
        <v>0</v>
      </c>
      <c r="AJ907" s="1">
        <f t="shared" si="78"/>
        <v>0</v>
      </c>
      <c r="AK907" s="1">
        <f>E82</f>
        <v>0</v>
      </c>
      <c r="AL907" s="1">
        <f>E88</f>
        <v>0</v>
      </c>
      <c r="AM907" s="1">
        <f t="shared" si="79"/>
        <v>0</v>
      </c>
      <c r="AN907" s="1">
        <f t="shared" si="80"/>
        <v>0</v>
      </c>
      <c r="AO907" s="1">
        <f t="shared" si="81"/>
        <v>0</v>
      </c>
      <c r="AP907" t="b" cm="1">
        <f t="array" ref="AP907">INDEX($AU$8:$BB$25,6*(R907-1)+MATCH(AB907,$AS$8:$AS$13,0),MATCH(O907,$AU$7:$BB$7,0))</f>
        <v>1</v>
      </c>
    </row>
    <row r="908" spans="15:42" ht="14.25" x14ac:dyDescent="0.45">
      <c r="O908" s="43" t="s">
        <v>35</v>
      </c>
      <c r="P908" s="43">
        <v>3</v>
      </c>
      <c r="Q908" s="43">
        <v>17</v>
      </c>
      <c r="R908" s="43">
        <v>1</v>
      </c>
      <c r="S908" s="45"/>
      <c r="T908" t="b">
        <f>(S908+S909+S910)=T4</f>
        <v>0</v>
      </c>
      <c r="X908" s="1">
        <f t="shared" si="77"/>
        <v>0</v>
      </c>
      <c r="Y908" s="48">
        <v>0</v>
      </c>
      <c r="AA908" s="1">
        <v>1</v>
      </c>
      <c r="AB908" s="1" t="s">
        <v>16</v>
      </c>
      <c r="AC908" s="1" t="s">
        <v>22</v>
      </c>
      <c r="AD908" s="1">
        <v>14</v>
      </c>
      <c r="AE908" s="1">
        <v>13</v>
      </c>
      <c r="AF908" s="1">
        <v>0.8</v>
      </c>
      <c r="AG908" s="1">
        <v>0.9</v>
      </c>
      <c r="AH908" s="1">
        <v>0</v>
      </c>
      <c r="AI908" s="1">
        <v>0</v>
      </c>
      <c r="AJ908" s="1">
        <f t="shared" si="78"/>
        <v>0</v>
      </c>
      <c r="AK908" s="1">
        <f>C85</f>
        <v>0</v>
      </c>
      <c r="AL908" s="1">
        <f>C91</f>
        <v>0</v>
      </c>
      <c r="AM908" s="1">
        <f t="shared" si="79"/>
        <v>0</v>
      </c>
      <c r="AN908" s="1">
        <f t="shared" si="80"/>
        <v>0</v>
      </c>
      <c r="AO908" s="1">
        <f t="shared" si="81"/>
        <v>0</v>
      </c>
      <c r="AP908" t="b" cm="1">
        <f t="array" ref="AP908">INDEX($AU$8:$BB$25,6*(R908-1)+MATCH(AB908,$AS$8:$AS$13,0),MATCH(O908,$AU$7:$BB$7,0))</f>
        <v>1</v>
      </c>
    </row>
    <row r="909" spans="15:42" ht="14.25" x14ac:dyDescent="0.45">
      <c r="O909" s="43" t="s">
        <v>35</v>
      </c>
      <c r="P909" s="43">
        <v>3</v>
      </c>
      <c r="Q909" s="43">
        <v>17</v>
      </c>
      <c r="R909" s="43">
        <v>2</v>
      </c>
      <c r="S909" s="45"/>
      <c r="T909" t="b">
        <f>(S908+S909+S910)=T4</f>
        <v>0</v>
      </c>
      <c r="X909" s="1">
        <f t="shared" si="77"/>
        <v>0</v>
      </c>
      <c r="Y909" s="48">
        <v>0</v>
      </c>
      <c r="AA909" s="1">
        <v>1</v>
      </c>
      <c r="AB909" s="1" t="s">
        <v>16</v>
      </c>
      <c r="AC909" s="1" t="s">
        <v>22</v>
      </c>
      <c r="AD909" s="1">
        <v>14</v>
      </c>
      <c r="AE909" s="1">
        <v>13</v>
      </c>
      <c r="AF909" s="1">
        <v>0.8</v>
      </c>
      <c r="AG909" s="1">
        <v>0.9</v>
      </c>
      <c r="AH909" s="1">
        <v>0</v>
      </c>
      <c r="AI909" s="1">
        <v>0</v>
      </c>
      <c r="AJ909" s="1">
        <f t="shared" si="78"/>
        <v>0</v>
      </c>
      <c r="AK909" s="1">
        <f>D85</f>
        <v>0</v>
      </c>
      <c r="AL909" s="1">
        <f>D91</f>
        <v>0</v>
      </c>
      <c r="AM909" s="1">
        <f t="shared" si="79"/>
        <v>0</v>
      </c>
      <c r="AN909" s="1">
        <f t="shared" si="80"/>
        <v>0</v>
      </c>
      <c r="AO909" s="1">
        <f t="shared" si="81"/>
        <v>0</v>
      </c>
      <c r="AP909" t="b" cm="1">
        <f t="array" ref="AP909">INDEX($AU$8:$BB$25,6*(R909-1)+MATCH(AB909,$AS$8:$AS$13,0),MATCH(O909,$AU$7:$BB$7,0))</f>
        <v>1</v>
      </c>
    </row>
    <row r="910" spans="15:42" ht="14.25" x14ac:dyDescent="0.45">
      <c r="O910" s="43" t="s">
        <v>35</v>
      </c>
      <c r="P910" s="43">
        <v>3</v>
      </c>
      <c r="Q910" s="43">
        <v>17</v>
      </c>
      <c r="R910" s="43">
        <v>3</v>
      </c>
      <c r="S910" s="45"/>
      <c r="T910" t="b">
        <f>(S908+S909+S910)=T4</f>
        <v>0</v>
      </c>
      <c r="X910" s="1">
        <f t="shared" si="77"/>
        <v>0</v>
      </c>
      <c r="Y910" s="48">
        <v>0</v>
      </c>
      <c r="AA910" s="1">
        <v>1</v>
      </c>
      <c r="AB910" s="1" t="s">
        <v>16</v>
      </c>
      <c r="AC910" s="1" t="s">
        <v>22</v>
      </c>
      <c r="AD910" s="1">
        <v>14</v>
      </c>
      <c r="AE910" s="1">
        <v>13</v>
      </c>
      <c r="AF910" s="1">
        <v>0.8</v>
      </c>
      <c r="AG910" s="1">
        <v>0.9</v>
      </c>
      <c r="AH910" s="1">
        <v>0</v>
      </c>
      <c r="AI910" s="1">
        <v>0</v>
      </c>
      <c r="AJ910" s="1">
        <f t="shared" si="78"/>
        <v>0</v>
      </c>
      <c r="AK910" s="1">
        <f>E85</f>
        <v>0</v>
      </c>
      <c r="AL910" s="1">
        <f>E91</f>
        <v>0</v>
      </c>
      <c r="AM910" s="1">
        <f t="shared" si="79"/>
        <v>0</v>
      </c>
      <c r="AN910" s="1">
        <f t="shared" si="80"/>
        <v>0</v>
      </c>
      <c r="AO910" s="1">
        <f t="shared" si="81"/>
        <v>0</v>
      </c>
      <c r="AP910" t="b" cm="1">
        <f t="array" ref="AP910">INDEX($AU$8:$BB$25,6*(R910-1)+MATCH(AB910,$AS$8:$AS$13,0),MATCH(O910,$AU$7:$BB$7,0))</f>
        <v>1</v>
      </c>
    </row>
    <row r="911" spans="15:42" ht="14.25" x14ac:dyDescent="0.45">
      <c r="O911" s="43" t="s">
        <v>36</v>
      </c>
      <c r="P911" s="43">
        <v>1</v>
      </c>
      <c r="Q911" s="43">
        <v>1</v>
      </c>
      <c r="R911" s="43">
        <v>1</v>
      </c>
      <c r="S911" s="45"/>
      <c r="T911" t="b">
        <f>(S911+S912+S913)=U2</f>
        <v>0</v>
      </c>
      <c r="X911" s="1">
        <v>0</v>
      </c>
      <c r="Y911" s="48">
        <v>0</v>
      </c>
      <c r="AA911" s="1">
        <v>4</v>
      </c>
      <c r="AB911" s="1" t="s">
        <v>14</v>
      </c>
      <c r="AC911" s="1" t="s">
        <v>20</v>
      </c>
      <c r="AD911" s="1">
        <v>14</v>
      </c>
      <c r="AE911" s="1">
        <v>12</v>
      </c>
      <c r="AF911" s="1">
        <v>0.8</v>
      </c>
      <c r="AG911" s="1">
        <v>0.88</v>
      </c>
      <c r="AH911" s="1">
        <v>0</v>
      </c>
      <c r="AI911" s="1">
        <v>0</v>
      </c>
      <c r="AJ911" s="1">
        <f t="shared" si="78"/>
        <v>0</v>
      </c>
      <c r="AK911" s="1">
        <f>C95</f>
        <v>0</v>
      </c>
      <c r="AL911" s="1">
        <f>C101</f>
        <v>0</v>
      </c>
      <c r="AM911" s="1">
        <f t="shared" si="79"/>
        <v>0</v>
      </c>
      <c r="AN911" s="1">
        <f t="shared" si="80"/>
        <v>0</v>
      </c>
      <c r="AO911" s="1">
        <f t="shared" si="81"/>
        <v>0</v>
      </c>
      <c r="AP911" t="b" cm="1">
        <f t="array" ref="AP911">INDEX($AU$8:$BB$25,6*(R911-1)+MATCH(AB911,$AS$8:$AS$13,0),MATCH(O911,$AU$7:$BB$7,0))</f>
        <v>1</v>
      </c>
    </row>
    <row r="912" spans="15:42" ht="14.25" x14ac:dyDescent="0.45">
      <c r="O912" s="43" t="s">
        <v>36</v>
      </c>
      <c r="P912" s="43">
        <v>1</v>
      </c>
      <c r="Q912" s="43">
        <v>1</v>
      </c>
      <c r="R912" s="43">
        <v>2</v>
      </c>
      <c r="S912" s="45"/>
      <c r="T912" t="b">
        <f>(S911+S912+S913)=U2</f>
        <v>0</v>
      </c>
      <c r="X912" s="1">
        <v>0</v>
      </c>
      <c r="Y912" s="48">
        <v>0</v>
      </c>
      <c r="AA912" s="1">
        <v>4</v>
      </c>
      <c r="AB912" s="1" t="s">
        <v>14</v>
      </c>
      <c r="AC912" s="1" t="s">
        <v>20</v>
      </c>
      <c r="AD912" s="1">
        <v>14</v>
      </c>
      <c r="AE912" s="1">
        <v>12</v>
      </c>
      <c r="AF912" s="1">
        <v>0.8</v>
      </c>
      <c r="AG912" s="1">
        <v>0.88</v>
      </c>
      <c r="AH912" s="1">
        <v>0</v>
      </c>
      <c r="AI912" s="1">
        <v>0</v>
      </c>
      <c r="AJ912" s="1">
        <f t="shared" si="78"/>
        <v>0</v>
      </c>
      <c r="AK912" s="1">
        <f>D95</f>
        <v>0</v>
      </c>
      <c r="AL912" s="1">
        <f>D101</f>
        <v>0</v>
      </c>
      <c r="AM912" s="1">
        <f t="shared" si="79"/>
        <v>0</v>
      </c>
      <c r="AN912" s="1">
        <f t="shared" si="80"/>
        <v>0</v>
      </c>
      <c r="AO912" s="1">
        <f t="shared" si="81"/>
        <v>0</v>
      </c>
      <c r="AP912" t="b" cm="1">
        <f t="array" ref="AP912">INDEX($AU$8:$BB$25,6*(R912-1)+MATCH(AB912,$AS$8:$AS$13,0),MATCH(O912,$AU$7:$BB$7,0))</f>
        <v>1</v>
      </c>
    </row>
    <row r="913" spans="15:42" ht="14.25" x14ac:dyDescent="0.45">
      <c r="O913" s="43" t="s">
        <v>36</v>
      </c>
      <c r="P913" s="43">
        <v>1</v>
      </c>
      <c r="Q913" s="43">
        <v>1</v>
      </c>
      <c r="R913" s="43">
        <v>3</v>
      </c>
      <c r="S913" s="45"/>
      <c r="T913" t="b">
        <f>(S911+S912+S913)=U2</f>
        <v>0</v>
      </c>
      <c r="X913" s="1">
        <v>0</v>
      </c>
      <c r="Y913" s="48">
        <v>0</v>
      </c>
      <c r="AA913" s="1">
        <v>4</v>
      </c>
      <c r="AB913" s="1" t="s">
        <v>14</v>
      </c>
      <c r="AC913" s="1" t="s">
        <v>20</v>
      </c>
      <c r="AD913" s="1">
        <v>14</v>
      </c>
      <c r="AE913" s="1">
        <v>12</v>
      </c>
      <c r="AF913" s="1">
        <v>0.8</v>
      </c>
      <c r="AG913" s="1">
        <v>0.88</v>
      </c>
      <c r="AH913" s="1">
        <v>0</v>
      </c>
      <c r="AI913" s="1">
        <v>0</v>
      </c>
      <c r="AJ913" s="1">
        <f t="shared" si="78"/>
        <v>0</v>
      </c>
      <c r="AK913" s="1">
        <f>E95</f>
        <v>0</v>
      </c>
      <c r="AL913" s="1">
        <f>E101</f>
        <v>0</v>
      </c>
      <c r="AM913" s="1">
        <f t="shared" si="79"/>
        <v>0</v>
      </c>
      <c r="AN913" s="1">
        <f t="shared" si="80"/>
        <v>0</v>
      </c>
      <c r="AO913" s="1">
        <f t="shared" si="81"/>
        <v>0</v>
      </c>
      <c r="AP913" t="b" cm="1">
        <f t="array" ref="AP913">INDEX($AU$8:$BB$25,6*(R913-1)+MATCH(AB913,$AS$8:$AS$13,0),MATCH(O913,$AU$7:$BB$7,0))</f>
        <v>1</v>
      </c>
    </row>
    <row r="914" spans="15:42" ht="14.25" x14ac:dyDescent="0.45">
      <c r="O914" s="43" t="s">
        <v>36</v>
      </c>
      <c r="P914" s="43">
        <v>1</v>
      </c>
      <c r="Q914" s="43">
        <v>2</v>
      </c>
      <c r="R914" s="43">
        <v>1</v>
      </c>
      <c r="S914" s="45"/>
      <c r="T914" t="b">
        <f>(S914+S915+S916)=U2</f>
        <v>0</v>
      </c>
      <c r="X914" s="1">
        <f>MAX(S911-S914,0)</f>
        <v>0</v>
      </c>
      <c r="Y914" s="48">
        <v>0</v>
      </c>
      <c r="AA914" s="1">
        <v>10</v>
      </c>
      <c r="AB914" s="1" t="s">
        <v>16</v>
      </c>
      <c r="AC914" s="1" t="s">
        <v>22</v>
      </c>
      <c r="AD914" s="1">
        <v>25</v>
      </c>
      <c r="AE914" s="1">
        <v>21</v>
      </c>
      <c r="AF914" s="1">
        <v>0.8</v>
      </c>
      <c r="AG914" s="1">
        <v>0.9</v>
      </c>
      <c r="AH914" s="1">
        <v>0</v>
      </c>
      <c r="AI914" s="1">
        <v>0</v>
      </c>
      <c r="AJ914" s="1">
        <f t="shared" si="78"/>
        <v>0</v>
      </c>
      <c r="AK914" s="1">
        <f>C97</f>
        <v>0</v>
      </c>
      <c r="AL914" s="1">
        <f>C103</f>
        <v>0</v>
      </c>
      <c r="AM914" s="1">
        <f t="shared" si="79"/>
        <v>0</v>
      </c>
      <c r="AN914" s="1">
        <f t="shared" si="80"/>
        <v>0</v>
      </c>
      <c r="AO914" s="1">
        <f t="shared" si="81"/>
        <v>0</v>
      </c>
      <c r="AP914" t="b" cm="1">
        <f t="array" ref="AP914">INDEX($AU$8:$BB$25,6*(R914-1)+MATCH(AB914,$AS$8:$AS$13,0),MATCH(O914,$AU$7:$BB$7,0))</f>
        <v>1</v>
      </c>
    </row>
    <row r="915" spans="15:42" ht="14.25" x14ac:dyDescent="0.45">
      <c r="O915" s="43" t="s">
        <v>36</v>
      </c>
      <c r="P915" s="43">
        <v>1</v>
      </c>
      <c r="Q915" s="43">
        <v>2</v>
      </c>
      <c r="R915" s="43">
        <v>2</v>
      </c>
      <c r="S915" s="45"/>
      <c r="T915" t="b">
        <f>(S914+S915+S916)=U2</f>
        <v>0</v>
      </c>
      <c r="X915" s="1">
        <f t="shared" ref="X915:X943" si="82">MAX(S912-S915,0)</f>
        <v>0</v>
      </c>
      <c r="Y915" s="48">
        <v>0</v>
      </c>
      <c r="AA915" s="1">
        <v>10</v>
      </c>
      <c r="AB915" s="1" t="s">
        <v>16</v>
      </c>
      <c r="AC915" s="1" t="s">
        <v>22</v>
      </c>
      <c r="AD915" s="1">
        <v>25</v>
      </c>
      <c r="AE915" s="1">
        <v>21</v>
      </c>
      <c r="AF915" s="1">
        <v>0.8</v>
      </c>
      <c r="AG915" s="1">
        <v>0.9</v>
      </c>
      <c r="AH915" s="1">
        <v>0</v>
      </c>
      <c r="AI915" s="1">
        <v>0</v>
      </c>
      <c r="AJ915" s="1">
        <f t="shared" si="78"/>
        <v>0</v>
      </c>
      <c r="AK915" s="1">
        <f>D97</f>
        <v>0</v>
      </c>
      <c r="AL915" s="1">
        <f>D103</f>
        <v>0</v>
      </c>
      <c r="AM915" s="1">
        <f t="shared" si="79"/>
        <v>0</v>
      </c>
      <c r="AN915" s="1">
        <f t="shared" si="80"/>
        <v>0</v>
      </c>
      <c r="AO915" s="1">
        <f t="shared" si="81"/>
        <v>0</v>
      </c>
      <c r="AP915" t="b" cm="1">
        <f t="array" ref="AP915">INDEX($AU$8:$BB$25,6*(R915-1)+MATCH(AB915,$AS$8:$AS$13,0),MATCH(O915,$AU$7:$BB$7,0))</f>
        <v>1</v>
      </c>
    </row>
    <row r="916" spans="15:42" ht="14.25" x14ac:dyDescent="0.45">
      <c r="O916" s="43" t="s">
        <v>36</v>
      </c>
      <c r="P916" s="43">
        <v>1</v>
      </c>
      <c r="Q916" s="43">
        <v>2</v>
      </c>
      <c r="R916" s="43">
        <v>3</v>
      </c>
      <c r="S916" s="45"/>
      <c r="T916" t="b">
        <f>(S914+S915+S916)=U2</f>
        <v>0</v>
      </c>
      <c r="X916" s="1">
        <f t="shared" si="82"/>
        <v>0</v>
      </c>
      <c r="Y916" s="48">
        <v>0</v>
      </c>
      <c r="AA916" s="1">
        <v>10</v>
      </c>
      <c r="AB916" s="1" t="s">
        <v>16</v>
      </c>
      <c r="AC916" s="1" t="s">
        <v>22</v>
      </c>
      <c r="AD916" s="1">
        <v>25</v>
      </c>
      <c r="AE916" s="1">
        <v>21</v>
      </c>
      <c r="AF916" s="1">
        <v>0.8</v>
      </c>
      <c r="AG916" s="1">
        <v>0.9</v>
      </c>
      <c r="AH916" s="1">
        <v>0</v>
      </c>
      <c r="AI916" s="1">
        <v>0</v>
      </c>
      <c r="AJ916" s="1">
        <f t="shared" si="78"/>
        <v>0</v>
      </c>
      <c r="AK916" s="1">
        <f>E97</f>
        <v>0</v>
      </c>
      <c r="AL916" s="1">
        <f>E103</f>
        <v>0</v>
      </c>
      <c r="AM916" s="1">
        <f t="shared" si="79"/>
        <v>0</v>
      </c>
      <c r="AN916" s="1">
        <f t="shared" si="80"/>
        <v>0</v>
      </c>
      <c r="AO916" s="1">
        <f t="shared" si="81"/>
        <v>0</v>
      </c>
      <c r="AP916" t="b" cm="1">
        <f t="array" ref="AP916">INDEX($AU$8:$BB$25,6*(R916-1)+MATCH(AB916,$AS$8:$AS$13,0),MATCH(O916,$AU$7:$BB$7,0))</f>
        <v>1</v>
      </c>
    </row>
    <row r="917" spans="15:42" ht="14.25" x14ac:dyDescent="0.45">
      <c r="O917" s="43" t="s">
        <v>36</v>
      </c>
      <c r="P917" s="43">
        <v>1</v>
      </c>
      <c r="Q917" s="43">
        <v>3</v>
      </c>
      <c r="R917" s="43">
        <v>1</v>
      </c>
      <c r="S917" s="45"/>
      <c r="T917" t="b">
        <f>(S917+S918+S919)=U2</f>
        <v>0</v>
      </c>
      <c r="X917" s="1">
        <f t="shared" si="82"/>
        <v>0</v>
      </c>
      <c r="Y917" s="48">
        <v>0</v>
      </c>
      <c r="AA917" s="1">
        <v>8</v>
      </c>
      <c r="AB917" s="1" t="s">
        <v>16</v>
      </c>
      <c r="AC917" s="1" t="s">
        <v>22</v>
      </c>
      <c r="AD917" s="1">
        <v>27</v>
      </c>
      <c r="AE917" s="1">
        <v>23</v>
      </c>
      <c r="AF917" s="1">
        <v>0.8</v>
      </c>
      <c r="AG917" s="1">
        <v>0.9</v>
      </c>
      <c r="AH917" s="1">
        <v>0</v>
      </c>
      <c r="AI917" s="1">
        <v>0</v>
      </c>
      <c r="AJ917" s="1">
        <f t="shared" si="78"/>
        <v>0</v>
      </c>
      <c r="AK917" s="1">
        <f>C97</f>
        <v>0</v>
      </c>
      <c r="AL917" s="1">
        <f>C103</f>
        <v>0</v>
      </c>
      <c r="AM917" s="1">
        <f t="shared" si="79"/>
        <v>0</v>
      </c>
      <c r="AN917" s="1">
        <f t="shared" si="80"/>
        <v>0</v>
      </c>
      <c r="AO917" s="1">
        <f t="shared" si="81"/>
        <v>0</v>
      </c>
      <c r="AP917" t="b" cm="1">
        <f t="array" ref="AP917">INDEX($AU$8:$BB$25,6*(R917-1)+MATCH(AB917,$AS$8:$AS$13,0),MATCH(O917,$AU$7:$BB$7,0))</f>
        <v>1</v>
      </c>
    </row>
    <row r="918" spans="15:42" ht="14.25" x14ac:dyDescent="0.45">
      <c r="O918" s="43" t="s">
        <v>36</v>
      </c>
      <c r="P918" s="43">
        <v>1</v>
      </c>
      <c r="Q918" s="43">
        <v>3</v>
      </c>
      <c r="R918" s="43">
        <v>2</v>
      </c>
      <c r="S918" s="45"/>
      <c r="T918" t="b">
        <f>(S917+S918+S919)=U2</f>
        <v>0</v>
      </c>
      <c r="X918" s="1">
        <f t="shared" si="82"/>
        <v>0</v>
      </c>
      <c r="Y918" s="48">
        <v>0</v>
      </c>
      <c r="AA918" s="1">
        <v>8</v>
      </c>
      <c r="AB918" s="1" t="s">
        <v>16</v>
      </c>
      <c r="AC918" s="1" t="s">
        <v>22</v>
      </c>
      <c r="AD918" s="1">
        <v>27</v>
      </c>
      <c r="AE918" s="1">
        <v>23</v>
      </c>
      <c r="AF918" s="1">
        <v>0.8</v>
      </c>
      <c r="AG918" s="1">
        <v>0.9</v>
      </c>
      <c r="AH918" s="1">
        <v>0</v>
      </c>
      <c r="AI918" s="1">
        <v>0</v>
      </c>
      <c r="AJ918" s="1">
        <f t="shared" si="78"/>
        <v>0</v>
      </c>
      <c r="AK918" s="1">
        <f>D97</f>
        <v>0</v>
      </c>
      <c r="AL918" s="1">
        <f>D103</f>
        <v>0</v>
      </c>
      <c r="AM918" s="1">
        <f t="shared" si="79"/>
        <v>0</v>
      </c>
      <c r="AN918" s="1">
        <f t="shared" si="80"/>
        <v>0</v>
      </c>
      <c r="AO918" s="1">
        <f t="shared" si="81"/>
        <v>0</v>
      </c>
      <c r="AP918" t="b" cm="1">
        <f t="array" ref="AP918">INDEX($AU$8:$BB$25,6*(R918-1)+MATCH(AB918,$AS$8:$AS$13,0),MATCH(O918,$AU$7:$BB$7,0))</f>
        <v>1</v>
      </c>
    </row>
    <row r="919" spans="15:42" ht="14.25" x14ac:dyDescent="0.45">
      <c r="O919" s="43" t="s">
        <v>36</v>
      </c>
      <c r="P919" s="43">
        <v>1</v>
      </c>
      <c r="Q919" s="43">
        <v>3</v>
      </c>
      <c r="R919" s="43">
        <v>3</v>
      </c>
      <c r="S919" s="45"/>
      <c r="T919" t="b">
        <f>(S917+S918+S919)=U2</f>
        <v>0</v>
      </c>
      <c r="X919" s="1">
        <f t="shared" si="82"/>
        <v>0</v>
      </c>
      <c r="Y919" s="48">
        <v>0</v>
      </c>
      <c r="AA919" s="1">
        <v>8</v>
      </c>
      <c r="AB919" s="1" t="s">
        <v>16</v>
      </c>
      <c r="AC919" s="1" t="s">
        <v>22</v>
      </c>
      <c r="AD919" s="1">
        <v>27</v>
      </c>
      <c r="AE919" s="1">
        <v>23</v>
      </c>
      <c r="AF919" s="1">
        <v>0.8</v>
      </c>
      <c r="AG919" s="1">
        <v>0.9</v>
      </c>
      <c r="AH919" s="1">
        <v>0</v>
      </c>
      <c r="AI919" s="1">
        <v>0</v>
      </c>
      <c r="AJ919" s="1">
        <f t="shared" si="78"/>
        <v>0</v>
      </c>
      <c r="AK919" s="1">
        <f>E97</f>
        <v>0</v>
      </c>
      <c r="AL919" s="1">
        <f>E103</f>
        <v>0</v>
      </c>
      <c r="AM919" s="1">
        <f t="shared" si="79"/>
        <v>0</v>
      </c>
      <c r="AN919" s="1">
        <f t="shared" si="80"/>
        <v>0</v>
      </c>
      <c r="AO919" s="1">
        <f t="shared" si="81"/>
        <v>0</v>
      </c>
      <c r="AP919" t="b" cm="1">
        <f t="array" ref="AP919">INDEX($AU$8:$BB$25,6*(R919-1)+MATCH(AB919,$AS$8:$AS$13,0),MATCH(O919,$AU$7:$BB$7,0))</f>
        <v>1</v>
      </c>
    </row>
    <row r="920" spans="15:42" ht="14.25" x14ac:dyDescent="0.45">
      <c r="O920" s="43" t="s">
        <v>36</v>
      </c>
      <c r="P920" s="43">
        <v>1</v>
      </c>
      <c r="Q920" s="43">
        <v>4</v>
      </c>
      <c r="R920" s="43">
        <v>1</v>
      </c>
      <c r="S920" s="45"/>
      <c r="T920" t="b">
        <f>(S920+S921+S922)=U2</f>
        <v>0</v>
      </c>
      <c r="X920" s="1">
        <f t="shared" si="82"/>
        <v>0</v>
      </c>
      <c r="Y920" s="48">
        <v>0</v>
      </c>
      <c r="AA920" s="1">
        <v>3</v>
      </c>
      <c r="AB920" s="1" t="s">
        <v>10</v>
      </c>
      <c r="AC920" s="1" t="s">
        <v>17</v>
      </c>
      <c r="AD920" s="1">
        <v>20</v>
      </c>
      <c r="AE920" s="1">
        <v>16</v>
      </c>
      <c r="AF920" s="1">
        <v>0.78</v>
      </c>
      <c r="AG920" s="1">
        <v>0.84</v>
      </c>
      <c r="AH920" s="1">
        <v>0</v>
      </c>
      <c r="AI920" s="1">
        <v>0</v>
      </c>
      <c r="AJ920" s="1">
        <f t="shared" si="78"/>
        <v>0</v>
      </c>
      <c r="AK920" s="1">
        <f>C92</f>
        <v>0</v>
      </c>
      <c r="AL920" s="1">
        <f>C98</f>
        <v>0</v>
      </c>
      <c r="AM920" s="1">
        <f t="shared" si="79"/>
        <v>0</v>
      </c>
      <c r="AN920" s="1">
        <f t="shared" si="80"/>
        <v>0</v>
      </c>
      <c r="AO920" s="1">
        <f t="shared" si="81"/>
        <v>0</v>
      </c>
      <c r="AP920" t="b" cm="1">
        <f t="array" ref="AP920">INDEX($AU$8:$BB$25,6*(R920-1)+MATCH(AB920,$AS$8:$AS$13,0),MATCH(O920,$AU$7:$BB$7,0))</f>
        <v>1</v>
      </c>
    </row>
    <row r="921" spans="15:42" ht="14.25" x14ac:dyDescent="0.45">
      <c r="O921" s="43" t="s">
        <v>36</v>
      </c>
      <c r="P921" s="43">
        <v>1</v>
      </c>
      <c r="Q921" s="43">
        <v>4</v>
      </c>
      <c r="R921" s="43">
        <v>2</v>
      </c>
      <c r="S921" s="45"/>
      <c r="T921" t="b">
        <f>(S920+S921+S922)=U2</f>
        <v>0</v>
      </c>
      <c r="X921" s="1">
        <f t="shared" si="82"/>
        <v>0</v>
      </c>
      <c r="Y921" s="48">
        <v>0</v>
      </c>
      <c r="AA921" s="1">
        <v>3</v>
      </c>
      <c r="AB921" s="1" t="s">
        <v>10</v>
      </c>
      <c r="AC921" s="1" t="s">
        <v>17</v>
      </c>
      <c r="AD921" s="1">
        <v>20</v>
      </c>
      <c r="AE921" s="1">
        <v>16</v>
      </c>
      <c r="AF921" s="1">
        <v>0.78</v>
      </c>
      <c r="AG921" s="1">
        <v>0.84</v>
      </c>
      <c r="AH921" s="1">
        <v>0</v>
      </c>
      <c r="AI921" s="1">
        <v>0</v>
      </c>
      <c r="AJ921" s="1">
        <f t="shared" si="78"/>
        <v>0</v>
      </c>
      <c r="AK921" s="1">
        <f>D92</f>
        <v>0</v>
      </c>
      <c r="AL921" s="1">
        <f>D98</f>
        <v>0</v>
      </c>
      <c r="AM921" s="1">
        <f t="shared" si="79"/>
        <v>0</v>
      </c>
      <c r="AN921" s="1">
        <f t="shared" si="80"/>
        <v>0</v>
      </c>
      <c r="AO921" s="1">
        <f t="shared" si="81"/>
        <v>0</v>
      </c>
      <c r="AP921" t="b" cm="1">
        <f t="array" ref="AP921">INDEX($AU$8:$BB$25,6*(R921-1)+MATCH(AB921,$AS$8:$AS$13,0),MATCH(O921,$AU$7:$BB$7,0))</f>
        <v>1</v>
      </c>
    </row>
    <row r="922" spans="15:42" ht="14.25" x14ac:dyDescent="0.45">
      <c r="O922" s="43" t="s">
        <v>36</v>
      </c>
      <c r="P922" s="43">
        <v>1</v>
      </c>
      <c r="Q922" s="43">
        <v>4</v>
      </c>
      <c r="R922" s="43">
        <v>3</v>
      </c>
      <c r="S922" s="45"/>
      <c r="T922" t="b">
        <f>(S920+S921+S922)=U2</f>
        <v>0</v>
      </c>
      <c r="X922" s="1">
        <f t="shared" si="82"/>
        <v>0</v>
      </c>
      <c r="Y922" s="48">
        <v>0</v>
      </c>
      <c r="AA922" s="1">
        <v>3</v>
      </c>
      <c r="AB922" s="1" t="s">
        <v>10</v>
      </c>
      <c r="AC922" s="1" t="s">
        <v>17</v>
      </c>
      <c r="AD922" s="1">
        <v>20</v>
      </c>
      <c r="AE922" s="1">
        <v>16</v>
      </c>
      <c r="AF922" s="1">
        <v>0.78</v>
      </c>
      <c r="AG922" s="1">
        <v>0.84</v>
      </c>
      <c r="AH922" s="1">
        <v>0</v>
      </c>
      <c r="AI922" s="1">
        <v>0</v>
      </c>
      <c r="AJ922" s="1">
        <f t="shared" si="78"/>
        <v>0</v>
      </c>
      <c r="AK922" s="1">
        <f>E92</f>
        <v>0</v>
      </c>
      <c r="AL922" s="1">
        <f>E98</f>
        <v>0</v>
      </c>
      <c r="AM922" s="1">
        <f t="shared" si="79"/>
        <v>0</v>
      </c>
      <c r="AN922" s="1">
        <f t="shared" si="80"/>
        <v>0</v>
      </c>
      <c r="AO922" s="1">
        <f t="shared" si="81"/>
        <v>0</v>
      </c>
      <c r="AP922" t="b" cm="1">
        <f t="array" ref="AP922">INDEX($AU$8:$BB$25,6*(R922-1)+MATCH(AB922,$AS$8:$AS$13,0),MATCH(O922,$AU$7:$BB$7,0))</f>
        <v>1</v>
      </c>
    </row>
    <row r="923" spans="15:42" ht="14.25" x14ac:dyDescent="0.45">
      <c r="O923" s="43" t="s">
        <v>36</v>
      </c>
      <c r="P923" s="43">
        <v>1</v>
      </c>
      <c r="Q923" s="43">
        <v>5</v>
      </c>
      <c r="R923" s="43">
        <v>1</v>
      </c>
      <c r="S923" s="45"/>
      <c r="T923" t="b">
        <f>(S923+S924+S925)=U2</f>
        <v>0</v>
      </c>
      <c r="X923" s="1">
        <f t="shared" si="82"/>
        <v>0</v>
      </c>
      <c r="Y923" s="48">
        <v>0</v>
      </c>
      <c r="AA923" s="1">
        <v>11</v>
      </c>
      <c r="AB923" s="1" t="s">
        <v>16</v>
      </c>
      <c r="AC923" s="1" t="s">
        <v>22</v>
      </c>
      <c r="AD923" s="1">
        <v>12</v>
      </c>
      <c r="AE923" s="1">
        <v>9</v>
      </c>
      <c r="AF923" s="1">
        <v>0.8</v>
      </c>
      <c r="AG923" s="1">
        <v>0.9</v>
      </c>
      <c r="AH923" s="1">
        <v>0</v>
      </c>
      <c r="AI923" s="1">
        <v>0</v>
      </c>
      <c r="AJ923" s="1">
        <f t="shared" si="78"/>
        <v>0</v>
      </c>
      <c r="AK923" s="1">
        <f>C97</f>
        <v>0</v>
      </c>
      <c r="AL923" s="1">
        <f>C103</f>
        <v>0</v>
      </c>
      <c r="AM923" s="1">
        <f t="shared" si="79"/>
        <v>0</v>
      </c>
      <c r="AN923" s="1">
        <f t="shared" si="80"/>
        <v>0</v>
      </c>
      <c r="AO923" s="1">
        <f t="shared" si="81"/>
        <v>0</v>
      </c>
      <c r="AP923" t="b" cm="1">
        <f t="array" ref="AP923">INDEX($AU$8:$BB$25,6*(R923-1)+MATCH(AB923,$AS$8:$AS$13,0),MATCH(O923,$AU$7:$BB$7,0))</f>
        <v>1</v>
      </c>
    </row>
    <row r="924" spans="15:42" ht="14.25" x14ac:dyDescent="0.45">
      <c r="O924" s="43" t="s">
        <v>36</v>
      </c>
      <c r="P924" s="43">
        <v>1</v>
      </c>
      <c r="Q924" s="43">
        <v>5</v>
      </c>
      <c r="R924" s="43">
        <v>2</v>
      </c>
      <c r="S924" s="45"/>
      <c r="T924" t="b">
        <f>(S923+S924+S925)=U2</f>
        <v>0</v>
      </c>
      <c r="X924" s="1">
        <f t="shared" si="82"/>
        <v>0</v>
      </c>
      <c r="Y924" s="48">
        <v>0</v>
      </c>
      <c r="AA924" s="1">
        <v>11</v>
      </c>
      <c r="AB924" s="1" t="s">
        <v>16</v>
      </c>
      <c r="AC924" s="1" t="s">
        <v>22</v>
      </c>
      <c r="AD924" s="1">
        <v>12</v>
      </c>
      <c r="AE924" s="1">
        <v>9</v>
      </c>
      <c r="AF924" s="1">
        <v>0.8</v>
      </c>
      <c r="AG924" s="1">
        <v>0.9</v>
      </c>
      <c r="AH924" s="1">
        <v>0</v>
      </c>
      <c r="AI924" s="1">
        <v>0</v>
      </c>
      <c r="AJ924" s="1">
        <f t="shared" si="78"/>
        <v>0</v>
      </c>
      <c r="AK924" s="1">
        <f>D97</f>
        <v>0</v>
      </c>
      <c r="AL924" s="1">
        <f>D103</f>
        <v>0</v>
      </c>
      <c r="AM924" s="1">
        <f t="shared" si="79"/>
        <v>0</v>
      </c>
      <c r="AN924" s="1">
        <f t="shared" si="80"/>
        <v>0</v>
      </c>
      <c r="AO924" s="1">
        <f t="shared" si="81"/>
        <v>0</v>
      </c>
      <c r="AP924" t="b" cm="1">
        <f t="array" ref="AP924">INDEX($AU$8:$BB$25,6*(R924-1)+MATCH(AB924,$AS$8:$AS$13,0),MATCH(O924,$AU$7:$BB$7,0))</f>
        <v>1</v>
      </c>
    </row>
    <row r="925" spans="15:42" ht="14.25" x14ac:dyDescent="0.45">
      <c r="O925" s="43" t="s">
        <v>36</v>
      </c>
      <c r="P925" s="43">
        <v>1</v>
      </c>
      <c r="Q925" s="43">
        <v>5</v>
      </c>
      <c r="R925" s="43">
        <v>3</v>
      </c>
      <c r="S925" s="45"/>
      <c r="T925" t="b">
        <f>(S923+S924+S925)=U2</f>
        <v>0</v>
      </c>
      <c r="X925" s="1">
        <f t="shared" si="82"/>
        <v>0</v>
      </c>
      <c r="Y925" s="48">
        <v>0</v>
      </c>
      <c r="AA925" s="1">
        <v>11</v>
      </c>
      <c r="AB925" s="1" t="s">
        <v>16</v>
      </c>
      <c r="AC925" s="1" t="s">
        <v>22</v>
      </c>
      <c r="AD925" s="1">
        <v>12</v>
      </c>
      <c r="AE925" s="1">
        <v>9</v>
      </c>
      <c r="AF925" s="1">
        <v>0.8</v>
      </c>
      <c r="AG925" s="1">
        <v>0.9</v>
      </c>
      <c r="AH925" s="1">
        <v>0</v>
      </c>
      <c r="AI925" s="1">
        <v>0</v>
      </c>
      <c r="AJ925" s="1">
        <f t="shared" si="78"/>
        <v>0</v>
      </c>
      <c r="AK925" s="1">
        <f>E97</f>
        <v>0</v>
      </c>
      <c r="AL925" s="1">
        <f>E103</f>
        <v>0</v>
      </c>
      <c r="AM925" s="1">
        <f t="shared" si="79"/>
        <v>0</v>
      </c>
      <c r="AN925" s="1">
        <f t="shared" si="80"/>
        <v>0</v>
      </c>
      <c r="AO925" s="1">
        <f t="shared" si="81"/>
        <v>0</v>
      </c>
      <c r="AP925" t="b" cm="1">
        <f t="array" ref="AP925">INDEX($AU$8:$BB$25,6*(R925-1)+MATCH(AB925,$AS$8:$AS$13,0),MATCH(O925,$AU$7:$BB$7,0))</f>
        <v>1</v>
      </c>
    </row>
    <row r="926" spans="15:42" ht="14.25" x14ac:dyDescent="0.45">
      <c r="O926" s="43" t="s">
        <v>36</v>
      </c>
      <c r="P926" s="43">
        <v>1</v>
      </c>
      <c r="Q926" s="43">
        <v>6</v>
      </c>
      <c r="R926" s="43">
        <v>1</v>
      </c>
      <c r="S926" s="45"/>
      <c r="T926" t="b">
        <f>(S926+S927+S928)=U2</f>
        <v>0</v>
      </c>
      <c r="X926" s="1">
        <f t="shared" si="82"/>
        <v>0</v>
      </c>
      <c r="Y926" s="48">
        <v>0</v>
      </c>
      <c r="AA926" s="1">
        <v>7</v>
      </c>
      <c r="AB926" s="1" t="s">
        <v>14</v>
      </c>
      <c r="AC926" s="1" t="s">
        <v>20</v>
      </c>
      <c r="AD926" s="1">
        <v>27</v>
      </c>
      <c r="AE926" s="1">
        <v>21</v>
      </c>
      <c r="AF926" s="1">
        <v>0.8</v>
      </c>
      <c r="AG926" s="1">
        <v>0.88</v>
      </c>
      <c r="AH926" s="1">
        <v>0</v>
      </c>
      <c r="AI926" s="1">
        <v>0</v>
      </c>
      <c r="AJ926" s="1">
        <f t="shared" si="78"/>
        <v>0</v>
      </c>
      <c r="AK926" s="1">
        <f>C95</f>
        <v>0</v>
      </c>
      <c r="AL926" s="1">
        <f>C101</f>
        <v>0</v>
      </c>
      <c r="AM926" s="1">
        <f t="shared" si="79"/>
        <v>0</v>
      </c>
      <c r="AN926" s="1">
        <f t="shared" si="80"/>
        <v>0</v>
      </c>
      <c r="AO926" s="1">
        <f t="shared" si="81"/>
        <v>0</v>
      </c>
      <c r="AP926" t="b" cm="1">
        <f t="array" ref="AP926">INDEX($AU$8:$BB$25,6*(R926-1)+MATCH(AB926,$AS$8:$AS$13,0),MATCH(O926,$AU$7:$BB$7,0))</f>
        <v>1</v>
      </c>
    </row>
    <row r="927" spans="15:42" ht="14.25" x14ac:dyDescent="0.45">
      <c r="O927" s="43" t="s">
        <v>36</v>
      </c>
      <c r="P927" s="43">
        <v>1</v>
      </c>
      <c r="Q927" s="43">
        <v>6</v>
      </c>
      <c r="R927" s="43">
        <v>2</v>
      </c>
      <c r="S927" s="45"/>
      <c r="T927" t="b">
        <f>(S926+S927+S928)=U2</f>
        <v>0</v>
      </c>
      <c r="X927" s="1">
        <f t="shared" si="82"/>
        <v>0</v>
      </c>
      <c r="Y927" s="48">
        <v>0</v>
      </c>
      <c r="AA927" s="1">
        <v>7</v>
      </c>
      <c r="AB927" s="1" t="s">
        <v>14</v>
      </c>
      <c r="AC927" s="1" t="s">
        <v>20</v>
      </c>
      <c r="AD927" s="1">
        <v>27</v>
      </c>
      <c r="AE927" s="1">
        <v>21</v>
      </c>
      <c r="AF927" s="1">
        <v>0.8</v>
      </c>
      <c r="AG927" s="1">
        <v>0.88</v>
      </c>
      <c r="AH927" s="1">
        <v>0</v>
      </c>
      <c r="AI927" s="1">
        <v>0</v>
      </c>
      <c r="AJ927" s="1">
        <f t="shared" si="78"/>
        <v>0</v>
      </c>
      <c r="AK927" s="1">
        <f>D95</f>
        <v>0</v>
      </c>
      <c r="AL927" s="1">
        <f>D101</f>
        <v>0</v>
      </c>
      <c r="AM927" s="1">
        <f t="shared" si="79"/>
        <v>0</v>
      </c>
      <c r="AN927" s="1">
        <f t="shared" si="80"/>
        <v>0</v>
      </c>
      <c r="AO927" s="1">
        <f t="shared" si="81"/>
        <v>0</v>
      </c>
      <c r="AP927" t="b" cm="1">
        <f t="array" ref="AP927">INDEX($AU$8:$BB$25,6*(R927-1)+MATCH(AB927,$AS$8:$AS$13,0),MATCH(O927,$AU$7:$BB$7,0))</f>
        <v>1</v>
      </c>
    </row>
    <row r="928" spans="15:42" ht="14.25" x14ac:dyDescent="0.45">
      <c r="O928" s="43" t="s">
        <v>36</v>
      </c>
      <c r="P928" s="43">
        <v>1</v>
      </c>
      <c r="Q928" s="43">
        <v>6</v>
      </c>
      <c r="R928" s="43">
        <v>3</v>
      </c>
      <c r="S928" s="45"/>
      <c r="T928" t="b">
        <f>(S926+S927+S928)=U2</f>
        <v>0</v>
      </c>
      <c r="X928" s="1">
        <f t="shared" si="82"/>
        <v>0</v>
      </c>
      <c r="Y928" s="48">
        <v>0</v>
      </c>
      <c r="AA928" s="1">
        <v>7</v>
      </c>
      <c r="AB928" s="1" t="s">
        <v>14</v>
      </c>
      <c r="AC928" s="1" t="s">
        <v>20</v>
      </c>
      <c r="AD928" s="1">
        <v>27</v>
      </c>
      <c r="AE928" s="1">
        <v>21</v>
      </c>
      <c r="AF928" s="1">
        <v>0.8</v>
      </c>
      <c r="AG928" s="1">
        <v>0.88</v>
      </c>
      <c r="AH928" s="1">
        <v>0</v>
      </c>
      <c r="AI928" s="1">
        <v>0</v>
      </c>
      <c r="AJ928" s="1">
        <f t="shared" si="78"/>
        <v>0</v>
      </c>
      <c r="AK928" s="1">
        <f>E95</f>
        <v>0</v>
      </c>
      <c r="AL928" s="1">
        <f>E101</f>
        <v>0</v>
      </c>
      <c r="AM928" s="1">
        <f t="shared" si="79"/>
        <v>0</v>
      </c>
      <c r="AN928" s="1">
        <f t="shared" si="80"/>
        <v>0</v>
      </c>
      <c r="AO928" s="1">
        <f t="shared" si="81"/>
        <v>0</v>
      </c>
      <c r="AP928" t="b" cm="1">
        <f t="array" ref="AP928">INDEX($AU$8:$BB$25,6*(R928-1)+MATCH(AB928,$AS$8:$AS$13,0),MATCH(O928,$AU$7:$BB$7,0))</f>
        <v>1</v>
      </c>
    </row>
    <row r="929" spans="15:42" ht="14.25" x14ac:dyDescent="0.45">
      <c r="O929" s="43" t="s">
        <v>36</v>
      </c>
      <c r="P929" s="43">
        <v>1</v>
      </c>
      <c r="Q929" s="43">
        <v>7</v>
      </c>
      <c r="R929" s="43">
        <v>1</v>
      </c>
      <c r="S929" s="45"/>
      <c r="T929" t="b">
        <f>(S929+S930+S931)=U2</f>
        <v>0</v>
      </c>
      <c r="X929" s="1">
        <f t="shared" si="82"/>
        <v>0</v>
      </c>
      <c r="Y929" s="48">
        <v>0</v>
      </c>
      <c r="AA929" s="1">
        <v>9</v>
      </c>
      <c r="AB929" s="1" t="s">
        <v>14</v>
      </c>
      <c r="AC929" s="1" t="s">
        <v>20</v>
      </c>
      <c r="AD929" s="1">
        <v>17</v>
      </c>
      <c r="AE929" s="1">
        <v>13</v>
      </c>
      <c r="AF929" s="1">
        <v>0.8</v>
      </c>
      <c r="AG929" s="1">
        <v>0.88</v>
      </c>
      <c r="AH929" s="1">
        <v>0</v>
      </c>
      <c r="AI929" s="1">
        <v>0</v>
      </c>
      <c r="AJ929" s="1">
        <f t="shared" si="78"/>
        <v>0</v>
      </c>
      <c r="AK929" s="1">
        <f>C95</f>
        <v>0</v>
      </c>
      <c r="AL929" s="1">
        <f>C101</f>
        <v>0</v>
      </c>
      <c r="AM929" s="1">
        <f t="shared" si="79"/>
        <v>0</v>
      </c>
      <c r="AN929" s="1">
        <f t="shared" si="80"/>
        <v>0</v>
      </c>
      <c r="AO929" s="1">
        <f t="shared" si="81"/>
        <v>0</v>
      </c>
      <c r="AP929" t="b" cm="1">
        <f t="array" ref="AP929">INDEX($AU$8:$BB$25,6*(R929-1)+MATCH(AB929,$AS$8:$AS$13,0),MATCH(O929,$AU$7:$BB$7,0))</f>
        <v>1</v>
      </c>
    </row>
    <row r="930" spans="15:42" ht="14.25" x14ac:dyDescent="0.45">
      <c r="O930" s="43" t="s">
        <v>36</v>
      </c>
      <c r="P930" s="43">
        <v>1</v>
      </c>
      <c r="Q930" s="43">
        <v>7</v>
      </c>
      <c r="R930" s="43">
        <v>2</v>
      </c>
      <c r="S930" s="45"/>
      <c r="T930" t="b">
        <f>(S929+S930+S931)=U2</f>
        <v>0</v>
      </c>
      <c r="X930" s="1">
        <f t="shared" si="82"/>
        <v>0</v>
      </c>
      <c r="Y930" s="48">
        <v>0</v>
      </c>
      <c r="AA930" s="1">
        <v>9</v>
      </c>
      <c r="AB930" s="1" t="s">
        <v>14</v>
      </c>
      <c r="AC930" s="1" t="s">
        <v>20</v>
      </c>
      <c r="AD930" s="1">
        <v>17</v>
      </c>
      <c r="AE930" s="1">
        <v>13</v>
      </c>
      <c r="AF930" s="1">
        <v>0.8</v>
      </c>
      <c r="AG930" s="1">
        <v>0.88</v>
      </c>
      <c r="AH930" s="1">
        <v>0</v>
      </c>
      <c r="AI930" s="1">
        <v>0</v>
      </c>
      <c r="AJ930" s="1">
        <f t="shared" si="78"/>
        <v>0</v>
      </c>
      <c r="AK930" s="1">
        <f>D95</f>
        <v>0</v>
      </c>
      <c r="AL930" s="1">
        <f>D101</f>
        <v>0</v>
      </c>
      <c r="AM930" s="1">
        <f t="shared" si="79"/>
        <v>0</v>
      </c>
      <c r="AN930" s="1">
        <f t="shared" si="80"/>
        <v>0</v>
      </c>
      <c r="AO930" s="1">
        <f t="shared" si="81"/>
        <v>0</v>
      </c>
      <c r="AP930" t="b" cm="1">
        <f t="array" ref="AP930">INDEX($AU$8:$BB$25,6*(R930-1)+MATCH(AB930,$AS$8:$AS$13,0),MATCH(O930,$AU$7:$BB$7,0))</f>
        <v>1</v>
      </c>
    </row>
    <row r="931" spans="15:42" ht="14.25" x14ac:dyDescent="0.45">
      <c r="O931" s="43" t="s">
        <v>36</v>
      </c>
      <c r="P931" s="43">
        <v>1</v>
      </c>
      <c r="Q931" s="43">
        <v>7</v>
      </c>
      <c r="R931" s="43">
        <v>3</v>
      </c>
      <c r="S931" s="45"/>
      <c r="T931" t="b">
        <f>(S929+S930+S931)=U2</f>
        <v>0</v>
      </c>
      <c r="X931" s="1">
        <f t="shared" si="82"/>
        <v>0</v>
      </c>
      <c r="Y931" s="48">
        <v>0</v>
      </c>
      <c r="AA931" s="1">
        <v>9</v>
      </c>
      <c r="AB931" s="1" t="s">
        <v>14</v>
      </c>
      <c r="AC931" s="1" t="s">
        <v>20</v>
      </c>
      <c r="AD931" s="1">
        <v>17</v>
      </c>
      <c r="AE931" s="1">
        <v>13</v>
      </c>
      <c r="AF931" s="1">
        <v>0.8</v>
      </c>
      <c r="AG931" s="1">
        <v>0.88</v>
      </c>
      <c r="AH931" s="1">
        <v>0</v>
      </c>
      <c r="AI931" s="1">
        <v>0</v>
      </c>
      <c r="AJ931" s="1">
        <f t="shared" si="78"/>
        <v>0</v>
      </c>
      <c r="AK931" s="1">
        <f>E95</f>
        <v>0</v>
      </c>
      <c r="AL931" s="1">
        <f>E101</f>
        <v>0</v>
      </c>
      <c r="AM931" s="1">
        <f t="shared" si="79"/>
        <v>0</v>
      </c>
      <c r="AN931" s="1">
        <f t="shared" si="80"/>
        <v>0</v>
      </c>
      <c r="AO931" s="1">
        <f t="shared" si="81"/>
        <v>0</v>
      </c>
      <c r="AP931" t="b" cm="1">
        <f t="array" ref="AP931">INDEX($AU$8:$BB$25,6*(R931-1)+MATCH(AB931,$AS$8:$AS$13,0),MATCH(O931,$AU$7:$BB$7,0))</f>
        <v>1</v>
      </c>
    </row>
    <row r="932" spans="15:42" ht="14.25" x14ac:dyDescent="0.45">
      <c r="O932" s="43" t="s">
        <v>36</v>
      </c>
      <c r="P932" s="43">
        <v>1</v>
      </c>
      <c r="Q932" s="43">
        <v>8</v>
      </c>
      <c r="R932" s="43">
        <v>1</v>
      </c>
      <c r="S932" s="45"/>
      <c r="T932" t="b">
        <f>(S932+S933+S934)=U2</f>
        <v>0</v>
      </c>
      <c r="X932" s="1">
        <f t="shared" si="82"/>
        <v>0</v>
      </c>
      <c r="Y932" s="48">
        <v>0</v>
      </c>
      <c r="AA932" s="1">
        <v>1</v>
      </c>
      <c r="AB932" s="1" t="s">
        <v>10</v>
      </c>
      <c r="AC932" s="1" t="s">
        <v>17</v>
      </c>
      <c r="AD932" s="1">
        <v>18</v>
      </c>
      <c r="AE932" s="1">
        <v>16</v>
      </c>
      <c r="AF932" s="1">
        <v>0.78</v>
      </c>
      <c r="AG932" s="1">
        <v>0.84</v>
      </c>
      <c r="AH932" s="1">
        <v>0</v>
      </c>
      <c r="AI932" s="1">
        <v>0</v>
      </c>
      <c r="AJ932" s="1">
        <f t="shared" si="78"/>
        <v>0</v>
      </c>
      <c r="AK932" s="1">
        <f>C92</f>
        <v>0</v>
      </c>
      <c r="AL932" s="1">
        <f>C98</f>
        <v>0</v>
      </c>
      <c r="AM932" s="1">
        <f t="shared" si="79"/>
        <v>0</v>
      </c>
      <c r="AN932" s="1">
        <f t="shared" si="80"/>
        <v>0</v>
      </c>
      <c r="AO932" s="1">
        <f t="shared" si="81"/>
        <v>0</v>
      </c>
      <c r="AP932" t="b" cm="1">
        <f t="array" ref="AP932">INDEX($AU$8:$BB$25,6*(R932-1)+MATCH(AB932,$AS$8:$AS$13,0),MATCH(O932,$AU$7:$BB$7,0))</f>
        <v>1</v>
      </c>
    </row>
    <row r="933" spans="15:42" ht="14.25" x14ac:dyDescent="0.45">
      <c r="O933" s="43" t="s">
        <v>36</v>
      </c>
      <c r="P933" s="43">
        <v>1</v>
      </c>
      <c r="Q933" s="43">
        <v>8</v>
      </c>
      <c r="R933" s="43">
        <v>2</v>
      </c>
      <c r="S933" s="45"/>
      <c r="T933" t="b">
        <f>(S932+S933+S934)=U2</f>
        <v>0</v>
      </c>
      <c r="X933" s="1">
        <f t="shared" si="82"/>
        <v>0</v>
      </c>
      <c r="Y933" s="48">
        <v>0</v>
      </c>
      <c r="AA933" s="1">
        <v>1</v>
      </c>
      <c r="AB933" s="1" t="s">
        <v>10</v>
      </c>
      <c r="AC933" s="1" t="s">
        <v>17</v>
      </c>
      <c r="AD933" s="1">
        <v>18</v>
      </c>
      <c r="AE933" s="1">
        <v>16</v>
      </c>
      <c r="AF933" s="1">
        <v>0.78</v>
      </c>
      <c r="AG933" s="1">
        <v>0.84</v>
      </c>
      <c r="AH933" s="1">
        <v>0</v>
      </c>
      <c r="AI933" s="1">
        <v>0</v>
      </c>
      <c r="AJ933" s="1">
        <f t="shared" si="78"/>
        <v>0</v>
      </c>
      <c r="AK933" s="1">
        <f>D92</f>
        <v>0</v>
      </c>
      <c r="AL933" s="1">
        <f>D98</f>
        <v>0</v>
      </c>
      <c r="AM933" s="1">
        <f t="shared" si="79"/>
        <v>0</v>
      </c>
      <c r="AN933" s="1">
        <f t="shared" si="80"/>
        <v>0</v>
      </c>
      <c r="AO933" s="1">
        <f t="shared" si="81"/>
        <v>0</v>
      </c>
      <c r="AP933" t="b" cm="1">
        <f t="array" ref="AP933">INDEX($AU$8:$BB$25,6*(R933-1)+MATCH(AB933,$AS$8:$AS$13,0),MATCH(O933,$AU$7:$BB$7,0))</f>
        <v>1</v>
      </c>
    </row>
    <row r="934" spans="15:42" ht="14.25" x14ac:dyDescent="0.45">
      <c r="O934" s="43" t="s">
        <v>36</v>
      </c>
      <c r="P934" s="43">
        <v>1</v>
      </c>
      <c r="Q934" s="43">
        <v>8</v>
      </c>
      <c r="R934" s="43">
        <v>3</v>
      </c>
      <c r="S934" s="45"/>
      <c r="T934" t="b">
        <f>(S932+S933+S934)=U2</f>
        <v>0</v>
      </c>
      <c r="X934" s="1">
        <f t="shared" si="82"/>
        <v>0</v>
      </c>
      <c r="Y934" s="48">
        <v>0</v>
      </c>
      <c r="AA934" s="1">
        <v>1</v>
      </c>
      <c r="AB934" s="1" t="s">
        <v>10</v>
      </c>
      <c r="AC934" s="1" t="s">
        <v>17</v>
      </c>
      <c r="AD934" s="1">
        <v>18</v>
      </c>
      <c r="AE934" s="1">
        <v>16</v>
      </c>
      <c r="AF934" s="1">
        <v>0.78</v>
      </c>
      <c r="AG934" s="1">
        <v>0.84</v>
      </c>
      <c r="AH934" s="1">
        <v>0</v>
      </c>
      <c r="AI934" s="1">
        <v>0</v>
      </c>
      <c r="AJ934" s="1">
        <f t="shared" si="78"/>
        <v>0</v>
      </c>
      <c r="AK934" s="1">
        <f>E92</f>
        <v>0</v>
      </c>
      <c r="AL934" s="1">
        <f>E98</f>
        <v>0</v>
      </c>
      <c r="AM934" s="1">
        <f t="shared" si="79"/>
        <v>0</v>
      </c>
      <c r="AN934" s="1">
        <f t="shared" si="80"/>
        <v>0</v>
      </c>
      <c r="AO934" s="1">
        <f t="shared" si="81"/>
        <v>0</v>
      </c>
      <c r="AP934" t="b" cm="1">
        <f t="array" ref="AP934">INDEX($AU$8:$BB$25,6*(R934-1)+MATCH(AB934,$AS$8:$AS$13,0),MATCH(O934,$AU$7:$BB$7,0))</f>
        <v>1</v>
      </c>
    </row>
    <row r="935" spans="15:42" ht="14.25" x14ac:dyDescent="0.45">
      <c r="O935" s="43" t="s">
        <v>36</v>
      </c>
      <c r="P935" s="43">
        <v>1</v>
      </c>
      <c r="Q935" s="43">
        <v>9</v>
      </c>
      <c r="R935" s="43">
        <v>1</v>
      </c>
      <c r="S935" s="45"/>
      <c r="T935" t="b">
        <f>(S935+S936+S937)=U2</f>
        <v>0</v>
      </c>
      <c r="X935" s="1">
        <f t="shared" si="82"/>
        <v>0</v>
      </c>
      <c r="Y935" s="48">
        <v>0</v>
      </c>
      <c r="AA935" s="1">
        <v>2</v>
      </c>
      <c r="AB935" s="1" t="s">
        <v>10</v>
      </c>
      <c r="AC935" s="1" t="s">
        <v>17</v>
      </c>
      <c r="AD935" s="1">
        <v>16</v>
      </c>
      <c r="AE935" s="1">
        <v>13</v>
      </c>
      <c r="AF935" s="1">
        <v>0.78</v>
      </c>
      <c r="AG935" s="1">
        <v>0.84</v>
      </c>
      <c r="AH935" s="1">
        <v>0</v>
      </c>
      <c r="AI935" s="1">
        <v>0</v>
      </c>
      <c r="AJ935" s="1">
        <f t="shared" si="78"/>
        <v>0</v>
      </c>
      <c r="AK935" s="1">
        <f>C92</f>
        <v>0</v>
      </c>
      <c r="AL935" s="1">
        <f>C98</f>
        <v>0</v>
      </c>
      <c r="AM935" s="1">
        <f t="shared" si="79"/>
        <v>0</v>
      </c>
      <c r="AN935" s="1">
        <f t="shared" si="80"/>
        <v>0</v>
      </c>
      <c r="AO935" s="1">
        <f t="shared" si="81"/>
        <v>0</v>
      </c>
      <c r="AP935" t="b" cm="1">
        <f t="array" ref="AP935">INDEX($AU$8:$BB$25,6*(R935-1)+MATCH(AB935,$AS$8:$AS$13,0),MATCH(O935,$AU$7:$BB$7,0))</f>
        <v>1</v>
      </c>
    </row>
    <row r="936" spans="15:42" ht="14.25" x14ac:dyDescent="0.45">
      <c r="O936" s="43" t="s">
        <v>36</v>
      </c>
      <c r="P936" s="43">
        <v>1</v>
      </c>
      <c r="Q936" s="43">
        <v>9</v>
      </c>
      <c r="R936" s="43">
        <v>2</v>
      </c>
      <c r="S936" s="45"/>
      <c r="T936" t="b">
        <f>(S935+S936+S937)=U2</f>
        <v>0</v>
      </c>
      <c r="X936" s="1">
        <f t="shared" si="82"/>
        <v>0</v>
      </c>
      <c r="Y936" s="48">
        <v>0</v>
      </c>
      <c r="AA936" s="1">
        <v>2</v>
      </c>
      <c r="AB936" s="1" t="s">
        <v>10</v>
      </c>
      <c r="AC936" s="1" t="s">
        <v>17</v>
      </c>
      <c r="AD936" s="1">
        <v>16</v>
      </c>
      <c r="AE936" s="1">
        <v>13</v>
      </c>
      <c r="AF936" s="1">
        <v>0.78</v>
      </c>
      <c r="AG936" s="1">
        <v>0.84</v>
      </c>
      <c r="AH936" s="1">
        <v>0</v>
      </c>
      <c r="AI936" s="1">
        <v>0</v>
      </c>
      <c r="AJ936" s="1">
        <f t="shared" si="78"/>
        <v>0</v>
      </c>
      <c r="AK936" s="1">
        <f>D92</f>
        <v>0</v>
      </c>
      <c r="AL936" s="1">
        <f>D98</f>
        <v>0</v>
      </c>
      <c r="AM936" s="1">
        <f t="shared" si="79"/>
        <v>0</v>
      </c>
      <c r="AN936" s="1">
        <f t="shared" si="80"/>
        <v>0</v>
      </c>
      <c r="AO936" s="1">
        <f t="shared" si="81"/>
        <v>0</v>
      </c>
      <c r="AP936" t="b" cm="1">
        <f t="array" ref="AP936">INDEX($AU$8:$BB$25,6*(R936-1)+MATCH(AB936,$AS$8:$AS$13,0),MATCH(O936,$AU$7:$BB$7,0))</f>
        <v>1</v>
      </c>
    </row>
    <row r="937" spans="15:42" ht="14.25" x14ac:dyDescent="0.45">
      <c r="O937" s="43" t="s">
        <v>36</v>
      </c>
      <c r="P937" s="43">
        <v>1</v>
      </c>
      <c r="Q937" s="43">
        <v>9</v>
      </c>
      <c r="R937" s="43">
        <v>3</v>
      </c>
      <c r="S937" s="45"/>
      <c r="T937" t="b">
        <f>(S935+S936+S937)=U2</f>
        <v>0</v>
      </c>
      <c r="X937" s="1">
        <f t="shared" si="82"/>
        <v>0</v>
      </c>
      <c r="Y937" s="48">
        <v>0</v>
      </c>
      <c r="AA937" s="1">
        <v>2</v>
      </c>
      <c r="AB937" s="1" t="s">
        <v>10</v>
      </c>
      <c r="AC937" s="1" t="s">
        <v>17</v>
      </c>
      <c r="AD937" s="1">
        <v>16</v>
      </c>
      <c r="AE937" s="1">
        <v>13</v>
      </c>
      <c r="AF937" s="1">
        <v>0.78</v>
      </c>
      <c r="AG937" s="1">
        <v>0.84</v>
      </c>
      <c r="AH937" s="1">
        <v>0</v>
      </c>
      <c r="AI937" s="1">
        <v>0</v>
      </c>
      <c r="AJ937" s="1">
        <f t="shared" si="78"/>
        <v>0</v>
      </c>
      <c r="AK937" s="1">
        <f>E92</f>
        <v>0</v>
      </c>
      <c r="AL937" s="1">
        <f>E98</f>
        <v>0</v>
      </c>
      <c r="AM937" s="1">
        <f t="shared" si="79"/>
        <v>0</v>
      </c>
      <c r="AN937" s="1">
        <f t="shared" si="80"/>
        <v>0</v>
      </c>
      <c r="AO937" s="1">
        <f t="shared" si="81"/>
        <v>0</v>
      </c>
      <c r="AP937" t="b" cm="1">
        <f t="array" ref="AP937">INDEX($AU$8:$BB$25,6*(R937-1)+MATCH(AB937,$AS$8:$AS$13,0),MATCH(O937,$AU$7:$BB$7,0))</f>
        <v>1</v>
      </c>
    </row>
    <row r="938" spans="15:42" ht="14.25" x14ac:dyDescent="0.45">
      <c r="O938" s="43" t="s">
        <v>36</v>
      </c>
      <c r="P938" s="43">
        <v>1</v>
      </c>
      <c r="Q938" s="43">
        <v>10</v>
      </c>
      <c r="R938" s="43">
        <v>1</v>
      </c>
      <c r="S938" s="45"/>
      <c r="T938" t="b">
        <f>(S938+S939+S940)=U2</f>
        <v>0</v>
      </c>
      <c r="X938" s="1">
        <f t="shared" si="82"/>
        <v>0</v>
      </c>
      <c r="Y938" s="48">
        <v>0</v>
      </c>
      <c r="AA938" s="1">
        <v>6</v>
      </c>
      <c r="AB938" s="1" t="s">
        <v>14</v>
      </c>
      <c r="AC938" s="1" t="s">
        <v>20</v>
      </c>
      <c r="AD938" s="1">
        <v>14</v>
      </c>
      <c r="AE938" s="1">
        <v>11</v>
      </c>
      <c r="AF938" s="1">
        <v>0.8</v>
      </c>
      <c r="AG938" s="1">
        <v>0.88</v>
      </c>
      <c r="AH938" s="1">
        <v>0</v>
      </c>
      <c r="AI938" s="1">
        <v>0</v>
      </c>
      <c r="AJ938" s="1">
        <f t="shared" si="78"/>
        <v>0</v>
      </c>
      <c r="AK938" s="1">
        <f>C95</f>
        <v>0</v>
      </c>
      <c r="AL938" s="1">
        <f>C101</f>
        <v>0</v>
      </c>
      <c r="AM938" s="1">
        <f t="shared" si="79"/>
        <v>0</v>
      </c>
      <c r="AN938" s="1">
        <f t="shared" si="80"/>
        <v>0</v>
      </c>
      <c r="AO938" s="1">
        <f t="shared" si="81"/>
        <v>0</v>
      </c>
      <c r="AP938" t="b" cm="1">
        <f t="array" ref="AP938">INDEX($AU$8:$BB$25,6*(R938-1)+MATCH(AB938,$AS$8:$AS$13,0),MATCH(O938,$AU$7:$BB$7,0))</f>
        <v>1</v>
      </c>
    </row>
    <row r="939" spans="15:42" ht="14.25" x14ac:dyDescent="0.45">
      <c r="O939" s="43" t="s">
        <v>36</v>
      </c>
      <c r="P939" s="43">
        <v>1</v>
      </c>
      <c r="Q939" s="43">
        <v>10</v>
      </c>
      <c r="R939" s="43">
        <v>2</v>
      </c>
      <c r="S939" s="45"/>
      <c r="T939" t="b">
        <f>(S938+S939+S940)=U2</f>
        <v>0</v>
      </c>
      <c r="X939" s="1">
        <f t="shared" si="82"/>
        <v>0</v>
      </c>
      <c r="Y939" s="48">
        <v>0</v>
      </c>
      <c r="AA939" s="1">
        <v>6</v>
      </c>
      <c r="AB939" s="1" t="s">
        <v>14</v>
      </c>
      <c r="AC939" s="1" t="s">
        <v>20</v>
      </c>
      <c r="AD939" s="1">
        <v>14</v>
      </c>
      <c r="AE939" s="1">
        <v>11</v>
      </c>
      <c r="AF939" s="1">
        <v>0.8</v>
      </c>
      <c r="AG939" s="1">
        <v>0.88</v>
      </c>
      <c r="AH939" s="1">
        <v>0</v>
      </c>
      <c r="AI939" s="1">
        <v>0</v>
      </c>
      <c r="AJ939" s="1">
        <f t="shared" si="78"/>
        <v>0</v>
      </c>
      <c r="AK939" s="1">
        <f>D95</f>
        <v>0</v>
      </c>
      <c r="AL939" s="1">
        <f>D101</f>
        <v>0</v>
      </c>
      <c r="AM939" s="1">
        <f t="shared" si="79"/>
        <v>0</v>
      </c>
      <c r="AN939" s="1">
        <f t="shared" si="80"/>
        <v>0</v>
      </c>
      <c r="AO939" s="1">
        <f t="shared" si="81"/>
        <v>0</v>
      </c>
      <c r="AP939" t="b" cm="1">
        <f t="array" ref="AP939">INDEX($AU$8:$BB$25,6*(R939-1)+MATCH(AB939,$AS$8:$AS$13,0),MATCH(O939,$AU$7:$BB$7,0))</f>
        <v>1</v>
      </c>
    </row>
    <row r="940" spans="15:42" ht="14.25" x14ac:dyDescent="0.45">
      <c r="O940" s="43" t="s">
        <v>36</v>
      </c>
      <c r="P940" s="43">
        <v>1</v>
      </c>
      <c r="Q940" s="43">
        <v>10</v>
      </c>
      <c r="R940" s="43">
        <v>3</v>
      </c>
      <c r="S940" s="45"/>
      <c r="T940" t="b">
        <f>(S938+S939+S940)=U2</f>
        <v>0</v>
      </c>
      <c r="X940" s="1">
        <f t="shared" si="82"/>
        <v>0</v>
      </c>
      <c r="Y940" s="48">
        <v>0</v>
      </c>
      <c r="AA940" s="1">
        <v>6</v>
      </c>
      <c r="AB940" s="1" t="s">
        <v>14</v>
      </c>
      <c r="AC940" s="1" t="s">
        <v>20</v>
      </c>
      <c r="AD940" s="1">
        <v>14</v>
      </c>
      <c r="AE940" s="1">
        <v>11</v>
      </c>
      <c r="AF940" s="1">
        <v>0.8</v>
      </c>
      <c r="AG940" s="1">
        <v>0.88</v>
      </c>
      <c r="AH940" s="1">
        <v>0</v>
      </c>
      <c r="AI940" s="1">
        <v>0</v>
      </c>
      <c r="AJ940" s="1">
        <f t="shared" si="78"/>
        <v>0</v>
      </c>
      <c r="AK940" s="1">
        <f>E95</f>
        <v>0</v>
      </c>
      <c r="AL940" s="1">
        <f>E101</f>
        <v>0</v>
      </c>
      <c r="AM940" s="1">
        <f t="shared" si="79"/>
        <v>0</v>
      </c>
      <c r="AN940" s="1">
        <f t="shared" si="80"/>
        <v>0</v>
      </c>
      <c r="AO940" s="1">
        <f t="shared" si="81"/>
        <v>0</v>
      </c>
      <c r="AP940" t="b" cm="1">
        <f t="array" ref="AP940">INDEX($AU$8:$BB$25,6*(R940-1)+MATCH(AB940,$AS$8:$AS$13,0),MATCH(O940,$AU$7:$BB$7,0))</f>
        <v>1</v>
      </c>
    </row>
    <row r="941" spans="15:42" ht="14.25" x14ac:dyDescent="0.45">
      <c r="O941" s="43" t="s">
        <v>36</v>
      </c>
      <c r="P941" s="43">
        <v>1</v>
      </c>
      <c r="Q941" s="43">
        <v>11</v>
      </c>
      <c r="R941" s="43">
        <v>1</v>
      </c>
      <c r="S941" s="45"/>
      <c r="T941" t="b">
        <f>(S941+S942+S943)=U2</f>
        <v>0</v>
      </c>
      <c r="X941" s="1">
        <f t="shared" si="82"/>
        <v>0</v>
      </c>
      <c r="Y941" s="48">
        <v>0</v>
      </c>
      <c r="AA941" s="1">
        <v>3</v>
      </c>
      <c r="AB941" s="1" t="s">
        <v>16</v>
      </c>
      <c r="AC941" s="1" t="s">
        <v>22</v>
      </c>
      <c r="AD941" s="1">
        <v>18</v>
      </c>
      <c r="AE941" s="1">
        <v>16</v>
      </c>
      <c r="AF941" s="1">
        <v>0.8</v>
      </c>
      <c r="AG941" s="1">
        <v>0.9</v>
      </c>
      <c r="AH941" s="1">
        <v>0</v>
      </c>
      <c r="AI941" s="1">
        <v>0</v>
      </c>
      <c r="AJ941" s="1">
        <f t="shared" si="78"/>
        <v>0</v>
      </c>
      <c r="AK941" s="1">
        <f>C97</f>
        <v>0</v>
      </c>
      <c r="AL941" s="1">
        <f>C103</f>
        <v>0</v>
      </c>
      <c r="AM941" s="1">
        <f t="shared" si="79"/>
        <v>0</v>
      </c>
      <c r="AN941" s="1">
        <f t="shared" si="80"/>
        <v>0</v>
      </c>
      <c r="AO941" s="1">
        <f t="shared" si="81"/>
        <v>0</v>
      </c>
      <c r="AP941" t="b" cm="1">
        <f t="array" ref="AP941">INDEX($AU$8:$BB$25,6*(R941-1)+MATCH(AB941,$AS$8:$AS$13,0),MATCH(O941,$AU$7:$BB$7,0))</f>
        <v>1</v>
      </c>
    </row>
    <row r="942" spans="15:42" ht="14.25" x14ac:dyDescent="0.45">
      <c r="O942" s="43" t="s">
        <v>36</v>
      </c>
      <c r="P942" s="43">
        <v>1</v>
      </c>
      <c r="Q942" s="43">
        <v>11</v>
      </c>
      <c r="R942" s="43">
        <v>2</v>
      </c>
      <c r="S942" s="45"/>
      <c r="T942" t="b">
        <f>(S941+S942+S943)=U2</f>
        <v>0</v>
      </c>
      <c r="X942" s="1">
        <f t="shared" si="82"/>
        <v>0</v>
      </c>
      <c r="Y942" s="48">
        <v>0</v>
      </c>
      <c r="AA942" s="1">
        <v>3</v>
      </c>
      <c r="AB942" s="1" t="s">
        <v>16</v>
      </c>
      <c r="AC942" s="1" t="s">
        <v>22</v>
      </c>
      <c r="AD942" s="1">
        <v>18</v>
      </c>
      <c r="AE942" s="1">
        <v>16</v>
      </c>
      <c r="AF942" s="1">
        <v>0.8</v>
      </c>
      <c r="AG942" s="1">
        <v>0.9</v>
      </c>
      <c r="AH942" s="1">
        <v>0</v>
      </c>
      <c r="AI942" s="1">
        <v>0</v>
      </c>
      <c r="AJ942" s="1">
        <f t="shared" si="78"/>
        <v>0</v>
      </c>
      <c r="AK942" s="1">
        <f>D97</f>
        <v>0</v>
      </c>
      <c r="AL942" s="1">
        <f>D103</f>
        <v>0</v>
      </c>
      <c r="AM942" s="1">
        <f t="shared" si="79"/>
        <v>0</v>
      </c>
      <c r="AN942" s="1">
        <f t="shared" si="80"/>
        <v>0</v>
      </c>
      <c r="AO942" s="1">
        <f t="shared" si="81"/>
        <v>0</v>
      </c>
      <c r="AP942" t="b" cm="1">
        <f t="array" ref="AP942">INDEX($AU$8:$BB$25,6*(R942-1)+MATCH(AB942,$AS$8:$AS$13,0),MATCH(O942,$AU$7:$BB$7,0))</f>
        <v>1</v>
      </c>
    </row>
    <row r="943" spans="15:42" ht="14.25" x14ac:dyDescent="0.45">
      <c r="O943" s="43" t="s">
        <v>36</v>
      </c>
      <c r="P943" s="43">
        <v>1</v>
      </c>
      <c r="Q943" s="43">
        <v>11</v>
      </c>
      <c r="R943" s="43">
        <v>3</v>
      </c>
      <c r="S943" s="45"/>
      <c r="T943" t="b">
        <f>(S941+S942+S943)=U2</f>
        <v>0</v>
      </c>
      <c r="X943" s="1">
        <f t="shared" si="82"/>
        <v>0</v>
      </c>
      <c r="Y943" s="48">
        <v>0</v>
      </c>
      <c r="AA943" s="1">
        <v>3</v>
      </c>
      <c r="AB943" s="1" t="s">
        <v>16</v>
      </c>
      <c r="AC943" s="1" t="s">
        <v>22</v>
      </c>
      <c r="AD943" s="1">
        <v>18</v>
      </c>
      <c r="AE943" s="1">
        <v>16</v>
      </c>
      <c r="AF943" s="1">
        <v>0.8</v>
      </c>
      <c r="AG943" s="1">
        <v>0.9</v>
      </c>
      <c r="AH943" s="1">
        <v>0</v>
      </c>
      <c r="AI943" s="1">
        <v>0</v>
      </c>
      <c r="AJ943" s="1">
        <f t="shared" si="78"/>
        <v>0</v>
      </c>
      <c r="AK943" s="1">
        <f>E97</f>
        <v>0</v>
      </c>
      <c r="AL943" s="1">
        <f>E103</f>
        <v>0</v>
      </c>
      <c r="AM943" s="1">
        <f t="shared" si="79"/>
        <v>0</v>
      </c>
      <c r="AN943" s="1">
        <f t="shared" si="80"/>
        <v>0</v>
      </c>
      <c r="AO943" s="1">
        <f t="shared" si="81"/>
        <v>0</v>
      </c>
      <c r="AP943" t="b" cm="1">
        <f t="array" ref="AP943">INDEX($AU$8:$BB$25,6*(R943-1)+MATCH(AB943,$AS$8:$AS$13,0),MATCH(O943,$AU$7:$BB$7,0))</f>
        <v>1</v>
      </c>
    </row>
    <row r="944" spans="15:42" ht="14.25" x14ac:dyDescent="0.45">
      <c r="O944" s="43" t="s">
        <v>36</v>
      </c>
      <c r="P944" s="43">
        <v>2</v>
      </c>
      <c r="Q944" s="43">
        <v>1</v>
      </c>
      <c r="R944" s="43">
        <v>1</v>
      </c>
      <c r="S944" s="45"/>
      <c r="T944" t="b">
        <f>(S944+S945+S946)=U3</f>
        <v>0</v>
      </c>
      <c r="X944" s="1">
        <v>0</v>
      </c>
      <c r="Y944" s="48">
        <v>0</v>
      </c>
      <c r="AA944" s="1">
        <v>9</v>
      </c>
      <c r="AB944" s="1" t="s">
        <v>16</v>
      </c>
      <c r="AC944" s="1" t="s">
        <v>22</v>
      </c>
      <c r="AD944" s="1">
        <v>19</v>
      </c>
      <c r="AE944" s="1">
        <v>16</v>
      </c>
      <c r="AF944" s="1">
        <v>0.8</v>
      </c>
      <c r="AG944" s="1">
        <v>0.9</v>
      </c>
      <c r="AH944" s="1">
        <v>0</v>
      </c>
      <c r="AI944" s="1">
        <v>0</v>
      </c>
      <c r="AJ944" s="1">
        <f t="shared" si="78"/>
        <v>0</v>
      </c>
      <c r="AK944" s="1">
        <f>C97</f>
        <v>0</v>
      </c>
      <c r="AL944" s="1">
        <f>C103</f>
        <v>0</v>
      </c>
      <c r="AM944" s="1">
        <f t="shared" si="79"/>
        <v>0</v>
      </c>
      <c r="AN944" s="1">
        <f t="shared" si="80"/>
        <v>0</v>
      </c>
      <c r="AO944" s="1">
        <f t="shared" si="81"/>
        <v>0</v>
      </c>
      <c r="AP944" t="b" cm="1">
        <f t="array" ref="AP944">INDEX($AU$8:$BB$25,6*(R944-1)+MATCH(AB944,$AS$8:$AS$13,0),MATCH(O944,$AU$7:$BB$7,0))</f>
        <v>1</v>
      </c>
    </row>
    <row r="945" spans="15:42" ht="14.25" x14ac:dyDescent="0.45">
      <c r="O945" s="43" t="s">
        <v>36</v>
      </c>
      <c r="P945" s="43">
        <v>2</v>
      </c>
      <c r="Q945" s="43">
        <v>1</v>
      </c>
      <c r="R945" s="43">
        <v>2</v>
      </c>
      <c r="S945" s="45"/>
      <c r="T945" t="b">
        <f>(S944+S945+S946)=U3</f>
        <v>0</v>
      </c>
      <c r="X945" s="1">
        <v>0</v>
      </c>
      <c r="Y945" s="48">
        <v>0</v>
      </c>
      <c r="AA945" s="1">
        <v>9</v>
      </c>
      <c r="AB945" s="1" t="s">
        <v>16</v>
      </c>
      <c r="AC945" s="1" t="s">
        <v>22</v>
      </c>
      <c r="AD945" s="1">
        <v>19</v>
      </c>
      <c r="AE945" s="1">
        <v>16</v>
      </c>
      <c r="AF945" s="1">
        <v>0.8</v>
      </c>
      <c r="AG945" s="1">
        <v>0.9</v>
      </c>
      <c r="AH945" s="1">
        <v>0</v>
      </c>
      <c r="AI945" s="1">
        <v>0</v>
      </c>
      <c r="AJ945" s="1">
        <f t="shared" si="78"/>
        <v>0</v>
      </c>
      <c r="AK945" s="1">
        <f>D97</f>
        <v>0</v>
      </c>
      <c r="AL945" s="1">
        <f>D103</f>
        <v>0</v>
      </c>
      <c r="AM945" s="1">
        <f t="shared" si="79"/>
        <v>0</v>
      </c>
      <c r="AN945" s="1">
        <f t="shared" si="80"/>
        <v>0</v>
      </c>
      <c r="AO945" s="1">
        <f t="shared" si="81"/>
        <v>0</v>
      </c>
      <c r="AP945" t="b" cm="1">
        <f t="array" ref="AP945">INDEX($AU$8:$BB$25,6*(R945-1)+MATCH(AB945,$AS$8:$AS$13,0),MATCH(O945,$AU$7:$BB$7,0))</f>
        <v>1</v>
      </c>
    </row>
    <row r="946" spans="15:42" ht="14.25" x14ac:dyDescent="0.45">
      <c r="O946" s="43" t="s">
        <v>36</v>
      </c>
      <c r="P946" s="43">
        <v>2</v>
      </c>
      <c r="Q946" s="43">
        <v>1</v>
      </c>
      <c r="R946" s="43">
        <v>3</v>
      </c>
      <c r="S946" s="45"/>
      <c r="T946" t="b">
        <f>(S944+S945+S946)=U3</f>
        <v>0</v>
      </c>
      <c r="X946" s="1">
        <v>0</v>
      </c>
      <c r="Y946" s="48">
        <v>0</v>
      </c>
      <c r="AA946" s="1">
        <v>9</v>
      </c>
      <c r="AB946" s="1" t="s">
        <v>16</v>
      </c>
      <c r="AC946" s="1" t="s">
        <v>22</v>
      </c>
      <c r="AD946" s="1">
        <v>19</v>
      </c>
      <c r="AE946" s="1">
        <v>16</v>
      </c>
      <c r="AF946" s="1">
        <v>0.8</v>
      </c>
      <c r="AG946" s="1">
        <v>0.9</v>
      </c>
      <c r="AH946" s="1">
        <v>0</v>
      </c>
      <c r="AI946" s="1">
        <v>0</v>
      </c>
      <c r="AJ946" s="1">
        <f t="shared" si="78"/>
        <v>0</v>
      </c>
      <c r="AK946" s="1">
        <f>E97</f>
        <v>0</v>
      </c>
      <c r="AL946" s="1">
        <f>E103</f>
        <v>0</v>
      </c>
      <c r="AM946" s="1">
        <f t="shared" si="79"/>
        <v>0</v>
      </c>
      <c r="AN946" s="1">
        <f t="shared" si="80"/>
        <v>0</v>
      </c>
      <c r="AO946" s="1">
        <f t="shared" si="81"/>
        <v>0</v>
      </c>
      <c r="AP946" t="b" cm="1">
        <f t="array" ref="AP946">INDEX($AU$8:$BB$25,6*(R946-1)+MATCH(AB946,$AS$8:$AS$13,0),MATCH(O946,$AU$7:$BB$7,0))</f>
        <v>1</v>
      </c>
    </row>
    <row r="947" spans="15:42" ht="14.25" x14ac:dyDescent="0.45">
      <c r="O947" s="43" t="s">
        <v>36</v>
      </c>
      <c r="P947" s="43">
        <v>2</v>
      </c>
      <c r="Q947" s="43">
        <v>2</v>
      </c>
      <c r="R947" s="43">
        <v>1</v>
      </c>
      <c r="S947" s="45"/>
      <c r="T947" t="b">
        <f>(S947+S948+S949)=U3</f>
        <v>0</v>
      </c>
      <c r="X947" s="1">
        <f t="shared" ref="X947:X988" si="83">MAX(S944-S947,0)</f>
        <v>0</v>
      </c>
      <c r="Y947" s="48">
        <v>0</v>
      </c>
      <c r="AA947" s="1">
        <v>1</v>
      </c>
      <c r="AB947" s="1" t="s">
        <v>12</v>
      </c>
      <c r="AC947" s="1" t="s">
        <v>18</v>
      </c>
      <c r="AD947" s="1">
        <v>20</v>
      </c>
      <c r="AE947" s="1">
        <v>18</v>
      </c>
      <c r="AF947" s="1">
        <v>0.76</v>
      </c>
      <c r="AG947" s="1">
        <v>0.81</v>
      </c>
      <c r="AH947" s="1">
        <v>0</v>
      </c>
      <c r="AI947" s="1">
        <v>0</v>
      </c>
      <c r="AJ947" s="1">
        <f t="shared" si="78"/>
        <v>0</v>
      </c>
      <c r="AK947" s="1">
        <f>C93</f>
        <v>0</v>
      </c>
      <c r="AL947" s="1">
        <f>C99</f>
        <v>0</v>
      </c>
      <c r="AM947" s="1">
        <f t="shared" si="79"/>
        <v>0</v>
      </c>
      <c r="AN947" s="1">
        <f t="shared" si="80"/>
        <v>0</v>
      </c>
      <c r="AO947" s="1">
        <f t="shared" si="81"/>
        <v>0</v>
      </c>
      <c r="AP947" t="b" cm="1">
        <f t="array" ref="AP947">INDEX($AU$8:$BB$25,6*(R947-1)+MATCH(AB947,$AS$8:$AS$13,0),MATCH(O947,$AU$7:$BB$7,0))</f>
        <v>1</v>
      </c>
    </row>
    <row r="948" spans="15:42" ht="14.25" x14ac:dyDescent="0.45">
      <c r="O948" s="43" t="s">
        <v>36</v>
      </c>
      <c r="P948" s="43">
        <v>2</v>
      </c>
      <c r="Q948" s="43">
        <v>2</v>
      </c>
      <c r="R948" s="43">
        <v>2</v>
      </c>
      <c r="S948" s="45"/>
      <c r="T948" t="b">
        <f>(S947+S948+S949)=U3</f>
        <v>0</v>
      </c>
      <c r="X948" s="1">
        <f t="shared" si="83"/>
        <v>0</v>
      </c>
      <c r="Y948" s="48">
        <v>0</v>
      </c>
      <c r="AA948" s="1">
        <v>1</v>
      </c>
      <c r="AB948" s="1" t="s">
        <v>12</v>
      </c>
      <c r="AC948" s="1" t="s">
        <v>18</v>
      </c>
      <c r="AD948" s="1">
        <v>20</v>
      </c>
      <c r="AE948" s="1">
        <v>18</v>
      </c>
      <c r="AF948" s="1">
        <v>0.76</v>
      </c>
      <c r="AG948" s="1">
        <v>0.81</v>
      </c>
      <c r="AH948" s="1">
        <v>0</v>
      </c>
      <c r="AI948" s="1">
        <v>0</v>
      </c>
      <c r="AJ948" s="1">
        <f t="shared" si="78"/>
        <v>0</v>
      </c>
      <c r="AK948" s="1">
        <f>D93</f>
        <v>0</v>
      </c>
      <c r="AL948" s="1">
        <f>D99</f>
        <v>0</v>
      </c>
      <c r="AM948" s="1">
        <f t="shared" si="79"/>
        <v>0</v>
      </c>
      <c r="AN948" s="1">
        <f t="shared" si="80"/>
        <v>0</v>
      </c>
      <c r="AO948" s="1">
        <f t="shared" si="81"/>
        <v>0</v>
      </c>
      <c r="AP948" t="b" cm="1">
        <f t="array" ref="AP948">INDEX($AU$8:$BB$25,6*(R948-1)+MATCH(AB948,$AS$8:$AS$13,0),MATCH(O948,$AU$7:$BB$7,0))</f>
        <v>1</v>
      </c>
    </row>
    <row r="949" spans="15:42" ht="14.25" x14ac:dyDescent="0.45">
      <c r="O949" s="43" t="s">
        <v>36</v>
      </c>
      <c r="P949" s="43">
        <v>2</v>
      </c>
      <c r="Q949" s="43">
        <v>2</v>
      </c>
      <c r="R949" s="43">
        <v>3</v>
      </c>
      <c r="S949" s="45"/>
      <c r="T949" t="b">
        <f>(S947+S948+S949)=U3</f>
        <v>0</v>
      </c>
      <c r="X949" s="1">
        <f t="shared" si="83"/>
        <v>0</v>
      </c>
      <c r="Y949" s="48">
        <v>0</v>
      </c>
      <c r="AA949" s="1">
        <v>1</v>
      </c>
      <c r="AB949" s="1" t="s">
        <v>12</v>
      </c>
      <c r="AC949" s="1" t="s">
        <v>18</v>
      </c>
      <c r="AD949" s="1">
        <v>20</v>
      </c>
      <c r="AE949" s="1">
        <v>18</v>
      </c>
      <c r="AF949" s="1">
        <v>0.76</v>
      </c>
      <c r="AG949" s="1">
        <v>0.81</v>
      </c>
      <c r="AH949" s="1">
        <v>0</v>
      </c>
      <c r="AI949" s="1">
        <v>0</v>
      </c>
      <c r="AJ949" s="1">
        <f t="shared" si="78"/>
        <v>0</v>
      </c>
      <c r="AK949" s="1">
        <f>E93</f>
        <v>0</v>
      </c>
      <c r="AL949" s="1">
        <f>E99</f>
        <v>0</v>
      </c>
      <c r="AM949" s="1">
        <f t="shared" si="79"/>
        <v>0</v>
      </c>
      <c r="AN949" s="1">
        <f t="shared" si="80"/>
        <v>0</v>
      </c>
      <c r="AO949" s="1">
        <f t="shared" si="81"/>
        <v>0</v>
      </c>
      <c r="AP949" t="b" cm="1">
        <f t="array" ref="AP949">INDEX($AU$8:$BB$25,6*(R949-1)+MATCH(AB949,$AS$8:$AS$13,0),MATCH(O949,$AU$7:$BB$7,0))</f>
        <v>1</v>
      </c>
    </row>
    <row r="950" spans="15:42" ht="14.25" x14ac:dyDescent="0.45">
      <c r="O950" s="43" t="s">
        <v>36</v>
      </c>
      <c r="P950" s="43">
        <v>2</v>
      </c>
      <c r="Q950" s="43">
        <v>3</v>
      </c>
      <c r="R950" s="43">
        <v>1</v>
      </c>
      <c r="S950" s="45"/>
      <c r="T950" t="b">
        <f>(S950+S951+S952)=U3</f>
        <v>0</v>
      </c>
      <c r="X950" s="1">
        <f t="shared" si="83"/>
        <v>0</v>
      </c>
      <c r="Y950" s="48">
        <v>0</v>
      </c>
      <c r="AA950" s="1">
        <v>11</v>
      </c>
      <c r="AB950" s="1" t="s">
        <v>15</v>
      </c>
      <c r="AC950" s="1" t="s">
        <v>21</v>
      </c>
      <c r="AD950" s="1">
        <v>10</v>
      </c>
      <c r="AE950" s="1">
        <v>7</v>
      </c>
      <c r="AF950" s="1">
        <v>0.76</v>
      </c>
      <c r="AG950" s="1">
        <v>0.84</v>
      </c>
      <c r="AH950" s="1">
        <v>0</v>
      </c>
      <c r="AI950" s="1">
        <v>0</v>
      </c>
      <c r="AJ950" s="1">
        <f t="shared" si="78"/>
        <v>0</v>
      </c>
      <c r="AK950" s="1">
        <f>C96</f>
        <v>0</v>
      </c>
      <c r="AL950" s="1">
        <f>C102</f>
        <v>0</v>
      </c>
      <c r="AM950" s="1">
        <f t="shared" si="79"/>
        <v>0</v>
      </c>
      <c r="AN950" s="1">
        <f t="shared" si="80"/>
        <v>0</v>
      </c>
      <c r="AO950" s="1">
        <f t="shared" si="81"/>
        <v>0</v>
      </c>
      <c r="AP950" t="b" cm="1">
        <f t="array" ref="AP950">INDEX($AU$8:$BB$25,6*(R950-1)+MATCH(AB950,$AS$8:$AS$13,0),MATCH(O950,$AU$7:$BB$7,0))</f>
        <v>1</v>
      </c>
    </row>
    <row r="951" spans="15:42" ht="14.25" x14ac:dyDescent="0.45">
      <c r="O951" s="43" t="s">
        <v>36</v>
      </c>
      <c r="P951" s="43">
        <v>2</v>
      </c>
      <c r="Q951" s="43">
        <v>3</v>
      </c>
      <c r="R951" s="43">
        <v>2</v>
      </c>
      <c r="S951" s="45"/>
      <c r="T951" t="b">
        <f>(S950+S951+S952)=U3</f>
        <v>0</v>
      </c>
      <c r="X951" s="1">
        <f t="shared" si="83"/>
        <v>0</v>
      </c>
      <c r="Y951" s="48">
        <v>0</v>
      </c>
      <c r="AA951" s="1">
        <v>11</v>
      </c>
      <c r="AB951" s="1" t="s">
        <v>15</v>
      </c>
      <c r="AC951" s="1" t="s">
        <v>21</v>
      </c>
      <c r="AD951" s="1">
        <v>10</v>
      </c>
      <c r="AE951" s="1">
        <v>7</v>
      </c>
      <c r="AF951" s="1">
        <v>0.76</v>
      </c>
      <c r="AG951" s="1">
        <v>0.84</v>
      </c>
      <c r="AH951" s="1">
        <v>0</v>
      </c>
      <c r="AI951" s="1">
        <v>0</v>
      </c>
      <c r="AJ951" s="1">
        <f t="shared" si="78"/>
        <v>0</v>
      </c>
      <c r="AK951" s="1">
        <f>D96</f>
        <v>0</v>
      </c>
      <c r="AL951" s="1">
        <f>D102</f>
        <v>0</v>
      </c>
      <c r="AM951" s="1">
        <f t="shared" si="79"/>
        <v>0</v>
      </c>
      <c r="AN951" s="1">
        <f t="shared" si="80"/>
        <v>0</v>
      </c>
      <c r="AO951" s="1">
        <f t="shared" si="81"/>
        <v>0</v>
      </c>
      <c r="AP951" t="b" cm="1">
        <f t="array" ref="AP951">INDEX($AU$8:$BB$25,6*(R951-1)+MATCH(AB951,$AS$8:$AS$13,0),MATCH(O951,$AU$7:$BB$7,0))</f>
        <v>1</v>
      </c>
    </row>
    <row r="952" spans="15:42" ht="14.25" x14ac:dyDescent="0.45">
      <c r="O952" s="43" t="s">
        <v>36</v>
      </c>
      <c r="P952" s="43">
        <v>2</v>
      </c>
      <c r="Q952" s="43">
        <v>3</v>
      </c>
      <c r="R952" s="43">
        <v>3</v>
      </c>
      <c r="S952" s="45"/>
      <c r="T952" t="b">
        <f>(S950+S951+S952)=U3</f>
        <v>0</v>
      </c>
      <c r="X952" s="1">
        <f t="shared" si="83"/>
        <v>0</v>
      </c>
      <c r="Y952" s="48">
        <v>0</v>
      </c>
      <c r="AA952" s="1">
        <v>11</v>
      </c>
      <c r="AB952" s="1" t="s">
        <v>15</v>
      </c>
      <c r="AC952" s="1" t="s">
        <v>21</v>
      </c>
      <c r="AD952" s="1">
        <v>10</v>
      </c>
      <c r="AE952" s="1">
        <v>7</v>
      </c>
      <c r="AF952" s="1">
        <v>0.76</v>
      </c>
      <c r="AG952" s="1">
        <v>0.84</v>
      </c>
      <c r="AH952" s="1">
        <v>0</v>
      </c>
      <c r="AI952" s="1">
        <v>0</v>
      </c>
      <c r="AJ952" s="1">
        <f t="shared" si="78"/>
        <v>0</v>
      </c>
      <c r="AK952" s="1">
        <f>E96</f>
        <v>0</v>
      </c>
      <c r="AL952" s="1">
        <f>E102</f>
        <v>0</v>
      </c>
      <c r="AM952" s="1">
        <f t="shared" si="79"/>
        <v>0</v>
      </c>
      <c r="AN952" s="1">
        <f t="shared" si="80"/>
        <v>0</v>
      </c>
      <c r="AO952" s="1">
        <f t="shared" si="81"/>
        <v>0</v>
      </c>
      <c r="AP952" t="b" cm="1">
        <f t="array" ref="AP952">INDEX($AU$8:$BB$25,6*(R952-1)+MATCH(AB952,$AS$8:$AS$13,0),MATCH(O952,$AU$7:$BB$7,0))</f>
        <v>1</v>
      </c>
    </row>
    <row r="953" spans="15:42" ht="14.25" x14ac:dyDescent="0.45">
      <c r="O953" s="43" t="s">
        <v>36</v>
      </c>
      <c r="P953" s="43">
        <v>2</v>
      </c>
      <c r="Q953" s="43">
        <v>4</v>
      </c>
      <c r="R953" s="43">
        <v>1</v>
      </c>
      <c r="S953" s="45"/>
      <c r="T953" t="b">
        <f>(S953+S954+S955)=U3</f>
        <v>0</v>
      </c>
      <c r="X953" s="1">
        <f t="shared" si="83"/>
        <v>0</v>
      </c>
      <c r="Y953" s="48">
        <v>0</v>
      </c>
      <c r="AA953" s="1">
        <v>2</v>
      </c>
      <c r="AB953" s="1" t="s">
        <v>12</v>
      </c>
      <c r="AC953" s="1" t="s">
        <v>18</v>
      </c>
      <c r="AD953" s="1">
        <v>25</v>
      </c>
      <c r="AE953" s="1">
        <v>19</v>
      </c>
      <c r="AF953" s="1">
        <v>0.76</v>
      </c>
      <c r="AG953" s="1">
        <v>0.81</v>
      </c>
      <c r="AH953" s="1">
        <v>0</v>
      </c>
      <c r="AI953" s="1">
        <v>0</v>
      </c>
      <c r="AJ953" s="1">
        <f t="shared" si="78"/>
        <v>0</v>
      </c>
      <c r="AK953" s="1">
        <f>C93</f>
        <v>0</v>
      </c>
      <c r="AL953" s="1">
        <f>C99</f>
        <v>0</v>
      </c>
      <c r="AM953" s="1">
        <f t="shared" si="79"/>
        <v>0</v>
      </c>
      <c r="AN953" s="1">
        <f t="shared" si="80"/>
        <v>0</v>
      </c>
      <c r="AO953" s="1">
        <f t="shared" si="81"/>
        <v>0</v>
      </c>
      <c r="AP953" t="b" cm="1">
        <f t="array" ref="AP953">INDEX($AU$8:$BB$25,6*(R953-1)+MATCH(AB953,$AS$8:$AS$13,0),MATCH(O953,$AU$7:$BB$7,0))</f>
        <v>1</v>
      </c>
    </row>
    <row r="954" spans="15:42" ht="14.25" x14ac:dyDescent="0.45">
      <c r="O954" s="43" t="s">
        <v>36</v>
      </c>
      <c r="P954" s="43">
        <v>2</v>
      </c>
      <c r="Q954" s="43">
        <v>4</v>
      </c>
      <c r="R954" s="43">
        <v>2</v>
      </c>
      <c r="S954" s="45"/>
      <c r="T954" t="b">
        <f>(S953+S954+S955)=U3</f>
        <v>0</v>
      </c>
      <c r="X954" s="1">
        <f t="shared" si="83"/>
        <v>0</v>
      </c>
      <c r="Y954" s="48">
        <v>0</v>
      </c>
      <c r="AA954" s="1">
        <v>2</v>
      </c>
      <c r="AB954" s="1" t="s">
        <v>12</v>
      </c>
      <c r="AC954" s="1" t="s">
        <v>18</v>
      </c>
      <c r="AD954" s="1">
        <v>25</v>
      </c>
      <c r="AE954" s="1">
        <v>19</v>
      </c>
      <c r="AF954" s="1">
        <v>0.76</v>
      </c>
      <c r="AG954" s="1">
        <v>0.81</v>
      </c>
      <c r="AH954" s="1">
        <v>0</v>
      </c>
      <c r="AI954" s="1">
        <v>0</v>
      </c>
      <c r="AJ954" s="1">
        <f t="shared" si="78"/>
        <v>0</v>
      </c>
      <c r="AK954" s="1">
        <f>D93</f>
        <v>0</v>
      </c>
      <c r="AL954" s="1">
        <f>D99</f>
        <v>0</v>
      </c>
      <c r="AM954" s="1">
        <f t="shared" si="79"/>
        <v>0</v>
      </c>
      <c r="AN954" s="1">
        <f t="shared" si="80"/>
        <v>0</v>
      </c>
      <c r="AO954" s="1">
        <f t="shared" si="81"/>
        <v>0</v>
      </c>
      <c r="AP954" t="b" cm="1">
        <f t="array" ref="AP954">INDEX($AU$8:$BB$25,6*(R954-1)+MATCH(AB954,$AS$8:$AS$13,0),MATCH(O954,$AU$7:$BB$7,0))</f>
        <v>1</v>
      </c>
    </row>
    <row r="955" spans="15:42" ht="14.25" x14ac:dyDescent="0.45">
      <c r="O955" s="43" t="s">
        <v>36</v>
      </c>
      <c r="P955" s="43">
        <v>2</v>
      </c>
      <c r="Q955" s="43">
        <v>4</v>
      </c>
      <c r="R955" s="43">
        <v>3</v>
      </c>
      <c r="S955" s="45"/>
      <c r="T955" t="b">
        <f>(S953+S954+S955)=U3</f>
        <v>0</v>
      </c>
      <c r="X955" s="1">
        <f t="shared" si="83"/>
        <v>0</v>
      </c>
      <c r="Y955" s="48">
        <v>0</v>
      </c>
      <c r="AA955" s="1">
        <v>2</v>
      </c>
      <c r="AB955" s="1" t="s">
        <v>12</v>
      </c>
      <c r="AC955" s="1" t="s">
        <v>18</v>
      </c>
      <c r="AD955" s="1">
        <v>25</v>
      </c>
      <c r="AE955" s="1">
        <v>19</v>
      </c>
      <c r="AF955" s="1">
        <v>0.76</v>
      </c>
      <c r="AG955" s="1">
        <v>0.81</v>
      </c>
      <c r="AH955" s="1">
        <v>0</v>
      </c>
      <c r="AI955" s="1">
        <v>0</v>
      </c>
      <c r="AJ955" s="1">
        <f t="shared" si="78"/>
        <v>0</v>
      </c>
      <c r="AK955" s="1">
        <f>E93</f>
        <v>0</v>
      </c>
      <c r="AL955" s="1">
        <f>E99</f>
        <v>0</v>
      </c>
      <c r="AM955" s="1">
        <f t="shared" si="79"/>
        <v>0</v>
      </c>
      <c r="AN955" s="1">
        <f t="shared" si="80"/>
        <v>0</v>
      </c>
      <c r="AO955" s="1">
        <f t="shared" si="81"/>
        <v>0</v>
      </c>
      <c r="AP955" t="b" cm="1">
        <f t="array" ref="AP955">INDEX($AU$8:$BB$25,6*(R955-1)+MATCH(AB955,$AS$8:$AS$13,0),MATCH(O955,$AU$7:$BB$7,0))</f>
        <v>1</v>
      </c>
    </row>
    <row r="956" spans="15:42" ht="14.25" x14ac:dyDescent="0.45">
      <c r="O956" s="43" t="s">
        <v>36</v>
      </c>
      <c r="P956" s="43">
        <v>2</v>
      </c>
      <c r="Q956" s="43">
        <v>5</v>
      </c>
      <c r="R956" s="43">
        <v>1</v>
      </c>
      <c r="S956" s="45"/>
      <c r="T956" t="b">
        <f>(S956+S957+S958)=U3</f>
        <v>0</v>
      </c>
      <c r="X956" s="1">
        <f t="shared" si="83"/>
        <v>0</v>
      </c>
      <c r="Y956" s="48">
        <v>0</v>
      </c>
      <c r="AA956" s="1">
        <v>3</v>
      </c>
      <c r="AB956" s="1" t="s">
        <v>12</v>
      </c>
      <c r="AC956" s="1" t="s">
        <v>18</v>
      </c>
      <c r="AD956" s="1">
        <v>15</v>
      </c>
      <c r="AE956" s="1">
        <v>11</v>
      </c>
      <c r="AF956" s="1">
        <v>0.76</v>
      </c>
      <c r="AG956" s="1">
        <v>0.81</v>
      </c>
      <c r="AH956" s="1">
        <v>0</v>
      </c>
      <c r="AI956" s="1">
        <v>0</v>
      </c>
      <c r="AJ956" s="1">
        <f t="shared" si="78"/>
        <v>0</v>
      </c>
      <c r="AK956" s="1">
        <f>C93</f>
        <v>0</v>
      </c>
      <c r="AL956" s="1">
        <f>C99</f>
        <v>0</v>
      </c>
      <c r="AM956" s="1">
        <f t="shared" si="79"/>
        <v>0</v>
      </c>
      <c r="AN956" s="1">
        <f t="shared" si="80"/>
        <v>0</v>
      </c>
      <c r="AO956" s="1">
        <f t="shared" si="81"/>
        <v>0</v>
      </c>
      <c r="AP956" t="b" cm="1">
        <f t="array" ref="AP956">INDEX($AU$8:$BB$25,6*(R956-1)+MATCH(AB956,$AS$8:$AS$13,0),MATCH(O956,$AU$7:$BB$7,0))</f>
        <v>1</v>
      </c>
    </row>
    <row r="957" spans="15:42" ht="14.25" x14ac:dyDescent="0.45">
      <c r="O957" s="43" t="s">
        <v>36</v>
      </c>
      <c r="P957" s="43">
        <v>2</v>
      </c>
      <c r="Q957" s="43">
        <v>5</v>
      </c>
      <c r="R957" s="43">
        <v>2</v>
      </c>
      <c r="S957" s="45"/>
      <c r="T957" t="b">
        <f>(S956+S957+S958)=U3</f>
        <v>0</v>
      </c>
      <c r="X957" s="1">
        <f t="shared" si="83"/>
        <v>0</v>
      </c>
      <c r="Y957" s="48">
        <v>0</v>
      </c>
      <c r="AA957" s="1">
        <v>3</v>
      </c>
      <c r="AB957" s="1" t="s">
        <v>12</v>
      </c>
      <c r="AC957" s="1" t="s">
        <v>18</v>
      </c>
      <c r="AD957" s="1">
        <v>15</v>
      </c>
      <c r="AE957" s="1">
        <v>11</v>
      </c>
      <c r="AF957" s="1">
        <v>0.76</v>
      </c>
      <c r="AG957" s="1">
        <v>0.81</v>
      </c>
      <c r="AH957" s="1">
        <v>0</v>
      </c>
      <c r="AI957" s="1">
        <v>0</v>
      </c>
      <c r="AJ957" s="1">
        <f t="shared" si="78"/>
        <v>0</v>
      </c>
      <c r="AK957" s="1">
        <f>D93</f>
        <v>0</v>
      </c>
      <c r="AL957" s="1">
        <f>D99</f>
        <v>0</v>
      </c>
      <c r="AM957" s="1">
        <f t="shared" si="79"/>
        <v>0</v>
      </c>
      <c r="AN957" s="1">
        <f t="shared" si="80"/>
        <v>0</v>
      </c>
      <c r="AO957" s="1">
        <f t="shared" si="81"/>
        <v>0</v>
      </c>
      <c r="AP957" t="b" cm="1">
        <f t="array" ref="AP957">INDEX($AU$8:$BB$25,6*(R957-1)+MATCH(AB957,$AS$8:$AS$13,0),MATCH(O957,$AU$7:$BB$7,0))</f>
        <v>1</v>
      </c>
    </row>
    <row r="958" spans="15:42" ht="14.25" x14ac:dyDescent="0.45">
      <c r="O958" s="43" t="s">
        <v>36</v>
      </c>
      <c r="P958" s="43">
        <v>2</v>
      </c>
      <c r="Q958" s="43">
        <v>5</v>
      </c>
      <c r="R958" s="43">
        <v>3</v>
      </c>
      <c r="S958" s="45"/>
      <c r="T958" t="b">
        <f>(S956+S957+S958)=U3</f>
        <v>0</v>
      </c>
      <c r="X958" s="1">
        <f t="shared" si="83"/>
        <v>0</v>
      </c>
      <c r="Y958" s="48">
        <v>0</v>
      </c>
      <c r="AA958" s="1">
        <v>3</v>
      </c>
      <c r="AB958" s="1" t="s">
        <v>12</v>
      </c>
      <c r="AC958" s="1" t="s">
        <v>18</v>
      </c>
      <c r="AD958" s="1">
        <v>15</v>
      </c>
      <c r="AE958" s="1">
        <v>11</v>
      </c>
      <c r="AF958" s="1">
        <v>0.76</v>
      </c>
      <c r="AG958" s="1">
        <v>0.81</v>
      </c>
      <c r="AH958" s="1">
        <v>0</v>
      </c>
      <c r="AI958" s="1">
        <v>0</v>
      </c>
      <c r="AJ958" s="1">
        <f t="shared" si="78"/>
        <v>0</v>
      </c>
      <c r="AK958" s="1">
        <f>E93</f>
        <v>0</v>
      </c>
      <c r="AL958" s="1">
        <f>E99</f>
        <v>0</v>
      </c>
      <c r="AM958" s="1">
        <f t="shared" si="79"/>
        <v>0</v>
      </c>
      <c r="AN958" s="1">
        <f t="shared" si="80"/>
        <v>0</v>
      </c>
      <c r="AO958" s="1">
        <f t="shared" si="81"/>
        <v>0</v>
      </c>
      <c r="AP958" t="b" cm="1">
        <f t="array" ref="AP958">INDEX($AU$8:$BB$25,6*(R958-1)+MATCH(AB958,$AS$8:$AS$13,0),MATCH(O958,$AU$7:$BB$7,0))</f>
        <v>1</v>
      </c>
    </row>
    <row r="959" spans="15:42" ht="14.25" x14ac:dyDescent="0.45">
      <c r="O959" s="43" t="s">
        <v>36</v>
      </c>
      <c r="P959" s="43">
        <v>2</v>
      </c>
      <c r="Q959" s="43">
        <v>6</v>
      </c>
      <c r="R959" s="43">
        <v>1</v>
      </c>
      <c r="S959" s="45"/>
      <c r="T959" t="b">
        <f>(S959+S960+S961)=U3</f>
        <v>0</v>
      </c>
      <c r="X959" s="1">
        <f t="shared" si="83"/>
        <v>0</v>
      </c>
      <c r="Y959" s="48">
        <v>0</v>
      </c>
      <c r="AA959" s="1">
        <v>5</v>
      </c>
      <c r="AB959" s="1" t="s">
        <v>16</v>
      </c>
      <c r="AC959" s="1" t="s">
        <v>22</v>
      </c>
      <c r="AD959" s="1">
        <v>16</v>
      </c>
      <c r="AE959" s="1">
        <v>14</v>
      </c>
      <c r="AF959" s="1">
        <v>0.8</v>
      </c>
      <c r="AG959" s="1">
        <v>0.9</v>
      </c>
      <c r="AH959" s="1">
        <v>0</v>
      </c>
      <c r="AI959" s="1">
        <v>0</v>
      </c>
      <c r="AJ959" s="1">
        <f t="shared" si="78"/>
        <v>0</v>
      </c>
      <c r="AK959" s="1">
        <f>C97</f>
        <v>0</v>
      </c>
      <c r="AL959" s="1">
        <f>C103</f>
        <v>0</v>
      </c>
      <c r="AM959" s="1">
        <f t="shared" si="79"/>
        <v>0</v>
      </c>
      <c r="AN959" s="1">
        <f t="shared" si="80"/>
        <v>0</v>
      </c>
      <c r="AO959" s="1">
        <f t="shared" si="81"/>
        <v>0</v>
      </c>
      <c r="AP959" t="b" cm="1">
        <f t="array" ref="AP959">INDEX($AU$8:$BB$25,6*(R959-1)+MATCH(AB959,$AS$8:$AS$13,0),MATCH(O959,$AU$7:$BB$7,0))</f>
        <v>1</v>
      </c>
    </row>
    <row r="960" spans="15:42" ht="14.25" x14ac:dyDescent="0.45">
      <c r="O960" s="43" t="s">
        <v>36</v>
      </c>
      <c r="P960" s="43">
        <v>2</v>
      </c>
      <c r="Q960" s="43">
        <v>6</v>
      </c>
      <c r="R960" s="43">
        <v>2</v>
      </c>
      <c r="S960" s="45"/>
      <c r="T960" t="b">
        <f>(S959+S960+S961)=U3</f>
        <v>0</v>
      </c>
      <c r="X960" s="1">
        <f t="shared" si="83"/>
        <v>0</v>
      </c>
      <c r="Y960" s="48">
        <v>0</v>
      </c>
      <c r="AA960" s="1">
        <v>5</v>
      </c>
      <c r="AB960" s="1" t="s">
        <v>16</v>
      </c>
      <c r="AC960" s="1" t="s">
        <v>22</v>
      </c>
      <c r="AD960" s="1">
        <v>16</v>
      </c>
      <c r="AE960" s="1">
        <v>14</v>
      </c>
      <c r="AF960" s="1">
        <v>0.8</v>
      </c>
      <c r="AG960" s="1">
        <v>0.9</v>
      </c>
      <c r="AH960" s="1">
        <v>0</v>
      </c>
      <c r="AI960" s="1">
        <v>0</v>
      </c>
      <c r="AJ960" s="1">
        <f t="shared" si="78"/>
        <v>0</v>
      </c>
      <c r="AK960" s="1">
        <f>D97</f>
        <v>0</v>
      </c>
      <c r="AL960" s="1">
        <f>D103</f>
        <v>0</v>
      </c>
      <c r="AM960" s="1">
        <f t="shared" si="79"/>
        <v>0</v>
      </c>
      <c r="AN960" s="1">
        <f t="shared" si="80"/>
        <v>0</v>
      </c>
      <c r="AO960" s="1">
        <f t="shared" si="81"/>
        <v>0</v>
      </c>
      <c r="AP960" t="b" cm="1">
        <f t="array" ref="AP960">INDEX($AU$8:$BB$25,6*(R960-1)+MATCH(AB960,$AS$8:$AS$13,0),MATCH(O960,$AU$7:$BB$7,0))</f>
        <v>1</v>
      </c>
    </row>
    <row r="961" spans="15:42" ht="14.25" x14ac:dyDescent="0.45">
      <c r="O961" s="43" t="s">
        <v>36</v>
      </c>
      <c r="P961" s="43">
        <v>2</v>
      </c>
      <c r="Q961" s="43">
        <v>6</v>
      </c>
      <c r="R961" s="43">
        <v>3</v>
      </c>
      <c r="S961" s="45"/>
      <c r="T961" t="b">
        <f>(S959+S960+S961)=U3</f>
        <v>0</v>
      </c>
      <c r="X961" s="1">
        <f t="shared" si="83"/>
        <v>0</v>
      </c>
      <c r="Y961" s="48">
        <v>0</v>
      </c>
      <c r="AA961" s="1">
        <v>5</v>
      </c>
      <c r="AB961" s="1" t="s">
        <v>16</v>
      </c>
      <c r="AC961" s="1" t="s">
        <v>22</v>
      </c>
      <c r="AD961" s="1">
        <v>16</v>
      </c>
      <c r="AE961" s="1">
        <v>14</v>
      </c>
      <c r="AF961" s="1">
        <v>0.8</v>
      </c>
      <c r="AG961" s="1">
        <v>0.9</v>
      </c>
      <c r="AH961" s="1">
        <v>0</v>
      </c>
      <c r="AI961" s="1">
        <v>0</v>
      </c>
      <c r="AJ961" s="1">
        <f t="shared" si="78"/>
        <v>0</v>
      </c>
      <c r="AK961" s="1">
        <f>E97</f>
        <v>0</v>
      </c>
      <c r="AL961" s="1">
        <f>E103</f>
        <v>0</v>
      </c>
      <c r="AM961" s="1">
        <f t="shared" si="79"/>
        <v>0</v>
      </c>
      <c r="AN961" s="1">
        <f t="shared" si="80"/>
        <v>0</v>
      </c>
      <c r="AO961" s="1">
        <f t="shared" si="81"/>
        <v>0</v>
      </c>
      <c r="AP961" t="b" cm="1">
        <f t="array" ref="AP961">INDEX($AU$8:$BB$25,6*(R961-1)+MATCH(AB961,$AS$8:$AS$13,0),MATCH(O961,$AU$7:$BB$7,0))</f>
        <v>1</v>
      </c>
    </row>
    <row r="962" spans="15:42" ht="14.25" x14ac:dyDescent="0.45">
      <c r="O962" s="43" t="s">
        <v>36</v>
      </c>
      <c r="P962" s="43">
        <v>2</v>
      </c>
      <c r="Q962" s="43">
        <v>7</v>
      </c>
      <c r="R962" s="43">
        <v>1</v>
      </c>
      <c r="S962" s="45"/>
      <c r="T962" t="b">
        <f>(S962+S963+S964)=U3</f>
        <v>0</v>
      </c>
      <c r="X962" s="1">
        <f t="shared" si="83"/>
        <v>0</v>
      </c>
      <c r="Y962" s="48">
        <v>0</v>
      </c>
      <c r="AA962" s="1">
        <v>4</v>
      </c>
      <c r="AB962" s="1" t="s">
        <v>16</v>
      </c>
      <c r="AC962" s="1" t="s">
        <v>22</v>
      </c>
      <c r="AD962" s="1">
        <v>17</v>
      </c>
      <c r="AE962" s="1">
        <v>15</v>
      </c>
      <c r="AF962" s="1">
        <v>0.8</v>
      </c>
      <c r="AG962" s="1">
        <v>0.9</v>
      </c>
      <c r="AH962" s="1">
        <v>0</v>
      </c>
      <c r="AI962" s="1">
        <v>0</v>
      </c>
      <c r="AJ962" s="1">
        <f t="shared" si="78"/>
        <v>0</v>
      </c>
      <c r="AK962" s="1">
        <f>C97</f>
        <v>0</v>
      </c>
      <c r="AL962" s="1">
        <f>C103</f>
        <v>0</v>
      </c>
      <c r="AM962" s="1">
        <f t="shared" si="79"/>
        <v>0</v>
      </c>
      <c r="AN962" s="1">
        <f t="shared" si="80"/>
        <v>0</v>
      </c>
      <c r="AO962" s="1">
        <f t="shared" si="81"/>
        <v>0</v>
      </c>
      <c r="AP962" t="b" cm="1">
        <f t="array" ref="AP962">INDEX($AU$8:$BB$25,6*(R962-1)+MATCH(AB962,$AS$8:$AS$13,0),MATCH(O962,$AU$7:$BB$7,0))</f>
        <v>1</v>
      </c>
    </row>
    <row r="963" spans="15:42" ht="14.25" x14ac:dyDescent="0.45">
      <c r="O963" s="43" t="s">
        <v>36</v>
      </c>
      <c r="P963" s="43">
        <v>2</v>
      </c>
      <c r="Q963" s="43">
        <v>7</v>
      </c>
      <c r="R963" s="43">
        <v>2</v>
      </c>
      <c r="S963" s="45"/>
      <c r="T963" t="b">
        <f>(S962+S963+S964)=U3</f>
        <v>0</v>
      </c>
      <c r="X963" s="1">
        <f t="shared" si="83"/>
        <v>0</v>
      </c>
      <c r="Y963" s="48">
        <v>0</v>
      </c>
      <c r="AA963" s="1">
        <v>4</v>
      </c>
      <c r="AB963" s="1" t="s">
        <v>16</v>
      </c>
      <c r="AC963" s="1" t="s">
        <v>22</v>
      </c>
      <c r="AD963" s="1">
        <v>17</v>
      </c>
      <c r="AE963" s="1">
        <v>15</v>
      </c>
      <c r="AF963" s="1">
        <v>0.8</v>
      </c>
      <c r="AG963" s="1">
        <v>0.9</v>
      </c>
      <c r="AH963" s="1">
        <v>0</v>
      </c>
      <c r="AI963" s="1">
        <v>0</v>
      </c>
      <c r="AJ963" s="1">
        <f t="shared" si="78"/>
        <v>0</v>
      </c>
      <c r="AK963" s="1">
        <f>D97</f>
        <v>0</v>
      </c>
      <c r="AL963" s="1">
        <f>D103</f>
        <v>0</v>
      </c>
      <c r="AM963" s="1">
        <f t="shared" si="79"/>
        <v>0</v>
      </c>
      <c r="AN963" s="1">
        <f t="shared" si="80"/>
        <v>0</v>
      </c>
      <c r="AO963" s="1">
        <f t="shared" si="81"/>
        <v>0</v>
      </c>
      <c r="AP963" t="b" cm="1">
        <f t="array" ref="AP963">INDEX($AU$8:$BB$25,6*(R963-1)+MATCH(AB963,$AS$8:$AS$13,0),MATCH(O963,$AU$7:$BB$7,0))</f>
        <v>1</v>
      </c>
    </row>
    <row r="964" spans="15:42" ht="14.25" x14ac:dyDescent="0.45">
      <c r="O964" s="43" t="s">
        <v>36</v>
      </c>
      <c r="P964" s="43">
        <v>2</v>
      </c>
      <c r="Q964" s="43">
        <v>7</v>
      </c>
      <c r="R964" s="43">
        <v>3</v>
      </c>
      <c r="S964" s="45"/>
      <c r="T964" t="b">
        <f>(S962+S963+S964)=U3</f>
        <v>0</v>
      </c>
      <c r="X964" s="1">
        <f t="shared" si="83"/>
        <v>0</v>
      </c>
      <c r="Y964" s="48">
        <v>0</v>
      </c>
      <c r="AA964" s="1">
        <v>4</v>
      </c>
      <c r="AB964" s="1" t="s">
        <v>16</v>
      </c>
      <c r="AC964" s="1" t="s">
        <v>22</v>
      </c>
      <c r="AD964" s="1">
        <v>17</v>
      </c>
      <c r="AE964" s="1">
        <v>15</v>
      </c>
      <c r="AF964" s="1">
        <v>0.8</v>
      </c>
      <c r="AG964" s="1">
        <v>0.9</v>
      </c>
      <c r="AH964" s="1">
        <v>0</v>
      </c>
      <c r="AI964" s="1">
        <v>0</v>
      </c>
      <c r="AJ964" s="1">
        <f t="shared" si="78"/>
        <v>0</v>
      </c>
      <c r="AK964" s="1">
        <f>E97</f>
        <v>0</v>
      </c>
      <c r="AL964" s="1">
        <f>E103</f>
        <v>0</v>
      </c>
      <c r="AM964" s="1">
        <f t="shared" si="79"/>
        <v>0</v>
      </c>
      <c r="AN964" s="1">
        <f t="shared" si="80"/>
        <v>0</v>
      </c>
      <c r="AO964" s="1">
        <f t="shared" si="81"/>
        <v>0</v>
      </c>
      <c r="AP964" t="b" cm="1">
        <f t="array" ref="AP964">INDEX($AU$8:$BB$25,6*(R964-1)+MATCH(AB964,$AS$8:$AS$13,0),MATCH(O964,$AU$7:$BB$7,0))</f>
        <v>1</v>
      </c>
    </row>
    <row r="965" spans="15:42" ht="14.25" x14ac:dyDescent="0.45">
      <c r="O965" s="43" t="s">
        <v>36</v>
      </c>
      <c r="P965" s="43">
        <v>2</v>
      </c>
      <c r="Q965" s="43">
        <v>8</v>
      </c>
      <c r="R965" s="43">
        <v>1</v>
      </c>
      <c r="S965" s="45"/>
      <c r="T965" t="b">
        <f>(S965+S966+S967)=U3</f>
        <v>0</v>
      </c>
      <c r="X965" s="1">
        <f t="shared" si="83"/>
        <v>0</v>
      </c>
      <c r="Y965" s="48">
        <v>0</v>
      </c>
      <c r="AA965" s="1">
        <v>4</v>
      </c>
      <c r="AB965" s="1" t="s">
        <v>12</v>
      </c>
      <c r="AC965" s="1" t="s">
        <v>18</v>
      </c>
      <c r="AD965" s="1">
        <v>22</v>
      </c>
      <c r="AE965" s="1">
        <v>16</v>
      </c>
      <c r="AF965" s="1">
        <v>0.76</v>
      </c>
      <c r="AG965" s="1">
        <v>0.81</v>
      </c>
      <c r="AH965" s="1">
        <v>0</v>
      </c>
      <c r="AI965" s="1">
        <v>0</v>
      </c>
      <c r="AJ965" s="1">
        <f t="shared" si="78"/>
        <v>0</v>
      </c>
      <c r="AK965" s="1">
        <f>C93</f>
        <v>0</v>
      </c>
      <c r="AL965" s="1">
        <f>C99</f>
        <v>0</v>
      </c>
      <c r="AM965" s="1">
        <f t="shared" si="79"/>
        <v>0</v>
      </c>
      <c r="AN965" s="1">
        <f t="shared" si="80"/>
        <v>0</v>
      </c>
      <c r="AO965" s="1">
        <f t="shared" si="81"/>
        <v>0</v>
      </c>
      <c r="AP965" t="b" cm="1">
        <f t="array" ref="AP965">INDEX($AU$8:$BB$25,6*(R965-1)+MATCH(AB965,$AS$8:$AS$13,0),MATCH(O965,$AU$7:$BB$7,0))</f>
        <v>1</v>
      </c>
    </row>
    <row r="966" spans="15:42" ht="14.25" x14ac:dyDescent="0.45">
      <c r="O966" s="43" t="s">
        <v>36</v>
      </c>
      <c r="P966" s="43">
        <v>2</v>
      </c>
      <c r="Q966" s="43">
        <v>8</v>
      </c>
      <c r="R966" s="43">
        <v>2</v>
      </c>
      <c r="S966" s="45"/>
      <c r="T966" t="b">
        <f>(S965+S966+S967)=U3</f>
        <v>0</v>
      </c>
      <c r="X966" s="1">
        <f t="shared" si="83"/>
        <v>0</v>
      </c>
      <c r="Y966" s="48">
        <v>0</v>
      </c>
      <c r="AA966" s="1">
        <v>4</v>
      </c>
      <c r="AB966" s="1" t="s">
        <v>12</v>
      </c>
      <c r="AC966" s="1" t="s">
        <v>18</v>
      </c>
      <c r="AD966" s="1">
        <v>22</v>
      </c>
      <c r="AE966" s="1">
        <v>16</v>
      </c>
      <c r="AF966" s="1">
        <v>0.76</v>
      </c>
      <c r="AG966" s="1">
        <v>0.81</v>
      </c>
      <c r="AH966" s="1">
        <v>0</v>
      </c>
      <c r="AI966" s="1">
        <v>0</v>
      </c>
      <c r="AJ966" s="1">
        <f t="shared" si="78"/>
        <v>0</v>
      </c>
      <c r="AK966" s="1">
        <f>D93</f>
        <v>0</v>
      </c>
      <c r="AL966" s="1">
        <f>D99</f>
        <v>0</v>
      </c>
      <c r="AM966" s="1">
        <f t="shared" si="79"/>
        <v>0</v>
      </c>
      <c r="AN966" s="1">
        <f t="shared" si="80"/>
        <v>0</v>
      </c>
      <c r="AO966" s="1">
        <f t="shared" si="81"/>
        <v>0</v>
      </c>
      <c r="AP966" t="b" cm="1">
        <f t="array" ref="AP966">INDEX($AU$8:$BB$25,6*(R966-1)+MATCH(AB966,$AS$8:$AS$13,0),MATCH(O966,$AU$7:$BB$7,0))</f>
        <v>1</v>
      </c>
    </row>
    <row r="967" spans="15:42" ht="14.25" x14ac:dyDescent="0.45">
      <c r="O967" s="43" t="s">
        <v>36</v>
      </c>
      <c r="P967" s="43">
        <v>2</v>
      </c>
      <c r="Q967" s="43">
        <v>8</v>
      </c>
      <c r="R967" s="43">
        <v>3</v>
      </c>
      <c r="S967" s="45"/>
      <c r="T967" t="b">
        <f>(S965+S966+S967)=U3</f>
        <v>0</v>
      </c>
      <c r="X967" s="1">
        <f t="shared" si="83"/>
        <v>0</v>
      </c>
      <c r="Y967" s="48">
        <v>0</v>
      </c>
      <c r="AA967" s="1">
        <v>4</v>
      </c>
      <c r="AB967" s="1" t="s">
        <v>12</v>
      </c>
      <c r="AC967" s="1" t="s">
        <v>18</v>
      </c>
      <c r="AD967" s="1">
        <v>22</v>
      </c>
      <c r="AE967" s="1">
        <v>16</v>
      </c>
      <c r="AF967" s="1">
        <v>0.76</v>
      </c>
      <c r="AG967" s="1">
        <v>0.81</v>
      </c>
      <c r="AH967" s="1">
        <v>0</v>
      </c>
      <c r="AI967" s="1">
        <v>0</v>
      </c>
      <c r="AJ967" s="1">
        <f t="shared" si="78"/>
        <v>0</v>
      </c>
      <c r="AK967" s="1">
        <f>E93</f>
        <v>0</v>
      </c>
      <c r="AL967" s="1">
        <f>E99</f>
        <v>0</v>
      </c>
      <c r="AM967" s="1">
        <f t="shared" si="79"/>
        <v>0</v>
      </c>
      <c r="AN967" s="1">
        <f t="shared" si="80"/>
        <v>0</v>
      </c>
      <c r="AO967" s="1">
        <f t="shared" si="81"/>
        <v>0</v>
      </c>
      <c r="AP967" t="b" cm="1">
        <f t="array" ref="AP967">INDEX($AU$8:$BB$25,6*(R967-1)+MATCH(AB967,$AS$8:$AS$13,0),MATCH(O967,$AU$7:$BB$7,0))</f>
        <v>1</v>
      </c>
    </row>
    <row r="968" spans="15:42" ht="14.25" x14ac:dyDescent="0.45">
      <c r="O968" s="43" t="s">
        <v>36</v>
      </c>
      <c r="P968" s="43">
        <v>2</v>
      </c>
      <c r="Q968" s="43">
        <v>9</v>
      </c>
      <c r="R968" s="43">
        <v>1</v>
      </c>
      <c r="S968" s="45"/>
      <c r="T968" t="b">
        <f>(S968+S969+S970)=U3</f>
        <v>0</v>
      </c>
      <c r="X968" s="1">
        <f t="shared" si="83"/>
        <v>0</v>
      </c>
      <c r="Y968" s="48">
        <v>0</v>
      </c>
      <c r="AA968" s="1">
        <v>4</v>
      </c>
      <c r="AB968" s="1" t="s">
        <v>15</v>
      </c>
      <c r="AC968" s="1" t="s">
        <v>21</v>
      </c>
      <c r="AD968" s="1">
        <v>7</v>
      </c>
      <c r="AE968" s="1">
        <v>6</v>
      </c>
      <c r="AF968" s="1">
        <v>0.76</v>
      </c>
      <c r="AG968" s="1">
        <v>0.84</v>
      </c>
      <c r="AH968" s="1">
        <v>0</v>
      </c>
      <c r="AI968" s="1">
        <v>0</v>
      </c>
      <c r="AJ968" s="1">
        <f t="shared" si="78"/>
        <v>0</v>
      </c>
      <c r="AK968" s="1">
        <f>C96</f>
        <v>0</v>
      </c>
      <c r="AL968" s="1">
        <f>C102</f>
        <v>0</v>
      </c>
      <c r="AM968" s="1">
        <f t="shared" si="79"/>
        <v>0</v>
      </c>
      <c r="AN968" s="1">
        <f t="shared" si="80"/>
        <v>0</v>
      </c>
      <c r="AO968" s="1">
        <f t="shared" si="81"/>
        <v>0</v>
      </c>
      <c r="AP968" t="b" cm="1">
        <f t="array" ref="AP968">INDEX($AU$8:$BB$25,6*(R968-1)+MATCH(AB968,$AS$8:$AS$13,0),MATCH(O968,$AU$7:$BB$7,0))</f>
        <v>1</v>
      </c>
    </row>
    <row r="969" spans="15:42" ht="14.25" x14ac:dyDescent="0.45">
      <c r="O969" s="43" t="s">
        <v>36</v>
      </c>
      <c r="P969" s="43">
        <v>2</v>
      </c>
      <c r="Q969" s="43">
        <v>9</v>
      </c>
      <c r="R969" s="43">
        <v>2</v>
      </c>
      <c r="S969" s="45"/>
      <c r="T969" t="b">
        <f>(S968+S969+S970)=U3</f>
        <v>0</v>
      </c>
      <c r="X969" s="1">
        <f t="shared" si="83"/>
        <v>0</v>
      </c>
      <c r="Y969" s="48">
        <v>0</v>
      </c>
      <c r="AA969" s="1">
        <v>4</v>
      </c>
      <c r="AB969" s="1" t="s">
        <v>15</v>
      </c>
      <c r="AC969" s="1" t="s">
        <v>21</v>
      </c>
      <c r="AD969" s="1">
        <v>7</v>
      </c>
      <c r="AE969" s="1">
        <v>6</v>
      </c>
      <c r="AF969" s="1">
        <v>0.76</v>
      </c>
      <c r="AG969" s="1">
        <v>0.84</v>
      </c>
      <c r="AH969" s="1">
        <v>0</v>
      </c>
      <c r="AI969" s="1">
        <v>0</v>
      </c>
      <c r="AJ969" s="1">
        <f t="shared" ref="AJ969:AJ1030" si="84">SUMIFS(AH$8:AH$1039,$O$8:$O$1039,O969,$AB$8:$AB$1039,AB969,$R$8:$R$1039,R969,$AA$8:$AA$1039,"&lt;="&amp;AA969)</f>
        <v>0</v>
      </c>
      <c r="AK969" s="1">
        <f>D96</f>
        <v>0</v>
      </c>
      <c r="AL969" s="1">
        <f>D102</f>
        <v>0</v>
      </c>
      <c r="AM969" s="1">
        <f t="shared" ref="AM969:AM1032" si="85">MAX(0,AJ969-AK969)</f>
        <v>0</v>
      </c>
      <c r="AN969" s="1">
        <f t="shared" ref="AN969:AN1032" si="86">IF(AM969=0,AH969,IF(AM969&gt;=AH969,0,AH969-AM969))</f>
        <v>0</v>
      </c>
      <c r="AO969" s="1">
        <f t="shared" ref="AO969:AO1032" si="87">IF(AM969&gt;=AH969,AI969,AI969*AM969/AH969)</f>
        <v>0</v>
      </c>
      <c r="AP969" t="b" cm="1">
        <f t="array" ref="AP969">INDEX($AU$8:$BB$25,6*(R969-1)+MATCH(AB969,$AS$8:$AS$13,0),MATCH(O969,$AU$7:$BB$7,0))</f>
        <v>1</v>
      </c>
    </row>
    <row r="970" spans="15:42" ht="14.25" x14ac:dyDescent="0.45">
      <c r="O970" s="43" t="s">
        <v>36</v>
      </c>
      <c r="P970" s="43">
        <v>2</v>
      </c>
      <c r="Q970" s="43">
        <v>9</v>
      </c>
      <c r="R970" s="43">
        <v>3</v>
      </c>
      <c r="S970" s="45"/>
      <c r="T970" t="b">
        <f>(S968+S969+S970)=U3</f>
        <v>0</v>
      </c>
      <c r="X970" s="1">
        <f t="shared" si="83"/>
        <v>0</v>
      </c>
      <c r="Y970" s="48">
        <v>0</v>
      </c>
      <c r="AA970" s="1">
        <v>4</v>
      </c>
      <c r="AB970" s="1" t="s">
        <v>15</v>
      </c>
      <c r="AC970" s="1" t="s">
        <v>21</v>
      </c>
      <c r="AD970" s="1">
        <v>7</v>
      </c>
      <c r="AE970" s="1">
        <v>6</v>
      </c>
      <c r="AF970" s="1">
        <v>0.76</v>
      </c>
      <c r="AG970" s="1">
        <v>0.84</v>
      </c>
      <c r="AH970" s="1">
        <v>0</v>
      </c>
      <c r="AI970" s="1">
        <v>0</v>
      </c>
      <c r="AJ970" s="1">
        <f t="shared" si="84"/>
        <v>0</v>
      </c>
      <c r="AK970" s="1">
        <f>E96</f>
        <v>0</v>
      </c>
      <c r="AL970" s="1">
        <f>E102</f>
        <v>0</v>
      </c>
      <c r="AM970" s="1">
        <f t="shared" si="85"/>
        <v>0</v>
      </c>
      <c r="AN970" s="1">
        <f t="shared" si="86"/>
        <v>0</v>
      </c>
      <c r="AO970" s="1">
        <f t="shared" si="87"/>
        <v>0</v>
      </c>
      <c r="AP970" t="b" cm="1">
        <f t="array" ref="AP970">INDEX($AU$8:$BB$25,6*(R970-1)+MATCH(AB970,$AS$8:$AS$13,0),MATCH(O970,$AU$7:$BB$7,0))</f>
        <v>1</v>
      </c>
    </row>
    <row r="971" spans="15:42" ht="14.25" x14ac:dyDescent="0.45">
      <c r="O971" s="43" t="s">
        <v>36</v>
      </c>
      <c r="P971" s="43">
        <v>2</v>
      </c>
      <c r="Q971" s="43">
        <v>10</v>
      </c>
      <c r="R971" s="43">
        <v>1</v>
      </c>
      <c r="S971" s="45"/>
      <c r="T971" t="b">
        <f>(S971+S972+S973)=U3</f>
        <v>0</v>
      </c>
      <c r="X971" s="1">
        <f t="shared" si="83"/>
        <v>0</v>
      </c>
      <c r="Y971" s="48">
        <v>0</v>
      </c>
      <c r="AA971" s="1">
        <v>6</v>
      </c>
      <c r="AB971" s="1" t="s">
        <v>15</v>
      </c>
      <c r="AC971" s="1" t="s">
        <v>21</v>
      </c>
      <c r="AD971" s="1">
        <v>9</v>
      </c>
      <c r="AE971" s="1">
        <v>7</v>
      </c>
      <c r="AF971" s="1">
        <v>0.76</v>
      </c>
      <c r="AG971" s="1">
        <v>0.84</v>
      </c>
      <c r="AH971" s="1">
        <v>0</v>
      </c>
      <c r="AI971" s="1">
        <v>0</v>
      </c>
      <c r="AJ971" s="1">
        <f t="shared" si="84"/>
        <v>0</v>
      </c>
      <c r="AK971" s="1">
        <f>C96</f>
        <v>0</v>
      </c>
      <c r="AL971" s="1">
        <f>C102</f>
        <v>0</v>
      </c>
      <c r="AM971" s="1">
        <f t="shared" si="85"/>
        <v>0</v>
      </c>
      <c r="AN971" s="1">
        <f t="shared" si="86"/>
        <v>0</v>
      </c>
      <c r="AO971" s="1">
        <f t="shared" si="87"/>
        <v>0</v>
      </c>
      <c r="AP971" t="b" cm="1">
        <f t="array" ref="AP971">INDEX($AU$8:$BB$25,6*(R971-1)+MATCH(AB971,$AS$8:$AS$13,0),MATCH(O971,$AU$7:$BB$7,0))</f>
        <v>1</v>
      </c>
    </row>
    <row r="972" spans="15:42" ht="14.25" x14ac:dyDescent="0.45">
      <c r="O972" s="43" t="s">
        <v>36</v>
      </c>
      <c r="P972" s="43">
        <v>2</v>
      </c>
      <c r="Q972" s="43">
        <v>10</v>
      </c>
      <c r="R972" s="43">
        <v>2</v>
      </c>
      <c r="S972" s="45"/>
      <c r="T972" t="b">
        <f>(S971+S972+S973)=U3</f>
        <v>0</v>
      </c>
      <c r="X972" s="1">
        <f t="shared" si="83"/>
        <v>0</v>
      </c>
      <c r="Y972" s="48">
        <v>0</v>
      </c>
      <c r="AA972" s="1">
        <v>6</v>
      </c>
      <c r="AB972" s="1" t="s">
        <v>15</v>
      </c>
      <c r="AC972" s="1" t="s">
        <v>21</v>
      </c>
      <c r="AD972" s="1">
        <v>9</v>
      </c>
      <c r="AE972" s="1">
        <v>7</v>
      </c>
      <c r="AF972" s="1">
        <v>0.76</v>
      </c>
      <c r="AG972" s="1">
        <v>0.84</v>
      </c>
      <c r="AH972" s="1">
        <v>0</v>
      </c>
      <c r="AI972" s="1">
        <v>0</v>
      </c>
      <c r="AJ972" s="1">
        <f t="shared" si="84"/>
        <v>0</v>
      </c>
      <c r="AK972" s="1">
        <f>D96</f>
        <v>0</v>
      </c>
      <c r="AL972" s="1">
        <f>D102</f>
        <v>0</v>
      </c>
      <c r="AM972" s="1">
        <f t="shared" si="85"/>
        <v>0</v>
      </c>
      <c r="AN972" s="1">
        <f t="shared" si="86"/>
        <v>0</v>
      </c>
      <c r="AO972" s="1">
        <f t="shared" si="87"/>
        <v>0</v>
      </c>
      <c r="AP972" t="b" cm="1">
        <f t="array" ref="AP972">INDEX($AU$8:$BB$25,6*(R972-1)+MATCH(AB972,$AS$8:$AS$13,0),MATCH(O972,$AU$7:$BB$7,0))</f>
        <v>1</v>
      </c>
    </row>
    <row r="973" spans="15:42" ht="14.25" x14ac:dyDescent="0.45">
      <c r="O973" s="43" t="s">
        <v>36</v>
      </c>
      <c r="P973" s="43">
        <v>2</v>
      </c>
      <c r="Q973" s="43">
        <v>10</v>
      </c>
      <c r="R973" s="43">
        <v>3</v>
      </c>
      <c r="S973" s="45"/>
      <c r="T973" t="b">
        <f>(S971+S972+S973)=U3</f>
        <v>0</v>
      </c>
      <c r="X973" s="1">
        <f t="shared" si="83"/>
        <v>0</v>
      </c>
      <c r="Y973" s="48">
        <v>0</v>
      </c>
      <c r="AA973" s="1">
        <v>6</v>
      </c>
      <c r="AB973" s="1" t="s">
        <v>15</v>
      </c>
      <c r="AC973" s="1" t="s">
        <v>21</v>
      </c>
      <c r="AD973" s="1">
        <v>9</v>
      </c>
      <c r="AE973" s="1">
        <v>7</v>
      </c>
      <c r="AF973" s="1">
        <v>0.76</v>
      </c>
      <c r="AG973" s="1">
        <v>0.84</v>
      </c>
      <c r="AH973" s="1">
        <v>0</v>
      </c>
      <c r="AI973" s="1">
        <v>0</v>
      </c>
      <c r="AJ973" s="1">
        <f t="shared" si="84"/>
        <v>0</v>
      </c>
      <c r="AK973" s="1">
        <f>E96</f>
        <v>0</v>
      </c>
      <c r="AL973" s="1">
        <f>E102</f>
        <v>0</v>
      </c>
      <c r="AM973" s="1">
        <f t="shared" si="85"/>
        <v>0</v>
      </c>
      <c r="AN973" s="1">
        <f t="shared" si="86"/>
        <v>0</v>
      </c>
      <c r="AO973" s="1">
        <f t="shared" si="87"/>
        <v>0</v>
      </c>
      <c r="AP973" t="b" cm="1">
        <f t="array" ref="AP973">INDEX($AU$8:$BB$25,6*(R973-1)+MATCH(AB973,$AS$8:$AS$13,0),MATCH(O973,$AU$7:$BB$7,0))</f>
        <v>1</v>
      </c>
    </row>
    <row r="974" spans="15:42" ht="14.25" x14ac:dyDescent="0.45">
      <c r="O974" s="43" t="s">
        <v>36</v>
      </c>
      <c r="P974" s="43">
        <v>2</v>
      </c>
      <c r="Q974" s="43">
        <v>11</v>
      </c>
      <c r="R974" s="43">
        <v>1</v>
      </c>
      <c r="S974" s="45"/>
      <c r="T974" t="b">
        <f>(S974+S975+S976)=U3</f>
        <v>0</v>
      </c>
      <c r="X974" s="1">
        <f t="shared" si="83"/>
        <v>0</v>
      </c>
      <c r="Y974" s="48">
        <v>0</v>
      </c>
      <c r="AA974" s="1">
        <v>2</v>
      </c>
      <c r="AB974" s="1" t="s">
        <v>15</v>
      </c>
      <c r="AC974" s="1" t="s">
        <v>21</v>
      </c>
      <c r="AD974" s="1">
        <v>20</v>
      </c>
      <c r="AE974" s="1">
        <v>19</v>
      </c>
      <c r="AF974" s="1">
        <v>0.76</v>
      </c>
      <c r="AG974" s="1">
        <v>0.84</v>
      </c>
      <c r="AH974" s="1">
        <v>0</v>
      </c>
      <c r="AI974" s="1">
        <v>0</v>
      </c>
      <c r="AJ974" s="1">
        <f t="shared" si="84"/>
        <v>0</v>
      </c>
      <c r="AK974" s="1">
        <f>C96</f>
        <v>0</v>
      </c>
      <c r="AL974" s="1">
        <f>C102</f>
        <v>0</v>
      </c>
      <c r="AM974" s="1">
        <f t="shared" si="85"/>
        <v>0</v>
      </c>
      <c r="AN974" s="1">
        <f t="shared" si="86"/>
        <v>0</v>
      </c>
      <c r="AO974" s="1">
        <f t="shared" si="87"/>
        <v>0</v>
      </c>
      <c r="AP974" t="b" cm="1">
        <f t="array" ref="AP974">INDEX($AU$8:$BB$25,6*(R974-1)+MATCH(AB974,$AS$8:$AS$13,0),MATCH(O974,$AU$7:$BB$7,0))</f>
        <v>1</v>
      </c>
    </row>
    <row r="975" spans="15:42" ht="14.25" x14ac:dyDescent="0.45">
      <c r="O975" s="43" t="s">
        <v>36</v>
      </c>
      <c r="P975" s="43">
        <v>2</v>
      </c>
      <c r="Q975" s="43">
        <v>11</v>
      </c>
      <c r="R975" s="43">
        <v>2</v>
      </c>
      <c r="S975" s="45"/>
      <c r="T975" t="b">
        <f>(S974+S975+S976)=U3</f>
        <v>0</v>
      </c>
      <c r="X975" s="1">
        <f t="shared" si="83"/>
        <v>0</v>
      </c>
      <c r="Y975" s="48">
        <v>0</v>
      </c>
      <c r="AA975" s="1">
        <v>2</v>
      </c>
      <c r="AB975" s="1" t="s">
        <v>15</v>
      </c>
      <c r="AC975" s="1" t="s">
        <v>21</v>
      </c>
      <c r="AD975" s="1">
        <v>20</v>
      </c>
      <c r="AE975" s="1">
        <v>19</v>
      </c>
      <c r="AF975" s="1">
        <v>0.76</v>
      </c>
      <c r="AG975" s="1">
        <v>0.84</v>
      </c>
      <c r="AH975" s="1">
        <v>0</v>
      </c>
      <c r="AI975" s="1">
        <v>0</v>
      </c>
      <c r="AJ975" s="1">
        <f t="shared" si="84"/>
        <v>0</v>
      </c>
      <c r="AK975" s="1">
        <f>D96</f>
        <v>0</v>
      </c>
      <c r="AL975" s="1">
        <f>D102</f>
        <v>0</v>
      </c>
      <c r="AM975" s="1">
        <f t="shared" si="85"/>
        <v>0</v>
      </c>
      <c r="AN975" s="1">
        <f t="shared" si="86"/>
        <v>0</v>
      </c>
      <c r="AO975" s="1">
        <f t="shared" si="87"/>
        <v>0</v>
      </c>
      <c r="AP975" t="b" cm="1">
        <f t="array" ref="AP975">INDEX($AU$8:$BB$25,6*(R975-1)+MATCH(AB975,$AS$8:$AS$13,0),MATCH(O975,$AU$7:$BB$7,0))</f>
        <v>1</v>
      </c>
    </row>
    <row r="976" spans="15:42" ht="14.25" x14ac:dyDescent="0.45">
      <c r="O976" s="43" t="s">
        <v>36</v>
      </c>
      <c r="P976" s="43">
        <v>2</v>
      </c>
      <c r="Q976" s="43">
        <v>11</v>
      </c>
      <c r="R976" s="43">
        <v>3</v>
      </c>
      <c r="S976" s="45"/>
      <c r="T976" t="b">
        <f>(S974+S975+S976)=U3</f>
        <v>0</v>
      </c>
      <c r="X976" s="1">
        <f t="shared" si="83"/>
        <v>0</v>
      </c>
      <c r="Y976" s="48">
        <v>0</v>
      </c>
      <c r="AA976" s="1">
        <v>2</v>
      </c>
      <c r="AB976" s="1" t="s">
        <v>15</v>
      </c>
      <c r="AC976" s="1" t="s">
        <v>21</v>
      </c>
      <c r="AD976" s="1">
        <v>20</v>
      </c>
      <c r="AE976" s="1">
        <v>19</v>
      </c>
      <c r="AF976" s="1">
        <v>0.76</v>
      </c>
      <c r="AG976" s="1">
        <v>0.84</v>
      </c>
      <c r="AH976" s="1">
        <v>0</v>
      </c>
      <c r="AI976" s="1">
        <v>0</v>
      </c>
      <c r="AJ976" s="1">
        <f t="shared" si="84"/>
        <v>0</v>
      </c>
      <c r="AK976" s="1">
        <f>E96</f>
        <v>0</v>
      </c>
      <c r="AL976" s="1">
        <f>E102</f>
        <v>0</v>
      </c>
      <c r="AM976" s="1">
        <f t="shared" si="85"/>
        <v>0</v>
      </c>
      <c r="AN976" s="1">
        <f t="shared" si="86"/>
        <v>0</v>
      </c>
      <c r="AO976" s="1">
        <f t="shared" si="87"/>
        <v>0</v>
      </c>
      <c r="AP976" t="b" cm="1">
        <f t="array" ref="AP976">INDEX($AU$8:$BB$25,6*(R976-1)+MATCH(AB976,$AS$8:$AS$13,0),MATCH(O976,$AU$7:$BB$7,0))</f>
        <v>1</v>
      </c>
    </row>
    <row r="977" spans="15:42" ht="14.25" x14ac:dyDescent="0.45">
      <c r="O977" s="43" t="s">
        <v>36</v>
      </c>
      <c r="P977" s="43">
        <v>2</v>
      </c>
      <c r="Q977" s="43">
        <v>12</v>
      </c>
      <c r="R977" s="43">
        <v>1</v>
      </c>
      <c r="S977" s="45"/>
      <c r="T977" t="b">
        <f>(S977+S978+S979)=U3</f>
        <v>0</v>
      </c>
      <c r="X977" s="1">
        <f t="shared" si="83"/>
        <v>0</v>
      </c>
      <c r="Y977" s="48">
        <v>0</v>
      </c>
      <c r="AA977" s="1">
        <v>7</v>
      </c>
      <c r="AB977" s="1" t="s">
        <v>16</v>
      </c>
      <c r="AC977" s="1" t="s">
        <v>22</v>
      </c>
      <c r="AD977" s="1">
        <v>21</v>
      </c>
      <c r="AE977" s="1">
        <v>18</v>
      </c>
      <c r="AF977" s="1">
        <v>0.8</v>
      </c>
      <c r="AG977" s="1">
        <v>0.9</v>
      </c>
      <c r="AH977" s="1">
        <v>0</v>
      </c>
      <c r="AI977" s="1">
        <v>0</v>
      </c>
      <c r="AJ977" s="1">
        <f t="shared" si="84"/>
        <v>0</v>
      </c>
      <c r="AK977" s="1">
        <f>C97</f>
        <v>0</v>
      </c>
      <c r="AL977" s="1">
        <f>C103</f>
        <v>0</v>
      </c>
      <c r="AM977" s="1">
        <f t="shared" si="85"/>
        <v>0</v>
      </c>
      <c r="AN977" s="1">
        <f t="shared" si="86"/>
        <v>0</v>
      </c>
      <c r="AO977" s="1">
        <f t="shared" si="87"/>
        <v>0</v>
      </c>
      <c r="AP977" t="b" cm="1">
        <f t="array" ref="AP977">INDEX($AU$8:$BB$25,6*(R977-1)+MATCH(AB977,$AS$8:$AS$13,0),MATCH(O977,$AU$7:$BB$7,0))</f>
        <v>1</v>
      </c>
    </row>
    <row r="978" spans="15:42" ht="14.25" x14ac:dyDescent="0.45">
      <c r="O978" s="43" t="s">
        <v>36</v>
      </c>
      <c r="P978" s="43">
        <v>2</v>
      </c>
      <c r="Q978" s="43">
        <v>12</v>
      </c>
      <c r="R978" s="43">
        <v>2</v>
      </c>
      <c r="S978" s="45"/>
      <c r="T978" t="b">
        <f>(S977+S978+S979)=U3</f>
        <v>0</v>
      </c>
      <c r="X978" s="1">
        <f t="shared" si="83"/>
        <v>0</v>
      </c>
      <c r="Y978" s="48">
        <v>0</v>
      </c>
      <c r="AA978" s="1">
        <v>7</v>
      </c>
      <c r="AB978" s="1" t="s">
        <v>16</v>
      </c>
      <c r="AC978" s="1" t="s">
        <v>22</v>
      </c>
      <c r="AD978" s="1">
        <v>21</v>
      </c>
      <c r="AE978" s="1">
        <v>18</v>
      </c>
      <c r="AF978" s="1">
        <v>0.8</v>
      </c>
      <c r="AG978" s="1">
        <v>0.9</v>
      </c>
      <c r="AH978" s="1">
        <v>0</v>
      </c>
      <c r="AI978" s="1">
        <v>0</v>
      </c>
      <c r="AJ978" s="1">
        <f t="shared" si="84"/>
        <v>0</v>
      </c>
      <c r="AK978" s="1">
        <f>D97</f>
        <v>0</v>
      </c>
      <c r="AL978" s="1">
        <f>D103</f>
        <v>0</v>
      </c>
      <c r="AM978" s="1">
        <f t="shared" si="85"/>
        <v>0</v>
      </c>
      <c r="AN978" s="1">
        <f t="shared" si="86"/>
        <v>0</v>
      </c>
      <c r="AO978" s="1">
        <f t="shared" si="87"/>
        <v>0</v>
      </c>
      <c r="AP978" t="b" cm="1">
        <f t="array" ref="AP978">INDEX($AU$8:$BB$25,6*(R978-1)+MATCH(AB978,$AS$8:$AS$13,0),MATCH(O978,$AU$7:$BB$7,0))</f>
        <v>1</v>
      </c>
    </row>
    <row r="979" spans="15:42" ht="14.25" x14ac:dyDescent="0.45">
      <c r="O979" s="43" t="s">
        <v>36</v>
      </c>
      <c r="P979" s="43">
        <v>2</v>
      </c>
      <c r="Q979" s="43">
        <v>12</v>
      </c>
      <c r="R979" s="43">
        <v>3</v>
      </c>
      <c r="S979" s="45"/>
      <c r="T979" t="b">
        <f>(S977+S978+S979)=U3</f>
        <v>0</v>
      </c>
      <c r="X979" s="1">
        <f t="shared" si="83"/>
        <v>0</v>
      </c>
      <c r="Y979" s="48">
        <v>0</v>
      </c>
      <c r="AA979" s="1">
        <v>7</v>
      </c>
      <c r="AB979" s="1" t="s">
        <v>16</v>
      </c>
      <c r="AC979" s="1" t="s">
        <v>22</v>
      </c>
      <c r="AD979" s="1">
        <v>21</v>
      </c>
      <c r="AE979" s="1">
        <v>18</v>
      </c>
      <c r="AF979" s="1">
        <v>0.8</v>
      </c>
      <c r="AG979" s="1">
        <v>0.9</v>
      </c>
      <c r="AH979" s="1">
        <v>0</v>
      </c>
      <c r="AI979" s="1">
        <v>0</v>
      </c>
      <c r="AJ979" s="1">
        <f t="shared" si="84"/>
        <v>0</v>
      </c>
      <c r="AK979" s="1">
        <f>E97</f>
        <v>0</v>
      </c>
      <c r="AL979" s="1">
        <f>E103</f>
        <v>0</v>
      </c>
      <c r="AM979" s="1">
        <f t="shared" si="85"/>
        <v>0</v>
      </c>
      <c r="AN979" s="1">
        <f t="shared" si="86"/>
        <v>0</v>
      </c>
      <c r="AO979" s="1">
        <f t="shared" si="87"/>
        <v>0</v>
      </c>
      <c r="AP979" t="b" cm="1">
        <f t="array" ref="AP979">INDEX($AU$8:$BB$25,6*(R979-1)+MATCH(AB979,$AS$8:$AS$13,0),MATCH(O979,$AU$7:$BB$7,0))</f>
        <v>1</v>
      </c>
    </row>
    <row r="980" spans="15:42" ht="14.25" x14ac:dyDescent="0.45">
      <c r="O980" s="43" t="s">
        <v>36</v>
      </c>
      <c r="P980" s="43">
        <v>2</v>
      </c>
      <c r="Q980" s="43">
        <v>13</v>
      </c>
      <c r="R980" s="43">
        <v>1</v>
      </c>
      <c r="S980" s="45"/>
      <c r="T980" t="b">
        <f>(S980+S981+S982)=U3</f>
        <v>0</v>
      </c>
      <c r="X980" s="1">
        <f t="shared" si="83"/>
        <v>0</v>
      </c>
      <c r="Y980" s="48">
        <v>0</v>
      </c>
      <c r="AA980" s="1">
        <v>8</v>
      </c>
      <c r="AB980" s="1" t="s">
        <v>15</v>
      </c>
      <c r="AC980" s="1" t="s">
        <v>21</v>
      </c>
      <c r="AD980" s="1">
        <v>12</v>
      </c>
      <c r="AE980" s="1">
        <v>9</v>
      </c>
      <c r="AF980" s="1">
        <v>0.76</v>
      </c>
      <c r="AG980" s="1">
        <v>0.84</v>
      </c>
      <c r="AH980" s="1">
        <v>0</v>
      </c>
      <c r="AI980" s="1">
        <v>0</v>
      </c>
      <c r="AJ980" s="1">
        <f t="shared" si="84"/>
        <v>0</v>
      </c>
      <c r="AK980" s="1">
        <f>C96</f>
        <v>0</v>
      </c>
      <c r="AL980" s="1">
        <f>C102</f>
        <v>0</v>
      </c>
      <c r="AM980" s="1">
        <f t="shared" si="85"/>
        <v>0</v>
      </c>
      <c r="AN980" s="1">
        <f t="shared" si="86"/>
        <v>0</v>
      </c>
      <c r="AO980" s="1">
        <f t="shared" si="87"/>
        <v>0</v>
      </c>
      <c r="AP980" t="b" cm="1">
        <f t="array" ref="AP980">INDEX($AU$8:$BB$25,6*(R980-1)+MATCH(AB980,$AS$8:$AS$13,0),MATCH(O980,$AU$7:$BB$7,0))</f>
        <v>1</v>
      </c>
    </row>
    <row r="981" spans="15:42" ht="14.25" x14ac:dyDescent="0.45">
      <c r="O981" s="43" t="s">
        <v>36</v>
      </c>
      <c r="P981" s="43">
        <v>2</v>
      </c>
      <c r="Q981" s="43">
        <v>13</v>
      </c>
      <c r="R981" s="43">
        <v>2</v>
      </c>
      <c r="S981" s="45"/>
      <c r="T981" t="b">
        <f>(S980+S981+S982)=U3</f>
        <v>0</v>
      </c>
      <c r="X981" s="1">
        <f t="shared" si="83"/>
        <v>0</v>
      </c>
      <c r="Y981" s="48">
        <v>0</v>
      </c>
      <c r="AA981" s="1">
        <v>8</v>
      </c>
      <c r="AB981" s="1" t="s">
        <v>15</v>
      </c>
      <c r="AC981" s="1" t="s">
        <v>21</v>
      </c>
      <c r="AD981" s="1">
        <v>12</v>
      </c>
      <c r="AE981" s="1">
        <v>9</v>
      </c>
      <c r="AF981" s="1">
        <v>0.76</v>
      </c>
      <c r="AG981" s="1">
        <v>0.84</v>
      </c>
      <c r="AH981" s="1">
        <v>0</v>
      </c>
      <c r="AI981" s="1">
        <v>0</v>
      </c>
      <c r="AJ981" s="1">
        <f t="shared" si="84"/>
        <v>0</v>
      </c>
      <c r="AK981" s="1">
        <f>D96</f>
        <v>0</v>
      </c>
      <c r="AL981" s="1">
        <f>D102</f>
        <v>0</v>
      </c>
      <c r="AM981" s="1">
        <f t="shared" si="85"/>
        <v>0</v>
      </c>
      <c r="AN981" s="1">
        <f t="shared" si="86"/>
        <v>0</v>
      </c>
      <c r="AO981" s="1">
        <f t="shared" si="87"/>
        <v>0</v>
      </c>
      <c r="AP981" t="b" cm="1">
        <f t="array" ref="AP981">INDEX($AU$8:$BB$25,6*(R981-1)+MATCH(AB981,$AS$8:$AS$13,0),MATCH(O981,$AU$7:$BB$7,0))</f>
        <v>1</v>
      </c>
    </row>
    <row r="982" spans="15:42" ht="14.25" x14ac:dyDescent="0.45">
      <c r="O982" s="43" t="s">
        <v>36</v>
      </c>
      <c r="P982" s="43">
        <v>2</v>
      </c>
      <c r="Q982" s="43">
        <v>13</v>
      </c>
      <c r="R982" s="43">
        <v>3</v>
      </c>
      <c r="S982" s="45"/>
      <c r="T982" t="b">
        <f>(S980+S981+S982)=U3</f>
        <v>0</v>
      </c>
      <c r="X982" s="1">
        <f t="shared" si="83"/>
        <v>0</v>
      </c>
      <c r="Y982" s="48">
        <v>0</v>
      </c>
      <c r="AA982" s="1">
        <v>8</v>
      </c>
      <c r="AB982" s="1" t="s">
        <v>15</v>
      </c>
      <c r="AC982" s="1" t="s">
        <v>21</v>
      </c>
      <c r="AD982" s="1">
        <v>12</v>
      </c>
      <c r="AE982" s="1">
        <v>9</v>
      </c>
      <c r="AF982" s="1">
        <v>0.76</v>
      </c>
      <c r="AG982" s="1">
        <v>0.84</v>
      </c>
      <c r="AH982" s="1">
        <v>0</v>
      </c>
      <c r="AI982" s="1">
        <v>0</v>
      </c>
      <c r="AJ982" s="1">
        <f t="shared" si="84"/>
        <v>0</v>
      </c>
      <c r="AK982" s="1">
        <f>E96</f>
        <v>0</v>
      </c>
      <c r="AL982" s="1">
        <f>E102</f>
        <v>0</v>
      </c>
      <c r="AM982" s="1">
        <f t="shared" si="85"/>
        <v>0</v>
      </c>
      <c r="AN982" s="1">
        <f t="shared" si="86"/>
        <v>0</v>
      </c>
      <c r="AO982" s="1">
        <f t="shared" si="87"/>
        <v>0</v>
      </c>
      <c r="AP982" t="b" cm="1">
        <f t="array" ref="AP982">INDEX($AU$8:$BB$25,6*(R982-1)+MATCH(AB982,$AS$8:$AS$13,0),MATCH(O982,$AU$7:$BB$7,0))</f>
        <v>1</v>
      </c>
    </row>
    <row r="983" spans="15:42" ht="14.25" x14ac:dyDescent="0.45">
      <c r="O983" s="43" t="s">
        <v>36</v>
      </c>
      <c r="P983" s="43">
        <v>2</v>
      </c>
      <c r="Q983" s="43">
        <v>14</v>
      </c>
      <c r="R983" s="43">
        <v>1</v>
      </c>
      <c r="S983" s="45"/>
      <c r="T983" t="b">
        <f>(S983+S984+S985)=U3</f>
        <v>0</v>
      </c>
      <c r="X983" s="1">
        <f t="shared" si="83"/>
        <v>0</v>
      </c>
      <c r="Y983" s="48">
        <v>0</v>
      </c>
      <c r="AA983" s="1">
        <v>5</v>
      </c>
      <c r="AB983" s="1" t="s">
        <v>15</v>
      </c>
      <c r="AC983" s="1" t="s">
        <v>21</v>
      </c>
      <c r="AD983" s="1">
        <v>15</v>
      </c>
      <c r="AE983" s="1">
        <v>12</v>
      </c>
      <c r="AF983" s="1">
        <v>0.76</v>
      </c>
      <c r="AG983" s="1">
        <v>0.84</v>
      </c>
      <c r="AH983" s="1">
        <v>0</v>
      </c>
      <c r="AI983" s="1">
        <v>0</v>
      </c>
      <c r="AJ983" s="1">
        <f t="shared" si="84"/>
        <v>0</v>
      </c>
      <c r="AK983" s="1">
        <f>C96</f>
        <v>0</v>
      </c>
      <c r="AL983" s="1">
        <f>C102</f>
        <v>0</v>
      </c>
      <c r="AM983" s="1">
        <f t="shared" si="85"/>
        <v>0</v>
      </c>
      <c r="AN983" s="1">
        <f t="shared" si="86"/>
        <v>0</v>
      </c>
      <c r="AO983" s="1">
        <f t="shared" si="87"/>
        <v>0</v>
      </c>
      <c r="AP983" t="b" cm="1">
        <f t="array" ref="AP983">INDEX($AU$8:$BB$25,6*(R983-1)+MATCH(AB983,$AS$8:$AS$13,0),MATCH(O983,$AU$7:$BB$7,0))</f>
        <v>1</v>
      </c>
    </row>
    <row r="984" spans="15:42" ht="14.25" x14ac:dyDescent="0.45">
      <c r="O984" s="43" t="s">
        <v>36</v>
      </c>
      <c r="P984" s="43">
        <v>2</v>
      </c>
      <c r="Q984" s="43">
        <v>14</v>
      </c>
      <c r="R984" s="43">
        <v>2</v>
      </c>
      <c r="S984" s="45"/>
      <c r="T984" t="b">
        <f>(S983+S984+S985)=U3</f>
        <v>0</v>
      </c>
      <c r="X984" s="1">
        <f t="shared" si="83"/>
        <v>0</v>
      </c>
      <c r="Y984" s="48">
        <v>0</v>
      </c>
      <c r="AA984" s="1">
        <v>5</v>
      </c>
      <c r="AB984" s="1" t="s">
        <v>15</v>
      </c>
      <c r="AC984" s="1" t="s">
        <v>21</v>
      </c>
      <c r="AD984" s="1">
        <v>15</v>
      </c>
      <c r="AE984" s="1">
        <v>12</v>
      </c>
      <c r="AF984" s="1">
        <v>0.76</v>
      </c>
      <c r="AG984" s="1">
        <v>0.84</v>
      </c>
      <c r="AH984" s="1">
        <v>0</v>
      </c>
      <c r="AI984" s="1">
        <v>0</v>
      </c>
      <c r="AJ984" s="1">
        <f t="shared" si="84"/>
        <v>0</v>
      </c>
      <c r="AK984" s="1">
        <f>D96</f>
        <v>0</v>
      </c>
      <c r="AL984" s="1">
        <f>D102</f>
        <v>0</v>
      </c>
      <c r="AM984" s="1">
        <f t="shared" si="85"/>
        <v>0</v>
      </c>
      <c r="AN984" s="1">
        <f t="shared" si="86"/>
        <v>0</v>
      </c>
      <c r="AO984" s="1">
        <f t="shared" si="87"/>
        <v>0</v>
      </c>
      <c r="AP984" t="b" cm="1">
        <f t="array" ref="AP984">INDEX($AU$8:$BB$25,6*(R984-1)+MATCH(AB984,$AS$8:$AS$13,0),MATCH(O984,$AU$7:$BB$7,0))</f>
        <v>1</v>
      </c>
    </row>
    <row r="985" spans="15:42" ht="14.25" x14ac:dyDescent="0.45">
      <c r="O985" s="43" t="s">
        <v>36</v>
      </c>
      <c r="P985" s="43">
        <v>2</v>
      </c>
      <c r="Q985" s="43">
        <v>14</v>
      </c>
      <c r="R985" s="43">
        <v>3</v>
      </c>
      <c r="S985" s="45"/>
      <c r="T985" t="b">
        <f>(S983+S984+S985)=U3</f>
        <v>0</v>
      </c>
      <c r="X985" s="1">
        <f t="shared" si="83"/>
        <v>0</v>
      </c>
      <c r="Y985" s="48">
        <v>0</v>
      </c>
      <c r="AA985" s="1">
        <v>5</v>
      </c>
      <c r="AB985" s="1" t="s">
        <v>15</v>
      </c>
      <c r="AC985" s="1" t="s">
        <v>21</v>
      </c>
      <c r="AD985" s="1">
        <v>15</v>
      </c>
      <c r="AE985" s="1">
        <v>12</v>
      </c>
      <c r="AF985" s="1">
        <v>0.76</v>
      </c>
      <c r="AG985" s="1">
        <v>0.84</v>
      </c>
      <c r="AH985" s="1">
        <v>0</v>
      </c>
      <c r="AI985" s="1">
        <v>0</v>
      </c>
      <c r="AJ985" s="1">
        <f t="shared" si="84"/>
        <v>0</v>
      </c>
      <c r="AK985" s="1">
        <f>E96</f>
        <v>0</v>
      </c>
      <c r="AL985" s="1">
        <f>E102</f>
        <v>0</v>
      </c>
      <c r="AM985" s="1">
        <f t="shared" si="85"/>
        <v>0</v>
      </c>
      <c r="AN985" s="1">
        <f t="shared" si="86"/>
        <v>0</v>
      </c>
      <c r="AO985" s="1">
        <f t="shared" si="87"/>
        <v>0</v>
      </c>
      <c r="AP985" t="b" cm="1">
        <f t="array" ref="AP985">INDEX($AU$8:$BB$25,6*(R985-1)+MATCH(AB985,$AS$8:$AS$13,0),MATCH(O985,$AU$7:$BB$7,0))</f>
        <v>1</v>
      </c>
    </row>
    <row r="986" spans="15:42" ht="14.25" x14ac:dyDescent="0.45">
      <c r="O986" s="43" t="s">
        <v>36</v>
      </c>
      <c r="P986" s="43">
        <v>2</v>
      </c>
      <c r="Q986" s="43">
        <v>15</v>
      </c>
      <c r="R986" s="43">
        <v>1</v>
      </c>
      <c r="S986" s="45"/>
      <c r="T986" t="b">
        <f>(S986+S987+S988)=U3</f>
        <v>0</v>
      </c>
      <c r="X986" s="1">
        <f t="shared" si="83"/>
        <v>0</v>
      </c>
      <c r="Y986" s="48">
        <v>0</v>
      </c>
      <c r="AA986" s="1">
        <v>7</v>
      </c>
      <c r="AB986" s="1" t="s">
        <v>15</v>
      </c>
      <c r="AC986" s="1" t="s">
        <v>21</v>
      </c>
      <c r="AD986" s="1">
        <v>13</v>
      </c>
      <c r="AE986" s="1">
        <v>10</v>
      </c>
      <c r="AF986" s="1">
        <v>0.76</v>
      </c>
      <c r="AG986" s="1">
        <v>0.84</v>
      </c>
      <c r="AH986" s="1">
        <v>0</v>
      </c>
      <c r="AI986" s="1">
        <v>0</v>
      </c>
      <c r="AJ986" s="1">
        <f t="shared" si="84"/>
        <v>0</v>
      </c>
      <c r="AK986" s="1">
        <f>C96</f>
        <v>0</v>
      </c>
      <c r="AL986" s="1">
        <f>C102</f>
        <v>0</v>
      </c>
      <c r="AM986" s="1">
        <f t="shared" si="85"/>
        <v>0</v>
      </c>
      <c r="AN986" s="1">
        <f t="shared" si="86"/>
        <v>0</v>
      </c>
      <c r="AO986" s="1">
        <f t="shared" si="87"/>
        <v>0</v>
      </c>
      <c r="AP986" t="b" cm="1">
        <f t="array" ref="AP986">INDEX($AU$8:$BB$25,6*(R986-1)+MATCH(AB986,$AS$8:$AS$13,0),MATCH(O986,$AU$7:$BB$7,0))</f>
        <v>1</v>
      </c>
    </row>
    <row r="987" spans="15:42" ht="14.25" x14ac:dyDescent="0.45">
      <c r="O987" s="43" t="s">
        <v>36</v>
      </c>
      <c r="P987" s="43">
        <v>2</v>
      </c>
      <c r="Q987" s="43">
        <v>15</v>
      </c>
      <c r="R987" s="43">
        <v>2</v>
      </c>
      <c r="S987" s="45"/>
      <c r="T987" t="b">
        <f>(S986+S987+S988)=U3</f>
        <v>0</v>
      </c>
      <c r="X987" s="1">
        <f t="shared" si="83"/>
        <v>0</v>
      </c>
      <c r="Y987" s="48">
        <v>0</v>
      </c>
      <c r="AA987" s="1">
        <v>7</v>
      </c>
      <c r="AB987" s="1" t="s">
        <v>15</v>
      </c>
      <c r="AC987" s="1" t="s">
        <v>21</v>
      </c>
      <c r="AD987" s="1">
        <v>13</v>
      </c>
      <c r="AE987" s="1">
        <v>10</v>
      </c>
      <c r="AF987" s="1">
        <v>0.76</v>
      </c>
      <c r="AG987" s="1">
        <v>0.84</v>
      </c>
      <c r="AH987" s="1">
        <v>0</v>
      </c>
      <c r="AI987" s="1">
        <v>0</v>
      </c>
      <c r="AJ987" s="1">
        <f t="shared" si="84"/>
        <v>0</v>
      </c>
      <c r="AK987" s="1">
        <f>D96</f>
        <v>0</v>
      </c>
      <c r="AL987" s="1">
        <f>D102</f>
        <v>0</v>
      </c>
      <c r="AM987" s="1">
        <f t="shared" si="85"/>
        <v>0</v>
      </c>
      <c r="AN987" s="1">
        <f t="shared" si="86"/>
        <v>0</v>
      </c>
      <c r="AO987" s="1">
        <f t="shared" si="87"/>
        <v>0</v>
      </c>
      <c r="AP987" t="b" cm="1">
        <f t="array" ref="AP987">INDEX($AU$8:$BB$25,6*(R987-1)+MATCH(AB987,$AS$8:$AS$13,0),MATCH(O987,$AU$7:$BB$7,0))</f>
        <v>1</v>
      </c>
    </row>
    <row r="988" spans="15:42" ht="14.25" x14ac:dyDescent="0.45">
      <c r="O988" s="43" t="s">
        <v>36</v>
      </c>
      <c r="P988" s="43">
        <v>2</v>
      </c>
      <c r="Q988" s="43">
        <v>15</v>
      </c>
      <c r="R988" s="43">
        <v>3</v>
      </c>
      <c r="S988" s="45"/>
      <c r="T988" t="b">
        <f>(S986+S987+S988)=U3</f>
        <v>0</v>
      </c>
      <c r="X988" s="1">
        <f t="shared" si="83"/>
        <v>0</v>
      </c>
      <c r="Y988" s="48">
        <v>0</v>
      </c>
      <c r="AA988" s="1">
        <v>7</v>
      </c>
      <c r="AB988" s="1" t="s">
        <v>15</v>
      </c>
      <c r="AC988" s="1" t="s">
        <v>21</v>
      </c>
      <c r="AD988" s="1">
        <v>13</v>
      </c>
      <c r="AE988" s="1">
        <v>10</v>
      </c>
      <c r="AF988" s="1">
        <v>0.76</v>
      </c>
      <c r="AG988" s="1">
        <v>0.84</v>
      </c>
      <c r="AH988" s="1">
        <v>0</v>
      </c>
      <c r="AI988" s="1">
        <v>0</v>
      </c>
      <c r="AJ988" s="1">
        <f t="shared" si="84"/>
        <v>0</v>
      </c>
      <c r="AK988" s="1">
        <f>E96</f>
        <v>0</v>
      </c>
      <c r="AL988" s="1">
        <f>E102</f>
        <v>0</v>
      </c>
      <c r="AM988" s="1">
        <f t="shared" si="85"/>
        <v>0</v>
      </c>
      <c r="AN988" s="1">
        <f t="shared" si="86"/>
        <v>0</v>
      </c>
      <c r="AO988" s="1">
        <f t="shared" si="87"/>
        <v>0</v>
      </c>
      <c r="AP988" t="b" cm="1">
        <f t="array" ref="AP988">INDEX($AU$8:$BB$25,6*(R988-1)+MATCH(AB988,$AS$8:$AS$13,0),MATCH(O988,$AU$7:$BB$7,0))</f>
        <v>1</v>
      </c>
    </row>
    <row r="989" spans="15:42" ht="14.25" x14ac:dyDescent="0.45">
      <c r="O989" s="43" t="s">
        <v>36</v>
      </c>
      <c r="P989" s="43">
        <v>3</v>
      </c>
      <c r="Q989" s="43">
        <v>1</v>
      </c>
      <c r="R989" s="43">
        <v>1</v>
      </c>
      <c r="S989" s="45"/>
      <c r="T989" t="b">
        <f>(S989+S990+S991)=U4</f>
        <v>0</v>
      </c>
      <c r="X989" s="1">
        <v>0</v>
      </c>
      <c r="Y989" s="48">
        <v>0</v>
      </c>
      <c r="AA989" s="1">
        <v>1</v>
      </c>
      <c r="AB989" s="1" t="s">
        <v>13</v>
      </c>
      <c r="AC989" s="1" t="s">
        <v>19</v>
      </c>
      <c r="AD989" s="1">
        <v>21</v>
      </c>
      <c r="AE989" s="1">
        <v>20</v>
      </c>
      <c r="AF989" s="1">
        <v>0.8</v>
      </c>
      <c r="AG989" s="1">
        <v>0.86</v>
      </c>
      <c r="AH989" s="1">
        <v>0</v>
      </c>
      <c r="AI989" s="1">
        <v>0</v>
      </c>
      <c r="AJ989" s="1">
        <f t="shared" si="84"/>
        <v>0</v>
      </c>
      <c r="AK989" s="1">
        <f>C94</f>
        <v>0</v>
      </c>
      <c r="AL989" s="1">
        <f>C100</f>
        <v>0</v>
      </c>
      <c r="AM989" s="1">
        <f t="shared" si="85"/>
        <v>0</v>
      </c>
      <c r="AN989" s="1">
        <f t="shared" si="86"/>
        <v>0</v>
      </c>
      <c r="AO989" s="1">
        <f t="shared" si="87"/>
        <v>0</v>
      </c>
      <c r="AP989" t="b" cm="1">
        <f t="array" ref="AP989">INDEX($AU$8:$BB$25,6*(R989-1)+MATCH(AB989,$AS$8:$AS$13,0),MATCH(O989,$AU$7:$BB$7,0))</f>
        <v>1</v>
      </c>
    </row>
    <row r="990" spans="15:42" ht="14.25" x14ac:dyDescent="0.45">
      <c r="O990" s="43" t="s">
        <v>36</v>
      </c>
      <c r="P990" s="43">
        <v>3</v>
      </c>
      <c r="Q990" s="43">
        <v>1</v>
      </c>
      <c r="R990" s="43">
        <v>2</v>
      </c>
      <c r="S990" s="45"/>
      <c r="T990" t="b">
        <f>(S989+S990+S991)=U4</f>
        <v>0</v>
      </c>
      <c r="X990" s="1">
        <v>0</v>
      </c>
      <c r="Y990" s="48">
        <v>0</v>
      </c>
      <c r="AA990" s="1">
        <v>1</v>
      </c>
      <c r="AB990" s="1" t="s">
        <v>13</v>
      </c>
      <c r="AC990" s="1" t="s">
        <v>19</v>
      </c>
      <c r="AD990" s="1">
        <v>21</v>
      </c>
      <c r="AE990" s="1">
        <v>20</v>
      </c>
      <c r="AF990" s="1">
        <v>0.8</v>
      </c>
      <c r="AG990" s="1">
        <v>0.86</v>
      </c>
      <c r="AH990" s="1">
        <v>0</v>
      </c>
      <c r="AI990" s="1">
        <v>0</v>
      </c>
      <c r="AJ990" s="1">
        <f t="shared" si="84"/>
        <v>0</v>
      </c>
      <c r="AK990" s="1">
        <f>D94</f>
        <v>0</v>
      </c>
      <c r="AL990" s="1">
        <f>D100</f>
        <v>0</v>
      </c>
      <c r="AM990" s="1">
        <f t="shared" si="85"/>
        <v>0</v>
      </c>
      <c r="AN990" s="1">
        <f t="shared" si="86"/>
        <v>0</v>
      </c>
      <c r="AO990" s="1">
        <f t="shared" si="87"/>
        <v>0</v>
      </c>
      <c r="AP990" t="b" cm="1">
        <f t="array" ref="AP990">INDEX($AU$8:$BB$25,6*(R990-1)+MATCH(AB990,$AS$8:$AS$13,0),MATCH(O990,$AU$7:$BB$7,0))</f>
        <v>1</v>
      </c>
    </row>
    <row r="991" spans="15:42" ht="14.25" x14ac:dyDescent="0.45">
      <c r="O991" s="43" t="s">
        <v>36</v>
      </c>
      <c r="P991" s="43">
        <v>3</v>
      </c>
      <c r="Q991" s="43">
        <v>1</v>
      </c>
      <c r="R991" s="43">
        <v>3</v>
      </c>
      <c r="S991" s="45"/>
      <c r="T991" t="b">
        <f>(S989+S990+S991)=U4</f>
        <v>0</v>
      </c>
      <c r="X991" s="1">
        <v>0</v>
      </c>
      <c r="Y991" s="48">
        <v>0</v>
      </c>
      <c r="AA991" s="1">
        <v>1</v>
      </c>
      <c r="AB991" s="1" t="s">
        <v>13</v>
      </c>
      <c r="AC991" s="1" t="s">
        <v>19</v>
      </c>
      <c r="AD991" s="1">
        <v>21</v>
      </c>
      <c r="AE991" s="1">
        <v>20</v>
      </c>
      <c r="AF991" s="1">
        <v>0.8</v>
      </c>
      <c r="AG991" s="1">
        <v>0.86</v>
      </c>
      <c r="AH991" s="1">
        <v>0</v>
      </c>
      <c r="AI991" s="1">
        <v>0</v>
      </c>
      <c r="AJ991" s="1">
        <f t="shared" si="84"/>
        <v>0</v>
      </c>
      <c r="AK991" s="1">
        <f>E94</f>
        <v>0</v>
      </c>
      <c r="AL991" s="1">
        <f>E100</f>
        <v>0</v>
      </c>
      <c r="AM991" s="1">
        <f t="shared" si="85"/>
        <v>0</v>
      </c>
      <c r="AN991" s="1">
        <f t="shared" si="86"/>
        <v>0</v>
      </c>
      <c r="AO991" s="1">
        <f t="shared" si="87"/>
        <v>0</v>
      </c>
      <c r="AP991" t="b" cm="1">
        <f t="array" ref="AP991">INDEX($AU$8:$BB$25,6*(R991-1)+MATCH(AB991,$AS$8:$AS$13,0),MATCH(O991,$AU$7:$BB$7,0))</f>
        <v>1</v>
      </c>
    </row>
    <row r="992" spans="15:42" ht="14.25" x14ac:dyDescent="0.45">
      <c r="O992" s="43" t="s">
        <v>36</v>
      </c>
      <c r="P992" s="43">
        <v>3</v>
      </c>
      <c r="Q992" s="43">
        <v>2</v>
      </c>
      <c r="R992" s="43">
        <v>1</v>
      </c>
      <c r="S992" s="45"/>
      <c r="T992" t="b">
        <f>(S992+S993+S994)=U4</f>
        <v>0</v>
      </c>
      <c r="X992" s="1">
        <f t="shared" ref="X992:X1039" si="88">MAX(S989-S992,0)</f>
        <v>0</v>
      </c>
      <c r="Y992" s="48">
        <v>0</v>
      </c>
      <c r="AA992" s="1">
        <v>8</v>
      </c>
      <c r="AB992" s="1" t="s">
        <v>14</v>
      </c>
      <c r="AC992" s="1" t="s">
        <v>20</v>
      </c>
      <c r="AD992" s="1">
        <v>9</v>
      </c>
      <c r="AE992" s="1">
        <v>7</v>
      </c>
      <c r="AF992" s="1">
        <v>0.8</v>
      </c>
      <c r="AG992" s="1">
        <v>0.88</v>
      </c>
      <c r="AH992" s="1">
        <v>0</v>
      </c>
      <c r="AI992" s="1">
        <v>0</v>
      </c>
      <c r="AJ992" s="1">
        <f t="shared" si="84"/>
        <v>0</v>
      </c>
      <c r="AK992" s="1">
        <f>C95</f>
        <v>0</v>
      </c>
      <c r="AL992" s="1">
        <f>C101</f>
        <v>0</v>
      </c>
      <c r="AM992" s="1">
        <f t="shared" si="85"/>
        <v>0</v>
      </c>
      <c r="AN992" s="1">
        <f t="shared" si="86"/>
        <v>0</v>
      </c>
      <c r="AO992" s="1">
        <f t="shared" si="87"/>
        <v>0</v>
      </c>
      <c r="AP992" t="b" cm="1">
        <f t="array" ref="AP992">INDEX($AU$8:$BB$25,6*(R992-1)+MATCH(AB992,$AS$8:$AS$13,0),MATCH(O992,$AU$7:$BB$7,0))</f>
        <v>1</v>
      </c>
    </row>
    <row r="993" spans="15:42" ht="14.25" x14ac:dyDescent="0.45">
      <c r="O993" s="43" t="s">
        <v>36</v>
      </c>
      <c r="P993" s="43">
        <v>3</v>
      </c>
      <c r="Q993" s="43">
        <v>2</v>
      </c>
      <c r="R993" s="43">
        <v>2</v>
      </c>
      <c r="S993" s="45"/>
      <c r="T993" t="b">
        <f>(S992+S993+S994)=U4</f>
        <v>0</v>
      </c>
      <c r="X993" s="1">
        <f t="shared" si="88"/>
        <v>0</v>
      </c>
      <c r="Y993" s="48">
        <v>0</v>
      </c>
      <c r="AA993" s="1">
        <v>8</v>
      </c>
      <c r="AB993" s="1" t="s">
        <v>14</v>
      </c>
      <c r="AC993" s="1" t="s">
        <v>20</v>
      </c>
      <c r="AD993" s="1">
        <v>9</v>
      </c>
      <c r="AE993" s="1">
        <v>7</v>
      </c>
      <c r="AF993" s="1">
        <v>0.8</v>
      </c>
      <c r="AG993" s="1">
        <v>0.88</v>
      </c>
      <c r="AH993" s="1">
        <v>0</v>
      </c>
      <c r="AI993" s="1">
        <v>0</v>
      </c>
      <c r="AJ993" s="1">
        <f t="shared" si="84"/>
        <v>0</v>
      </c>
      <c r="AK993" s="1">
        <f>D95</f>
        <v>0</v>
      </c>
      <c r="AL993" s="1">
        <f>D101</f>
        <v>0</v>
      </c>
      <c r="AM993" s="1">
        <f t="shared" si="85"/>
        <v>0</v>
      </c>
      <c r="AN993" s="1">
        <f t="shared" si="86"/>
        <v>0</v>
      </c>
      <c r="AO993" s="1">
        <f t="shared" si="87"/>
        <v>0</v>
      </c>
      <c r="AP993" t="b" cm="1">
        <f t="array" ref="AP993">INDEX($AU$8:$BB$25,6*(R993-1)+MATCH(AB993,$AS$8:$AS$13,0),MATCH(O993,$AU$7:$BB$7,0))</f>
        <v>1</v>
      </c>
    </row>
    <row r="994" spans="15:42" ht="14.25" x14ac:dyDescent="0.45">
      <c r="O994" s="43" t="s">
        <v>36</v>
      </c>
      <c r="P994" s="43">
        <v>3</v>
      </c>
      <c r="Q994" s="43">
        <v>2</v>
      </c>
      <c r="R994" s="43">
        <v>3</v>
      </c>
      <c r="S994" s="45"/>
      <c r="T994" t="b">
        <f>(S992+S993+S994)=U4</f>
        <v>0</v>
      </c>
      <c r="X994" s="1">
        <f t="shared" si="88"/>
        <v>0</v>
      </c>
      <c r="Y994" s="48">
        <v>0</v>
      </c>
      <c r="AA994" s="1">
        <v>8</v>
      </c>
      <c r="AB994" s="1" t="s">
        <v>14</v>
      </c>
      <c r="AC994" s="1" t="s">
        <v>20</v>
      </c>
      <c r="AD994" s="1">
        <v>9</v>
      </c>
      <c r="AE994" s="1">
        <v>7</v>
      </c>
      <c r="AF994" s="1">
        <v>0.8</v>
      </c>
      <c r="AG994" s="1">
        <v>0.88</v>
      </c>
      <c r="AH994" s="1">
        <v>0</v>
      </c>
      <c r="AI994" s="1">
        <v>0</v>
      </c>
      <c r="AJ994" s="1">
        <f t="shared" si="84"/>
        <v>0</v>
      </c>
      <c r="AK994" s="1">
        <f>E95</f>
        <v>0</v>
      </c>
      <c r="AL994" s="1">
        <f>E101</f>
        <v>0</v>
      </c>
      <c r="AM994" s="1">
        <f t="shared" si="85"/>
        <v>0</v>
      </c>
      <c r="AN994" s="1">
        <f t="shared" si="86"/>
        <v>0</v>
      </c>
      <c r="AO994" s="1">
        <f t="shared" si="87"/>
        <v>0</v>
      </c>
      <c r="AP994" t="b" cm="1">
        <f t="array" ref="AP994">INDEX($AU$8:$BB$25,6*(R994-1)+MATCH(AB994,$AS$8:$AS$13,0),MATCH(O994,$AU$7:$BB$7,0))</f>
        <v>1</v>
      </c>
    </row>
    <row r="995" spans="15:42" ht="14.25" x14ac:dyDescent="0.45">
      <c r="O995" s="43" t="s">
        <v>36</v>
      </c>
      <c r="P995" s="43">
        <v>3</v>
      </c>
      <c r="Q995" s="43">
        <v>3</v>
      </c>
      <c r="R995" s="43">
        <v>1</v>
      </c>
      <c r="S995" s="45"/>
      <c r="T995" t="b">
        <f>(S995+S996+S997)=U4</f>
        <v>0</v>
      </c>
      <c r="X995" s="1">
        <f t="shared" si="88"/>
        <v>0</v>
      </c>
      <c r="Y995" s="48">
        <v>0</v>
      </c>
      <c r="AA995" s="1">
        <v>1</v>
      </c>
      <c r="AB995" s="1" t="s">
        <v>15</v>
      </c>
      <c r="AC995" s="1" t="s">
        <v>21</v>
      </c>
      <c r="AD995" s="1">
        <v>24</v>
      </c>
      <c r="AE995" s="1">
        <v>23</v>
      </c>
      <c r="AF995" s="1">
        <v>0.76</v>
      </c>
      <c r="AG995" s="1">
        <v>0.84</v>
      </c>
      <c r="AH995" s="1">
        <v>0</v>
      </c>
      <c r="AI995" s="1">
        <v>0</v>
      </c>
      <c r="AJ995" s="1">
        <f t="shared" si="84"/>
        <v>0</v>
      </c>
      <c r="AK995" s="1">
        <f>C96</f>
        <v>0</v>
      </c>
      <c r="AL995" s="1">
        <f>C102</f>
        <v>0</v>
      </c>
      <c r="AM995" s="1">
        <f t="shared" si="85"/>
        <v>0</v>
      </c>
      <c r="AN995" s="1">
        <f t="shared" si="86"/>
        <v>0</v>
      </c>
      <c r="AO995" s="1">
        <f t="shared" si="87"/>
        <v>0</v>
      </c>
      <c r="AP995" t="b" cm="1">
        <f t="array" ref="AP995">INDEX($AU$8:$BB$25,6*(R995-1)+MATCH(AB995,$AS$8:$AS$13,0),MATCH(O995,$AU$7:$BB$7,0))</f>
        <v>1</v>
      </c>
    </row>
    <row r="996" spans="15:42" ht="14.25" x14ac:dyDescent="0.45">
      <c r="O996" s="43" t="s">
        <v>36</v>
      </c>
      <c r="P996" s="43">
        <v>3</v>
      </c>
      <c r="Q996" s="43">
        <v>3</v>
      </c>
      <c r="R996" s="43">
        <v>2</v>
      </c>
      <c r="S996" s="45"/>
      <c r="T996" t="b">
        <f>(S995+S996+S997)=U4</f>
        <v>0</v>
      </c>
      <c r="X996" s="1">
        <f t="shared" si="88"/>
        <v>0</v>
      </c>
      <c r="Y996" s="48">
        <v>0</v>
      </c>
      <c r="AA996" s="1">
        <v>1</v>
      </c>
      <c r="AB996" s="1" t="s">
        <v>15</v>
      </c>
      <c r="AC996" s="1" t="s">
        <v>21</v>
      </c>
      <c r="AD996" s="1">
        <v>24</v>
      </c>
      <c r="AE996" s="1">
        <v>23</v>
      </c>
      <c r="AF996" s="1">
        <v>0.76</v>
      </c>
      <c r="AG996" s="1">
        <v>0.84</v>
      </c>
      <c r="AH996" s="1">
        <v>0</v>
      </c>
      <c r="AI996" s="1">
        <v>0</v>
      </c>
      <c r="AJ996" s="1">
        <f t="shared" si="84"/>
        <v>0</v>
      </c>
      <c r="AK996" s="1">
        <f>D96</f>
        <v>0</v>
      </c>
      <c r="AL996" s="1">
        <f>D102</f>
        <v>0</v>
      </c>
      <c r="AM996" s="1">
        <f t="shared" si="85"/>
        <v>0</v>
      </c>
      <c r="AN996" s="1">
        <f t="shared" si="86"/>
        <v>0</v>
      </c>
      <c r="AO996" s="1">
        <f t="shared" si="87"/>
        <v>0</v>
      </c>
      <c r="AP996" t="b" cm="1">
        <f t="array" ref="AP996">INDEX($AU$8:$BB$25,6*(R996-1)+MATCH(AB996,$AS$8:$AS$13,0),MATCH(O996,$AU$7:$BB$7,0))</f>
        <v>1</v>
      </c>
    </row>
    <row r="997" spans="15:42" ht="14.25" x14ac:dyDescent="0.45">
      <c r="O997" s="43" t="s">
        <v>36</v>
      </c>
      <c r="P997" s="43">
        <v>3</v>
      </c>
      <c r="Q997" s="43">
        <v>3</v>
      </c>
      <c r="R997" s="43">
        <v>3</v>
      </c>
      <c r="S997" s="45"/>
      <c r="T997" t="b">
        <f>(S995+S996+S997)=U4</f>
        <v>0</v>
      </c>
      <c r="X997" s="1">
        <f t="shared" si="88"/>
        <v>0</v>
      </c>
      <c r="Y997" s="48">
        <v>0</v>
      </c>
      <c r="AA997" s="1">
        <v>1</v>
      </c>
      <c r="AB997" s="1" t="s">
        <v>15</v>
      </c>
      <c r="AC997" s="1" t="s">
        <v>21</v>
      </c>
      <c r="AD997" s="1">
        <v>24</v>
      </c>
      <c r="AE997" s="1">
        <v>23</v>
      </c>
      <c r="AF997" s="1">
        <v>0.76</v>
      </c>
      <c r="AG997" s="1">
        <v>0.84</v>
      </c>
      <c r="AH997" s="1">
        <v>0</v>
      </c>
      <c r="AI997" s="1">
        <v>0</v>
      </c>
      <c r="AJ997" s="1">
        <f t="shared" si="84"/>
        <v>0</v>
      </c>
      <c r="AK997" s="1">
        <f>E96</f>
        <v>0</v>
      </c>
      <c r="AL997" s="1">
        <f>E102</f>
        <v>0</v>
      </c>
      <c r="AM997" s="1">
        <f t="shared" si="85"/>
        <v>0</v>
      </c>
      <c r="AN997" s="1">
        <f t="shared" si="86"/>
        <v>0</v>
      </c>
      <c r="AO997" s="1">
        <f t="shared" si="87"/>
        <v>0</v>
      </c>
      <c r="AP997" t="b" cm="1">
        <f t="array" ref="AP997">INDEX($AU$8:$BB$25,6*(R997-1)+MATCH(AB997,$AS$8:$AS$13,0),MATCH(O997,$AU$7:$BB$7,0))</f>
        <v>1</v>
      </c>
    </row>
    <row r="998" spans="15:42" ht="14.25" x14ac:dyDescent="0.45">
      <c r="O998" s="43" t="s">
        <v>36</v>
      </c>
      <c r="P998" s="43">
        <v>3</v>
      </c>
      <c r="Q998" s="43">
        <v>4</v>
      </c>
      <c r="R998" s="43">
        <v>1</v>
      </c>
      <c r="S998" s="45"/>
      <c r="T998" t="b">
        <f>(S998+S999+S1000)=U4</f>
        <v>0</v>
      </c>
      <c r="X998" s="1">
        <f t="shared" si="88"/>
        <v>0</v>
      </c>
      <c r="Y998" s="48">
        <v>0</v>
      </c>
      <c r="AA998" s="1">
        <v>9</v>
      </c>
      <c r="AB998" s="1" t="s">
        <v>15</v>
      </c>
      <c r="AC998" s="1" t="s">
        <v>21</v>
      </c>
      <c r="AD998" s="1">
        <v>15</v>
      </c>
      <c r="AE998" s="1">
        <v>11</v>
      </c>
      <c r="AF998" s="1">
        <v>0.76</v>
      </c>
      <c r="AG998" s="1">
        <v>0.84</v>
      </c>
      <c r="AH998" s="1">
        <v>0</v>
      </c>
      <c r="AI998" s="1">
        <v>0</v>
      </c>
      <c r="AJ998" s="1">
        <f t="shared" si="84"/>
        <v>0</v>
      </c>
      <c r="AK998" s="1">
        <f>C96</f>
        <v>0</v>
      </c>
      <c r="AL998" s="1">
        <f>C102</f>
        <v>0</v>
      </c>
      <c r="AM998" s="1">
        <f t="shared" si="85"/>
        <v>0</v>
      </c>
      <c r="AN998" s="1">
        <f t="shared" si="86"/>
        <v>0</v>
      </c>
      <c r="AO998" s="1">
        <f t="shared" si="87"/>
        <v>0</v>
      </c>
      <c r="AP998" t="b" cm="1">
        <f t="array" ref="AP998">INDEX($AU$8:$BB$25,6*(R998-1)+MATCH(AB998,$AS$8:$AS$13,0),MATCH(O998,$AU$7:$BB$7,0))</f>
        <v>1</v>
      </c>
    </row>
    <row r="999" spans="15:42" ht="14.25" x14ac:dyDescent="0.45">
      <c r="O999" s="43" t="s">
        <v>36</v>
      </c>
      <c r="P999" s="43">
        <v>3</v>
      </c>
      <c r="Q999" s="43">
        <v>4</v>
      </c>
      <c r="R999" s="43">
        <v>2</v>
      </c>
      <c r="S999" s="45"/>
      <c r="T999" t="b">
        <f>(S998+S999+S1000)=U4</f>
        <v>0</v>
      </c>
      <c r="X999" s="1">
        <f t="shared" si="88"/>
        <v>0</v>
      </c>
      <c r="Y999" s="48">
        <v>0</v>
      </c>
      <c r="AA999" s="1">
        <v>9</v>
      </c>
      <c r="AB999" s="1" t="s">
        <v>15</v>
      </c>
      <c r="AC999" s="1" t="s">
        <v>21</v>
      </c>
      <c r="AD999" s="1">
        <v>15</v>
      </c>
      <c r="AE999" s="1">
        <v>11</v>
      </c>
      <c r="AF999" s="1">
        <v>0.76</v>
      </c>
      <c r="AG999" s="1">
        <v>0.84</v>
      </c>
      <c r="AH999" s="1">
        <v>0</v>
      </c>
      <c r="AI999" s="1">
        <v>0</v>
      </c>
      <c r="AJ999" s="1">
        <f t="shared" si="84"/>
        <v>0</v>
      </c>
      <c r="AK999" s="1">
        <f>D96</f>
        <v>0</v>
      </c>
      <c r="AL999" s="1">
        <f>D102</f>
        <v>0</v>
      </c>
      <c r="AM999" s="1">
        <f t="shared" si="85"/>
        <v>0</v>
      </c>
      <c r="AN999" s="1">
        <f t="shared" si="86"/>
        <v>0</v>
      </c>
      <c r="AO999" s="1">
        <f t="shared" si="87"/>
        <v>0</v>
      </c>
      <c r="AP999" t="b" cm="1">
        <f t="array" ref="AP999">INDEX($AU$8:$BB$25,6*(R999-1)+MATCH(AB999,$AS$8:$AS$13,0),MATCH(O999,$AU$7:$BB$7,0))</f>
        <v>1</v>
      </c>
    </row>
    <row r="1000" spans="15:42" ht="14.25" x14ac:dyDescent="0.45">
      <c r="O1000" s="43" t="s">
        <v>36</v>
      </c>
      <c r="P1000" s="43">
        <v>3</v>
      </c>
      <c r="Q1000" s="43">
        <v>4</v>
      </c>
      <c r="R1000" s="43">
        <v>3</v>
      </c>
      <c r="S1000" s="45"/>
      <c r="T1000" t="b">
        <f>(S998+S999+S1000)=U4</f>
        <v>0</v>
      </c>
      <c r="X1000" s="1">
        <f t="shared" si="88"/>
        <v>0</v>
      </c>
      <c r="Y1000" s="48">
        <v>0</v>
      </c>
      <c r="AA1000" s="1">
        <v>9</v>
      </c>
      <c r="AB1000" s="1" t="s">
        <v>15</v>
      </c>
      <c r="AC1000" s="1" t="s">
        <v>21</v>
      </c>
      <c r="AD1000" s="1">
        <v>15</v>
      </c>
      <c r="AE1000" s="1">
        <v>11</v>
      </c>
      <c r="AF1000" s="1">
        <v>0.76</v>
      </c>
      <c r="AG1000" s="1">
        <v>0.84</v>
      </c>
      <c r="AH1000" s="1">
        <v>0</v>
      </c>
      <c r="AI1000" s="1">
        <v>0</v>
      </c>
      <c r="AJ1000" s="1">
        <f t="shared" si="84"/>
        <v>0</v>
      </c>
      <c r="AK1000" s="1">
        <f>E96</f>
        <v>0</v>
      </c>
      <c r="AL1000" s="1">
        <f>E102</f>
        <v>0</v>
      </c>
      <c r="AM1000" s="1">
        <f t="shared" si="85"/>
        <v>0</v>
      </c>
      <c r="AN1000" s="1">
        <f t="shared" si="86"/>
        <v>0</v>
      </c>
      <c r="AO1000" s="1">
        <f t="shared" si="87"/>
        <v>0</v>
      </c>
      <c r="AP1000" t="b" cm="1">
        <f t="array" ref="AP1000">INDEX($AU$8:$BB$25,6*(R1000-1)+MATCH(AB1000,$AS$8:$AS$13,0),MATCH(O1000,$AU$7:$BB$7,0))</f>
        <v>1</v>
      </c>
    </row>
    <row r="1001" spans="15:42" ht="14.25" x14ac:dyDescent="0.45">
      <c r="O1001" s="43" t="s">
        <v>36</v>
      </c>
      <c r="P1001" s="43">
        <v>3</v>
      </c>
      <c r="Q1001" s="43">
        <v>5</v>
      </c>
      <c r="R1001" s="43">
        <v>1</v>
      </c>
      <c r="S1001" s="45"/>
      <c r="T1001" t="b">
        <f>(S1001+S1002+S1003)=U4</f>
        <v>0</v>
      </c>
      <c r="X1001" s="1">
        <f t="shared" si="88"/>
        <v>0</v>
      </c>
      <c r="Y1001" s="48">
        <v>0</v>
      </c>
      <c r="AA1001" s="1">
        <v>6</v>
      </c>
      <c r="AB1001" s="1" t="s">
        <v>16</v>
      </c>
      <c r="AC1001" s="1" t="s">
        <v>22</v>
      </c>
      <c r="AD1001" s="1">
        <v>16</v>
      </c>
      <c r="AE1001" s="1">
        <v>14</v>
      </c>
      <c r="AF1001" s="1">
        <v>0.8</v>
      </c>
      <c r="AG1001" s="1">
        <v>0.9</v>
      </c>
      <c r="AH1001" s="1">
        <v>0</v>
      </c>
      <c r="AI1001" s="1">
        <v>0</v>
      </c>
      <c r="AJ1001" s="1">
        <f t="shared" si="84"/>
        <v>0</v>
      </c>
      <c r="AK1001" s="1">
        <f>C97</f>
        <v>0</v>
      </c>
      <c r="AL1001" s="1">
        <f>C103</f>
        <v>0</v>
      </c>
      <c r="AM1001" s="1">
        <f t="shared" si="85"/>
        <v>0</v>
      </c>
      <c r="AN1001" s="1">
        <f t="shared" si="86"/>
        <v>0</v>
      </c>
      <c r="AO1001" s="1">
        <f t="shared" si="87"/>
        <v>0</v>
      </c>
      <c r="AP1001" t="b" cm="1">
        <f t="array" ref="AP1001">INDEX($AU$8:$BB$25,6*(R1001-1)+MATCH(AB1001,$AS$8:$AS$13,0),MATCH(O1001,$AU$7:$BB$7,0))</f>
        <v>1</v>
      </c>
    </row>
    <row r="1002" spans="15:42" ht="14.25" x14ac:dyDescent="0.45">
      <c r="O1002" s="43" t="s">
        <v>36</v>
      </c>
      <c r="P1002" s="43">
        <v>3</v>
      </c>
      <c r="Q1002" s="43">
        <v>5</v>
      </c>
      <c r="R1002" s="43">
        <v>2</v>
      </c>
      <c r="S1002" s="45"/>
      <c r="T1002" t="b">
        <f>(S1001+S1002+S1003)=U4</f>
        <v>0</v>
      </c>
      <c r="X1002" s="1">
        <f t="shared" si="88"/>
        <v>0</v>
      </c>
      <c r="Y1002" s="48">
        <v>0</v>
      </c>
      <c r="AA1002" s="1">
        <v>6</v>
      </c>
      <c r="AB1002" s="1" t="s">
        <v>16</v>
      </c>
      <c r="AC1002" s="1" t="s">
        <v>22</v>
      </c>
      <c r="AD1002" s="1">
        <v>16</v>
      </c>
      <c r="AE1002" s="1">
        <v>14</v>
      </c>
      <c r="AF1002" s="1">
        <v>0.8</v>
      </c>
      <c r="AG1002" s="1">
        <v>0.9</v>
      </c>
      <c r="AH1002" s="1">
        <v>0</v>
      </c>
      <c r="AI1002" s="1">
        <v>0</v>
      </c>
      <c r="AJ1002" s="1">
        <f t="shared" si="84"/>
        <v>0</v>
      </c>
      <c r="AK1002" s="1">
        <f>D97</f>
        <v>0</v>
      </c>
      <c r="AL1002" s="1">
        <f>D103</f>
        <v>0</v>
      </c>
      <c r="AM1002" s="1">
        <f t="shared" si="85"/>
        <v>0</v>
      </c>
      <c r="AN1002" s="1">
        <f t="shared" si="86"/>
        <v>0</v>
      </c>
      <c r="AO1002" s="1">
        <f t="shared" si="87"/>
        <v>0</v>
      </c>
      <c r="AP1002" t="b" cm="1">
        <f t="array" ref="AP1002">INDEX($AU$8:$BB$25,6*(R1002-1)+MATCH(AB1002,$AS$8:$AS$13,0),MATCH(O1002,$AU$7:$BB$7,0))</f>
        <v>1</v>
      </c>
    </row>
    <row r="1003" spans="15:42" ht="14.25" x14ac:dyDescent="0.45">
      <c r="O1003" s="43" t="s">
        <v>36</v>
      </c>
      <c r="P1003" s="43">
        <v>3</v>
      </c>
      <c r="Q1003" s="43">
        <v>5</v>
      </c>
      <c r="R1003" s="43">
        <v>3</v>
      </c>
      <c r="S1003" s="45"/>
      <c r="T1003" t="b">
        <f>(S1001+S1002+S1003)=U4</f>
        <v>0</v>
      </c>
      <c r="X1003" s="1">
        <f t="shared" si="88"/>
        <v>0</v>
      </c>
      <c r="Y1003" s="48">
        <v>0</v>
      </c>
      <c r="AA1003" s="1">
        <v>6</v>
      </c>
      <c r="AB1003" s="1" t="s">
        <v>16</v>
      </c>
      <c r="AC1003" s="1" t="s">
        <v>22</v>
      </c>
      <c r="AD1003" s="1">
        <v>16</v>
      </c>
      <c r="AE1003" s="1">
        <v>14</v>
      </c>
      <c r="AF1003" s="1">
        <v>0.8</v>
      </c>
      <c r="AG1003" s="1">
        <v>0.9</v>
      </c>
      <c r="AH1003" s="1">
        <v>0</v>
      </c>
      <c r="AI1003" s="1">
        <v>0</v>
      </c>
      <c r="AJ1003" s="1">
        <f t="shared" si="84"/>
        <v>0</v>
      </c>
      <c r="AK1003" s="1">
        <f>E97</f>
        <v>0</v>
      </c>
      <c r="AL1003" s="1">
        <f>E103</f>
        <v>0</v>
      </c>
      <c r="AM1003" s="1">
        <f t="shared" si="85"/>
        <v>0</v>
      </c>
      <c r="AN1003" s="1">
        <f t="shared" si="86"/>
        <v>0</v>
      </c>
      <c r="AO1003" s="1">
        <f t="shared" si="87"/>
        <v>0</v>
      </c>
      <c r="AP1003" t="b" cm="1">
        <f t="array" ref="AP1003">INDEX($AU$8:$BB$25,6*(R1003-1)+MATCH(AB1003,$AS$8:$AS$13,0),MATCH(O1003,$AU$7:$BB$7,0))</f>
        <v>1</v>
      </c>
    </row>
    <row r="1004" spans="15:42" ht="14.25" x14ac:dyDescent="0.45">
      <c r="O1004" s="43" t="s">
        <v>36</v>
      </c>
      <c r="P1004" s="43">
        <v>3</v>
      </c>
      <c r="Q1004" s="43">
        <v>6</v>
      </c>
      <c r="R1004" s="43">
        <v>1</v>
      </c>
      <c r="S1004" s="45"/>
      <c r="T1004" t="b">
        <f>(S1004+S1005+S1006)=U4</f>
        <v>0</v>
      </c>
      <c r="X1004" s="1">
        <f t="shared" si="88"/>
        <v>0</v>
      </c>
      <c r="Y1004" s="48">
        <v>0</v>
      </c>
      <c r="AA1004" s="1">
        <v>1</v>
      </c>
      <c r="AB1004" s="1" t="s">
        <v>14</v>
      </c>
      <c r="AC1004" s="1" t="s">
        <v>20</v>
      </c>
      <c r="AD1004" s="1">
        <v>12</v>
      </c>
      <c r="AE1004" s="1">
        <v>11</v>
      </c>
      <c r="AF1004" s="1">
        <v>0.8</v>
      </c>
      <c r="AG1004" s="1">
        <v>0.88</v>
      </c>
      <c r="AH1004" s="1">
        <v>0</v>
      </c>
      <c r="AI1004" s="1">
        <v>0</v>
      </c>
      <c r="AJ1004" s="1">
        <f t="shared" si="84"/>
        <v>0</v>
      </c>
      <c r="AK1004" s="1">
        <f>C95</f>
        <v>0</v>
      </c>
      <c r="AL1004" s="1">
        <f>C101</f>
        <v>0</v>
      </c>
      <c r="AM1004" s="1">
        <f t="shared" si="85"/>
        <v>0</v>
      </c>
      <c r="AN1004" s="1">
        <f t="shared" si="86"/>
        <v>0</v>
      </c>
      <c r="AO1004" s="1">
        <f t="shared" si="87"/>
        <v>0</v>
      </c>
      <c r="AP1004" t="b" cm="1">
        <f t="array" ref="AP1004">INDEX($AU$8:$BB$25,6*(R1004-1)+MATCH(AB1004,$AS$8:$AS$13,0),MATCH(O1004,$AU$7:$BB$7,0))</f>
        <v>1</v>
      </c>
    </row>
    <row r="1005" spans="15:42" ht="14.25" x14ac:dyDescent="0.45">
      <c r="O1005" s="43" t="s">
        <v>36</v>
      </c>
      <c r="P1005" s="43">
        <v>3</v>
      </c>
      <c r="Q1005" s="43">
        <v>6</v>
      </c>
      <c r="R1005" s="43">
        <v>2</v>
      </c>
      <c r="S1005" s="45"/>
      <c r="T1005" t="b">
        <f>(S1004+S1005+S1006)=U4</f>
        <v>0</v>
      </c>
      <c r="X1005" s="1">
        <f t="shared" si="88"/>
        <v>0</v>
      </c>
      <c r="Y1005" s="48">
        <v>0</v>
      </c>
      <c r="AA1005" s="1">
        <v>1</v>
      </c>
      <c r="AB1005" s="1" t="s">
        <v>14</v>
      </c>
      <c r="AC1005" s="1" t="s">
        <v>20</v>
      </c>
      <c r="AD1005" s="1">
        <v>12</v>
      </c>
      <c r="AE1005" s="1">
        <v>11</v>
      </c>
      <c r="AF1005" s="1">
        <v>0.8</v>
      </c>
      <c r="AG1005" s="1">
        <v>0.88</v>
      </c>
      <c r="AH1005" s="1">
        <v>0</v>
      </c>
      <c r="AI1005" s="1">
        <v>0</v>
      </c>
      <c r="AJ1005" s="1">
        <f t="shared" si="84"/>
        <v>0</v>
      </c>
      <c r="AK1005" s="1">
        <f>D95</f>
        <v>0</v>
      </c>
      <c r="AL1005" s="1">
        <f>D101</f>
        <v>0</v>
      </c>
      <c r="AM1005" s="1">
        <f t="shared" si="85"/>
        <v>0</v>
      </c>
      <c r="AN1005" s="1">
        <f t="shared" si="86"/>
        <v>0</v>
      </c>
      <c r="AO1005" s="1">
        <f t="shared" si="87"/>
        <v>0</v>
      </c>
      <c r="AP1005" t="b" cm="1">
        <f t="array" ref="AP1005">INDEX($AU$8:$BB$25,6*(R1005-1)+MATCH(AB1005,$AS$8:$AS$13,0),MATCH(O1005,$AU$7:$BB$7,0))</f>
        <v>1</v>
      </c>
    </row>
    <row r="1006" spans="15:42" ht="14.25" x14ac:dyDescent="0.45">
      <c r="O1006" s="43" t="s">
        <v>36</v>
      </c>
      <c r="P1006" s="43">
        <v>3</v>
      </c>
      <c r="Q1006" s="43">
        <v>6</v>
      </c>
      <c r="R1006" s="43">
        <v>3</v>
      </c>
      <c r="S1006" s="45"/>
      <c r="T1006" t="b">
        <f>(S1004+S1005+S1006)=U4</f>
        <v>0</v>
      </c>
      <c r="X1006" s="1">
        <f t="shared" si="88"/>
        <v>0</v>
      </c>
      <c r="Y1006" s="48">
        <v>0</v>
      </c>
      <c r="AA1006" s="1">
        <v>1</v>
      </c>
      <c r="AB1006" s="1" t="s">
        <v>14</v>
      </c>
      <c r="AC1006" s="1" t="s">
        <v>20</v>
      </c>
      <c r="AD1006" s="1">
        <v>12</v>
      </c>
      <c r="AE1006" s="1">
        <v>11</v>
      </c>
      <c r="AF1006" s="1">
        <v>0.8</v>
      </c>
      <c r="AG1006" s="1">
        <v>0.88</v>
      </c>
      <c r="AH1006" s="1">
        <v>0</v>
      </c>
      <c r="AI1006" s="1">
        <v>0</v>
      </c>
      <c r="AJ1006" s="1">
        <f t="shared" si="84"/>
        <v>0</v>
      </c>
      <c r="AK1006" s="1">
        <f>E95</f>
        <v>0</v>
      </c>
      <c r="AL1006" s="1">
        <f>E101</f>
        <v>0</v>
      </c>
      <c r="AM1006" s="1">
        <f t="shared" si="85"/>
        <v>0</v>
      </c>
      <c r="AN1006" s="1">
        <f t="shared" si="86"/>
        <v>0</v>
      </c>
      <c r="AO1006" s="1">
        <f t="shared" si="87"/>
        <v>0</v>
      </c>
      <c r="AP1006" t="b" cm="1">
        <f t="array" ref="AP1006">INDEX($AU$8:$BB$25,6*(R1006-1)+MATCH(AB1006,$AS$8:$AS$13,0),MATCH(O1006,$AU$7:$BB$7,0))</f>
        <v>1</v>
      </c>
    </row>
    <row r="1007" spans="15:42" ht="14.25" x14ac:dyDescent="0.45">
      <c r="O1007" s="43" t="s">
        <v>36</v>
      </c>
      <c r="P1007" s="43">
        <v>3</v>
      </c>
      <c r="Q1007" s="43">
        <v>7</v>
      </c>
      <c r="R1007" s="43">
        <v>1</v>
      </c>
      <c r="S1007" s="45"/>
      <c r="T1007" t="b">
        <f>(S1007+S1008+S1009)=U4</f>
        <v>0</v>
      </c>
      <c r="X1007" s="1">
        <f t="shared" si="88"/>
        <v>0</v>
      </c>
      <c r="Y1007" s="48">
        <v>0</v>
      </c>
      <c r="AA1007" s="1">
        <v>3</v>
      </c>
      <c r="AB1007" s="1" t="s">
        <v>13</v>
      </c>
      <c r="AC1007" s="1" t="s">
        <v>19</v>
      </c>
      <c r="AD1007" s="1">
        <v>24</v>
      </c>
      <c r="AE1007" s="1">
        <v>21</v>
      </c>
      <c r="AF1007" s="1">
        <v>0.8</v>
      </c>
      <c r="AG1007" s="1">
        <v>0.86</v>
      </c>
      <c r="AH1007" s="1">
        <v>0</v>
      </c>
      <c r="AI1007" s="1">
        <v>0</v>
      </c>
      <c r="AJ1007" s="1">
        <f t="shared" si="84"/>
        <v>0</v>
      </c>
      <c r="AK1007" s="1">
        <f>C94</f>
        <v>0</v>
      </c>
      <c r="AL1007" s="1">
        <f>C100</f>
        <v>0</v>
      </c>
      <c r="AM1007" s="1">
        <f t="shared" si="85"/>
        <v>0</v>
      </c>
      <c r="AN1007" s="1">
        <f t="shared" si="86"/>
        <v>0</v>
      </c>
      <c r="AO1007" s="1">
        <f t="shared" si="87"/>
        <v>0</v>
      </c>
      <c r="AP1007" t="b" cm="1">
        <f t="array" ref="AP1007">INDEX($AU$8:$BB$25,6*(R1007-1)+MATCH(AB1007,$AS$8:$AS$13,0),MATCH(O1007,$AU$7:$BB$7,0))</f>
        <v>1</v>
      </c>
    </row>
    <row r="1008" spans="15:42" ht="14.25" x14ac:dyDescent="0.45">
      <c r="O1008" s="43" t="s">
        <v>36</v>
      </c>
      <c r="P1008" s="43">
        <v>3</v>
      </c>
      <c r="Q1008" s="43">
        <v>7</v>
      </c>
      <c r="R1008" s="43">
        <v>2</v>
      </c>
      <c r="S1008" s="45"/>
      <c r="T1008" t="b">
        <f>(S1007+S1008+S1009)=U4</f>
        <v>0</v>
      </c>
      <c r="X1008" s="1">
        <f t="shared" si="88"/>
        <v>0</v>
      </c>
      <c r="Y1008" s="48">
        <v>0</v>
      </c>
      <c r="AA1008" s="1">
        <v>3</v>
      </c>
      <c r="AB1008" s="1" t="s">
        <v>13</v>
      </c>
      <c r="AC1008" s="1" t="s">
        <v>19</v>
      </c>
      <c r="AD1008" s="1">
        <v>24</v>
      </c>
      <c r="AE1008" s="1">
        <v>21</v>
      </c>
      <c r="AF1008" s="1">
        <v>0.8</v>
      </c>
      <c r="AG1008" s="1">
        <v>0.86</v>
      </c>
      <c r="AH1008" s="1">
        <v>0</v>
      </c>
      <c r="AI1008" s="1">
        <v>0</v>
      </c>
      <c r="AJ1008" s="1">
        <f t="shared" si="84"/>
        <v>0</v>
      </c>
      <c r="AK1008" s="1">
        <f>D94</f>
        <v>0</v>
      </c>
      <c r="AL1008" s="1">
        <f>D100</f>
        <v>0</v>
      </c>
      <c r="AM1008" s="1">
        <f t="shared" si="85"/>
        <v>0</v>
      </c>
      <c r="AN1008" s="1">
        <f t="shared" si="86"/>
        <v>0</v>
      </c>
      <c r="AO1008" s="1">
        <f t="shared" si="87"/>
        <v>0</v>
      </c>
      <c r="AP1008" t="b" cm="1">
        <f t="array" ref="AP1008">INDEX($AU$8:$BB$25,6*(R1008-1)+MATCH(AB1008,$AS$8:$AS$13,0),MATCH(O1008,$AU$7:$BB$7,0))</f>
        <v>1</v>
      </c>
    </row>
    <row r="1009" spans="15:42" ht="14.25" x14ac:dyDescent="0.45">
      <c r="O1009" s="43" t="s">
        <v>36</v>
      </c>
      <c r="P1009" s="43">
        <v>3</v>
      </c>
      <c r="Q1009" s="43">
        <v>7</v>
      </c>
      <c r="R1009" s="43">
        <v>3</v>
      </c>
      <c r="S1009" s="45"/>
      <c r="T1009" t="b">
        <f>(S1007+S1008+S1009)=U4</f>
        <v>0</v>
      </c>
      <c r="X1009" s="1">
        <f t="shared" si="88"/>
        <v>0</v>
      </c>
      <c r="Y1009" s="48">
        <v>0</v>
      </c>
      <c r="AA1009" s="1">
        <v>3</v>
      </c>
      <c r="AB1009" s="1" t="s">
        <v>13</v>
      </c>
      <c r="AC1009" s="1" t="s">
        <v>19</v>
      </c>
      <c r="AD1009" s="1">
        <v>24</v>
      </c>
      <c r="AE1009" s="1">
        <v>21</v>
      </c>
      <c r="AF1009" s="1">
        <v>0.8</v>
      </c>
      <c r="AG1009" s="1">
        <v>0.86</v>
      </c>
      <c r="AH1009" s="1">
        <v>0</v>
      </c>
      <c r="AI1009" s="1">
        <v>0</v>
      </c>
      <c r="AJ1009" s="1">
        <f t="shared" si="84"/>
        <v>0</v>
      </c>
      <c r="AK1009" s="1">
        <f>E94</f>
        <v>0</v>
      </c>
      <c r="AL1009" s="1">
        <f>E100</f>
        <v>0</v>
      </c>
      <c r="AM1009" s="1">
        <f t="shared" si="85"/>
        <v>0</v>
      </c>
      <c r="AN1009" s="1">
        <f t="shared" si="86"/>
        <v>0</v>
      </c>
      <c r="AO1009" s="1">
        <f t="shared" si="87"/>
        <v>0</v>
      </c>
      <c r="AP1009" t="b" cm="1">
        <f t="array" ref="AP1009">INDEX($AU$8:$BB$25,6*(R1009-1)+MATCH(AB1009,$AS$8:$AS$13,0),MATCH(O1009,$AU$7:$BB$7,0))</f>
        <v>1</v>
      </c>
    </row>
    <row r="1010" spans="15:42" ht="14.25" x14ac:dyDescent="0.45">
      <c r="O1010" s="43" t="s">
        <v>36</v>
      </c>
      <c r="P1010" s="43">
        <v>3</v>
      </c>
      <c r="Q1010" s="43">
        <v>8</v>
      </c>
      <c r="R1010" s="43">
        <v>1</v>
      </c>
      <c r="S1010" s="45"/>
      <c r="T1010" t="b">
        <f>(S1010+S1011+S1012)=U4</f>
        <v>0</v>
      </c>
      <c r="X1010" s="1">
        <f t="shared" si="88"/>
        <v>0</v>
      </c>
      <c r="Y1010" s="48">
        <v>0</v>
      </c>
      <c r="AA1010" s="1">
        <v>5</v>
      </c>
      <c r="AB1010" s="1" t="s">
        <v>13</v>
      </c>
      <c r="AC1010" s="1" t="s">
        <v>19</v>
      </c>
      <c r="AD1010" s="1">
        <v>19</v>
      </c>
      <c r="AE1010" s="1">
        <v>13</v>
      </c>
      <c r="AF1010" s="1">
        <v>0.8</v>
      </c>
      <c r="AG1010" s="1">
        <v>0.86</v>
      </c>
      <c r="AH1010" s="1">
        <v>0</v>
      </c>
      <c r="AI1010" s="1">
        <v>0</v>
      </c>
      <c r="AJ1010" s="1">
        <f t="shared" si="84"/>
        <v>0</v>
      </c>
      <c r="AK1010" s="1">
        <f>C94</f>
        <v>0</v>
      </c>
      <c r="AL1010" s="1">
        <f>C100</f>
        <v>0</v>
      </c>
      <c r="AM1010" s="1">
        <f t="shared" si="85"/>
        <v>0</v>
      </c>
      <c r="AN1010" s="1">
        <f t="shared" si="86"/>
        <v>0</v>
      </c>
      <c r="AO1010" s="1">
        <f t="shared" si="87"/>
        <v>0</v>
      </c>
      <c r="AP1010" t="b" cm="1">
        <f t="array" ref="AP1010">INDEX($AU$8:$BB$25,6*(R1010-1)+MATCH(AB1010,$AS$8:$AS$13,0),MATCH(O1010,$AU$7:$BB$7,0))</f>
        <v>1</v>
      </c>
    </row>
    <row r="1011" spans="15:42" ht="14.25" x14ac:dyDescent="0.45">
      <c r="O1011" s="43" t="s">
        <v>36</v>
      </c>
      <c r="P1011" s="43">
        <v>3</v>
      </c>
      <c r="Q1011" s="43">
        <v>8</v>
      </c>
      <c r="R1011" s="43">
        <v>2</v>
      </c>
      <c r="S1011" s="45"/>
      <c r="T1011" t="b">
        <f>(S1010+S1011+S1012)=U4</f>
        <v>0</v>
      </c>
      <c r="X1011" s="1">
        <f t="shared" si="88"/>
        <v>0</v>
      </c>
      <c r="Y1011" s="48">
        <v>0</v>
      </c>
      <c r="AA1011" s="1">
        <v>5</v>
      </c>
      <c r="AB1011" s="1" t="s">
        <v>13</v>
      </c>
      <c r="AC1011" s="1" t="s">
        <v>19</v>
      </c>
      <c r="AD1011" s="1">
        <v>19</v>
      </c>
      <c r="AE1011" s="1">
        <v>13</v>
      </c>
      <c r="AF1011" s="1">
        <v>0.8</v>
      </c>
      <c r="AG1011" s="1">
        <v>0.86</v>
      </c>
      <c r="AH1011" s="1">
        <v>0</v>
      </c>
      <c r="AI1011" s="1">
        <v>0</v>
      </c>
      <c r="AJ1011" s="1">
        <f t="shared" si="84"/>
        <v>0</v>
      </c>
      <c r="AK1011" s="1">
        <f>D94</f>
        <v>0</v>
      </c>
      <c r="AL1011" s="1">
        <f>D100</f>
        <v>0</v>
      </c>
      <c r="AM1011" s="1">
        <f t="shared" si="85"/>
        <v>0</v>
      </c>
      <c r="AN1011" s="1">
        <f t="shared" si="86"/>
        <v>0</v>
      </c>
      <c r="AO1011" s="1">
        <f t="shared" si="87"/>
        <v>0</v>
      </c>
      <c r="AP1011" t="b" cm="1">
        <f t="array" ref="AP1011">INDEX($AU$8:$BB$25,6*(R1011-1)+MATCH(AB1011,$AS$8:$AS$13,0),MATCH(O1011,$AU$7:$BB$7,0))</f>
        <v>1</v>
      </c>
    </row>
    <row r="1012" spans="15:42" ht="14.25" x14ac:dyDescent="0.45">
      <c r="O1012" s="43" t="s">
        <v>36</v>
      </c>
      <c r="P1012" s="43">
        <v>3</v>
      </c>
      <c r="Q1012" s="43">
        <v>8</v>
      </c>
      <c r="R1012" s="43">
        <v>3</v>
      </c>
      <c r="S1012" s="45"/>
      <c r="T1012" t="b">
        <f>(S1010+S1011+S1012)=U4</f>
        <v>0</v>
      </c>
      <c r="X1012" s="1">
        <f t="shared" si="88"/>
        <v>0</v>
      </c>
      <c r="Y1012" s="48">
        <v>0</v>
      </c>
      <c r="AA1012" s="1">
        <v>5</v>
      </c>
      <c r="AB1012" s="1" t="s">
        <v>13</v>
      </c>
      <c r="AC1012" s="1" t="s">
        <v>19</v>
      </c>
      <c r="AD1012" s="1">
        <v>19</v>
      </c>
      <c r="AE1012" s="1">
        <v>13</v>
      </c>
      <c r="AF1012" s="1">
        <v>0.8</v>
      </c>
      <c r="AG1012" s="1">
        <v>0.86</v>
      </c>
      <c r="AH1012" s="1">
        <v>0</v>
      </c>
      <c r="AI1012" s="1">
        <v>0</v>
      </c>
      <c r="AJ1012" s="1">
        <f t="shared" si="84"/>
        <v>0</v>
      </c>
      <c r="AK1012" s="1">
        <f>E94</f>
        <v>0</v>
      </c>
      <c r="AL1012" s="1">
        <f>E100</f>
        <v>0</v>
      </c>
      <c r="AM1012" s="1">
        <f t="shared" si="85"/>
        <v>0</v>
      </c>
      <c r="AN1012" s="1">
        <f t="shared" si="86"/>
        <v>0</v>
      </c>
      <c r="AO1012" s="1">
        <f t="shared" si="87"/>
        <v>0</v>
      </c>
      <c r="AP1012" t="b" cm="1">
        <f t="array" ref="AP1012">INDEX($AU$8:$BB$25,6*(R1012-1)+MATCH(AB1012,$AS$8:$AS$13,0),MATCH(O1012,$AU$7:$BB$7,0))</f>
        <v>1</v>
      </c>
    </row>
    <row r="1013" spans="15:42" ht="14.25" x14ac:dyDescent="0.45">
      <c r="O1013" s="43" t="s">
        <v>36</v>
      </c>
      <c r="P1013" s="43">
        <v>3</v>
      </c>
      <c r="Q1013" s="43">
        <v>9</v>
      </c>
      <c r="R1013" s="43">
        <v>1</v>
      </c>
      <c r="S1013" s="45"/>
      <c r="T1013" t="b">
        <f>(S1013+S1014+S1015)=U4</f>
        <v>0</v>
      </c>
      <c r="X1013" s="1">
        <f t="shared" si="88"/>
        <v>0</v>
      </c>
      <c r="Y1013" s="48">
        <v>0</v>
      </c>
      <c r="AA1013" s="1">
        <v>3</v>
      </c>
      <c r="AB1013" s="1" t="s">
        <v>14</v>
      </c>
      <c r="AC1013" s="1" t="s">
        <v>20</v>
      </c>
      <c r="AD1013" s="1">
        <v>15</v>
      </c>
      <c r="AE1013" s="1">
        <v>13</v>
      </c>
      <c r="AF1013" s="1">
        <v>0.8</v>
      </c>
      <c r="AG1013" s="1">
        <v>0.88</v>
      </c>
      <c r="AH1013" s="1">
        <v>0</v>
      </c>
      <c r="AI1013" s="1">
        <v>0</v>
      </c>
      <c r="AJ1013" s="1">
        <f t="shared" si="84"/>
        <v>0</v>
      </c>
      <c r="AK1013" s="1">
        <f>C95</f>
        <v>0</v>
      </c>
      <c r="AL1013" s="1">
        <f>C101</f>
        <v>0</v>
      </c>
      <c r="AM1013" s="1">
        <f t="shared" si="85"/>
        <v>0</v>
      </c>
      <c r="AN1013" s="1">
        <f t="shared" si="86"/>
        <v>0</v>
      </c>
      <c r="AO1013" s="1">
        <f t="shared" si="87"/>
        <v>0</v>
      </c>
      <c r="AP1013" t="b" cm="1">
        <f t="array" ref="AP1013">INDEX($AU$8:$BB$25,6*(R1013-1)+MATCH(AB1013,$AS$8:$AS$13,0),MATCH(O1013,$AU$7:$BB$7,0))</f>
        <v>1</v>
      </c>
    </row>
    <row r="1014" spans="15:42" ht="14.25" x14ac:dyDescent="0.45">
      <c r="O1014" s="43" t="s">
        <v>36</v>
      </c>
      <c r="P1014" s="43">
        <v>3</v>
      </c>
      <c r="Q1014" s="43">
        <v>9</v>
      </c>
      <c r="R1014" s="43">
        <v>2</v>
      </c>
      <c r="S1014" s="45"/>
      <c r="T1014" t="b">
        <f>(S1013+S1014+S1015)=U4</f>
        <v>0</v>
      </c>
      <c r="X1014" s="1">
        <f t="shared" si="88"/>
        <v>0</v>
      </c>
      <c r="Y1014" s="48">
        <v>0</v>
      </c>
      <c r="AA1014" s="1">
        <v>3</v>
      </c>
      <c r="AB1014" s="1" t="s">
        <v>14</v>
      </c>
      <c r="AC1014" s="1" t="s">
        <v>20</v>
      </c>
      <c r="AD1014" s="1">
        <v>15</v>
      </c>
      <c r="AE1014" s="1">
        <v>13</v>
      </c>
      <c r="AF1014" s="1">
        <v>0.8</v>
      </c>
      <c r="AG1014" s="1">
        <v>0.88</v>
      </c>
      <c r="AH1014" s="1">
        <v>0</v>
      </c>
      <c r="AI1014" s="1">
        <v>0</v>
      </c>
      <c r="AJ1014" s="1">
        <f t="shared" si="84"/>
        <v>0</v>
      </c>
      <c r="AK1014" s="1">
        <f>D95</f>
        <v>0</v>
      </c>
      <c r="AL1014" s="1">
        <f>D101</f>
        <v>0</v>
      </c>
      <c r="AM1014" s="1">
        <f t="shared" si="85"/>
        <v>0</v>
      </c>
      <c r="AN1014" s="1">
        <f t="shared" si="86"/>
        <v>0</v>
      </c>
      <c r="AO1014" s="1">
        <f t="shared" si="87"/>
        <v>0</v>
      </c>
      <c r="AP1014" t="b" cm="1">
        <f t="array" ref="AP1014">INDEX($AU$8:$BB$25,6*(R1014-1)+MATCH(AB1014,$AS$8:$AS$13,0),MATCH(O1014,$AU$7:$BB$7,0))</f>
        <v>1</v>
      </c>
    </row>
    <row r="1015" spans="15:42" ht="14.25" x14ac:dyDescent="0.45">
      <c r="O1015" s="43" t="s">
        <v>36</v>
      </c>
      <c r="P1015" s="43">
        <v>3</v>
      </c>
      <c r="Q1015" s="43">
        <v>9</v>
      </c>
      <c r="R1015" s="43">
        <v>3</v>
      </c>
      <c r="S1015" s="45"/>
      <c r="T1015" t="b">
        <f>(S1013+S1014+S1015)=U4</f>
        <v>0</v>
      </c>
      <c r="X1015" s="1">
        <f t="shared" si="88"/>
        <v>0</v>
      </c>
      <c r="Y1015" s="48">
        <v>0</v>
      </c>
      <c r="AA1015" s="1">
        <v>3</v>
      </c>
      <c r="AB1015" s="1" t="s">
        <v>14</v>
      </c>
      <c r="AC1015" s="1" t="s">
        <v>20</v>
      </c>
      <c r="AD1015" s="1">
        <v>15</v>
      </c>
      <c r="AE1015" s="1">
        <v>13</v>
      </c>
      <c r="AF1015" s="1">
        <v>0.8</v>
      </c>
      <c r="AG1015" s="1">
        <v>0.88</v>
      </c>
      <c r="AH1015" s="1">
        <v>0</v>
      </c>
      <c r="AI1015" s="1">
        <v>0</v>
      </c>
      <c r="AJ1015" s="1">
        <f t="shared" si="84"/>
        <v>0</v>
      </c>
      <c r="AK1015" s="1">
        <f>E95</f>
        <v>0</v>
      </c>
      <c r="AL1015" s="1">
        <f>E101</f>
        <v>0</v>
      </c>
      <c r="AM1015" s="1">
        <f t="shared" si="85"/>
        <v>0</v>
      </c>
      <c r="AN1015" s="1">
        <f t="shared" si="86"/>
        <v>0</v>
      </c>
      <c r="AO1015" s="1">
        <f t="shared" si="87"/>
        <v>0</v>
      </c>
      <c r="AP1015" t="b" cm="1">
        <f t="array" ref="AP1015">INDEX($AU$8:$BB$25,6*(R1015-1)+MATCH(AB1015,$AS$8:$AS$13,0),MATCH(O1015,$AU$7:$BB$7,0))</f>
        <v>1</v>
      </c>
    </row>
    <row r="1016" spans="15:42" ht="14.25" x14ac:dyDescent="0.45">
      <c r="O1016" s="43" t="s">
        <v>36</v>
      </c>
      <c r="P1016" s="43">
        <v>3</v>
      </c>
      <c r="Q1016" s="43">
        <v>10</v>
      </c>
      <c r="R1016" s="43">
        <v>1</v>
      </c>
      <c r="S1016" s="45"/>
      <c r="T1016" t="b">
        <f>(S1016+S1017+S1018)=U4</f>
        <v>0</v>
      </c>
      <c r="X1016" s="1">
        <f t="shared" si="88"/>
        <v>0</v>
      </c>
      <c r="Y1016" s="48">
        <v>0</v>
      </c>
      <c r="AA1016" s="1">
        <v>5</v>
      </c>
      <c r="AB1016" s="1" t="s">
        <v>14</v>
      </c>
      <c r="AC1016" s="1" t="s">
        <v>20</v>
      </c>
      <c r="AD1016" s="1">
        <v>24</v>
      </c>
      <c r="AE1016" s="1">
        <v>20</v>
      </c>
      <c r="AF1016" s="1">
        <v>0.8</v>
      </c>
      <c r="AG1016" s="1">
        <v>0.88</v>
      </c>
      <c r="AH1016" s="1">
        <v>0</v>
      </c>
      <c r="AI1016" s="1">
        <v>0</v>
      </c>
      <c r="AJ1016" s="1">
        <f t="shared" si="84"/>
        <v>0</v>
      </c>
      <c r="AK1016" s="1">
        <f>C95</f>
        <v>0</v>
      </c>
      <c r="AL1016" s="1">
        <f>C101</f>
        <v>0</v>
      </c>
      <c r="AM1016" s="1">
        <f t="shared" si="85"/>
        <v>0</v>
      </c>
      <c r="AN1016" s="1">
        <f t="shared" si="86"/>
        <v>0</v>
      </c>
      <c r="AO1016" s="1">
        <f t="shared" si="87"/>
        <v>0</v>
      </c>
      <c r="AP1016" t="b" cm="1">
        <f t="array" ref="AP1016">INDEX($AU$8:$BB$25,6*(R1016-1)+MATCH(AB1016,$AS$8:$AS$13,0),MATCH(O1016,$AU$7:$BB$7,0))</f>
        <v>1</v>
      </c>
    </row>
    <row r="1017" spans="15:42" ht="14.25" x14ac:dyDescent="0.45">
      <c r="O1017" s="43" t="s">
        <v>36</v>
      </c>
      <c r="P1017" s="43">
        <v>3</v>
      </c>
      <c r="Q1017" s="43">
        <v>10</v>
      </c>
      <c r="R1017" s="43">
        <v>2</v>
      </c>
      <c r="S1017" s="45"/>
      <c r="T1017" t="b">
        <f>(S1016+S1017+S1018)=U4</f>
        <v>0</v>
      </c>
      <c r="X1017" s="1">
        <f t="shared" si="88"/>
        <v>0</v>
      </c>
      <c r="Y1017" s="48">
        <v>0</v>
      </c>
      <c r="AA1017" s="1">
        <v>5</v>
      </c>
      <c r="AB1017" s="1" t="s">
        <v>14</v>
      </c>
      <c r="AC1017" s="1" t="s">
        <v>20</v>
      </c>
      <c r="AD1017" s="1">
        <v>24</v>
      </c>
      <c r="AE1017" s="1">
        <v>20</v>
      </c>
      <c r="AF1017" s="1">
        <v>0.8</v>
      </c>
      <c r="AG1017" s="1">
        <v>0.88</v>
      </c>
      <c r="AH1017" s="1">
        <v>0</v>
      </c>
      <c r="AI1017" s="1">
        <v>0</v>
      </c>
      <c r="AJ1017" s="1">
        <f t="shared" si="84"/>
        <v>0</v>
      </c>
      <c r="AK1017" s="1">
        <f>D95</f>
        <v>0</v>
      </c>
      <c r="AL1017" s="1">
        <f>D101</f>
        <v>0</v>
      </c>
      <c r="AM1017" s="1">
        <f t="shared" si="85"/>
        <v>0</v>
      </c>
      <c r="AN1017" s="1">
        <f t="shared" si="86"/>
        <v>0</v>
      </c>
      <c r="AO1017" s="1">
        <f t="shared" si="87"/>
        <v>0</v>
      </c>
      <c r="AP1017" t="b" cm="1">
        <f t="array" ref="AP1017">INDEX($AU$8:$BB$25,6*(R1017-1)+MATCH(AB1017,$AS$8:$AS$13,0),MATCH(O1017,$AU$7:$BB$7,0))</f>
        <v>1</v>
      </c>
    </row>
    <row r="1018" spans="15:42" ht="14.25" x14ac:dyDescent="0.45">
      <c r="O1018" s="43" t="s">
        <v>36</v>
      </c>
      <c r="P1018" s="43">
        <v>3</v>
      </c>
      <c r="Q1018" s="43">
        <v>10</v>
      </c>
      <c r="R1018" s="43">
        <v>3</v>
      </c>
      <c r="S1018" s="45"/>
      <c r="T1018" t="b">
        <f>(S1016+S1017+S1018)=U4</f>
        <v>0</v>
      </c>
      <c r="X1018" s="1">
        <f t="shared" si="88"/>
        <v>0</v>
      </c>
      <c r="Y1018" s="48">
        <v>0</v>
      </c>
      <c r="AA1018" s="1">
        <v>5</v>
      </c>
      <c r="AB1018" s="1" t="s">
        <v>14</v>
      </c>
      <c r="AC1018" s="1" t="s">
        <v>20</v>
      </c>
      <c r="AD1018" s="1">
        <v>24</v>
      </c>
      <c r="AE1018" s="1">
        <v>20</v>
      </c>
      <c r="AF1018" s="1">
        <v>0.8</v>
      </c>
      <c r="AG1018" s="1">
        <v>0.88</v>
      </c>
      <c r="AH1018" s="1">
        <v>0</v>
      </c>
      <c r="AI1018" s="1">
        <v>0</v>
      </c>
      <c r="AJ1018" s="1">
        <f t="shared" si="84"/>
        <v>0</v>
      </c>
      <c r="AK1018" s="1">
        <f>E95</f>
        <v>0</v>
      </c>
      <c r="AL1018" s="1">
        <f>E101</f>
        <v>0</v>
      </c>
      <c r="AM1018" s="1">
        <f t="shared" si="85"/>
        <v>0</v>
      </c>
      <c r="AN1018" s="1">
        <f t="shared" si="86"/>
        <v>0</v>
      </c>
      <c r="AO1018" s="1">
        <f t="shared" si="87"/>
        <v>0</v>
      </c>
      <c r="AP1018" t="b" cm="1">
        <f t="array" ref="AP1018">INDEX($AU$8:$BB$25,6*(R1018-1)+MATCH(AB1018,$AS$8:$AS$13,0),MATCH(O1018,$AU$7:$BB$7,0))</f>
        <v>1</v>
      </c>
    </row>
    <row r="1019" spans="15:42" ht="14.25" x14ac:dyDescent="0.45">
      <c r="O1019" s="43" t="s">
        <v>36</v>
      </c>
      <c r="P1019" s="43">
        <v>3</v>
      </c>
      <c r="Q1019" s="43">
        <v>11</v>
      </c>
      <c r="R1019" s="43">
        <v>1</v>
      </c>
      <c r="S1019" s="45"/>
      <c r="T1019" t="b">
        <f>(S1019+S1020+S1021)=U4</f>
        <v>0</v>
      </c>
      <c r="X1019" s="1">
        <f t="shared" si="88"/>
        <v>0</v>
      </c>
      <c r="Y1019" s="48">
        <v>0</v>
      </c>
      <c r="AA1019" s="1">
        <v>3</v>
      </c>
      <c r="AB1019" s="1" t="s">
        <v>15</v>
      </c>
      <c r="AC1019" s="1" t="s">
        <v>21</v>
      </c>
      <c r="AD1019" s="1">
        <v>17</v>
      </c>
      <c r="AE1019" s="1">
        <v>15</v>
      </c>
      <c r="AF1019" s="1">
        <v>0.76</v>
      </c>
      <c r="AG1019" s="1">
        <v>0.84</v>
      </c>
      <c r="AH1019" s="1">
        <v>0</v>
      </c>
      <c r="AI1019" s="1">
        <v>0</v>
      </c>
      <c r="AJ1019" s="1">
        <f t="shared" si="84"/>
        <v>0</v>
      </c>
      <c r="AK1019" s="1">
        <f>C96</f>
        <v>0</v>
      </c>
      <c r="AL1019" s="1">
        <f>C102</f>
        <v>0</v>
      </c>
      <c r="AM1019" s="1">
        <f t="shared" si="85"/>
        <v>0</v>
      </c>
      <c r="AN1019" s="1">
        <f t="shared" si="86"/>
        <v>0</v>
      </c>
      <c r="AO1019" s="1">
        <f t="shared" si="87"/>
        <v>0</v>
      </c>
      <c r="AP1019" t="b" cm="1">
        <f t="array" ref="AP1019">INDEX($AU$8:$BB$25,6*(R1019-1)+MATCH(AB1019,$AS$8:$AS$13,0),MATCH(O1019,$AU$7:$BB$7,0))</f>
        <v>1</v>
      </c>
    </row>
    <row r="1020" spans="15:42" ht="14.25" x14ac:dyDescent="0.45">
      <c r="O1020" s="43" t="s">
        <v>36</v>
      </c>
      <c r="P1020" s="43">
        <v>3</v>
      </c>
      <c r="Q1020" s="43">
        <v>11</v>
      </c>
      <c r="R1020" s="43">
        <v>2</v>
      </c>
      <c r="S1020" s="45"/>
      <c r="T1020" t="b">
        <f>(S1019+S1020+S1021)=U4</f>
        <v>0</v>
      </c>
      <c r="X1020" s="1">
        <f t="shared" si="88"/>
        <v>0</v>
      </c>
      <c r="Y1020" s="48">
        <v>0</v>
      </c>
      <c r="AA1020" s="1">
        <v>3</v>
      </c>
      <c r="AB1020" s="1" t="s">
        <v>15</v>
      </c>
      <c r="AC1020" s="1" t="s">
        <v>21</v>
      </c>
      <c r="AD1020" s="1">
        <v>17</v>
      </c>
      <c r="AE1020" s="1">
        <v>15</v>
      </c>
      <c r="AF1020" s="1">
        <v>0.76</v>
      </c>
      <c r="AG1020" s="1">
        <v>0.84</v>
      </c>
      <c r="AH1020" s="1">
        <v>0</v>
      </c>
      <c r="AI1020" s="1">
        <v>0</v>
      </c>
      <c r="AJ1020" s="1">
        <f t="shared" si="84"/>
        <v>0</v>
      </c>
      <c r="AK1020" s="1">
        <f>D96</f>
        <v>0</v>
      </c>
      <c r="AL1020" s="1">
        <f>D102</f>
        <v>0</v>
      </c>
      <c r="AM1020" s="1">
        <f t="shared" si="85"/>
        <v>0</v>
      </c>
      <c r="AN1020" s="1">
        <f t="shared" si="86"/>
        <v>0</v>
      </c>
      <c r="AO1020" s="1">
        <f t="shared" si="87"/>
        <v>0</v>
      </c>
      <c r="AP1020" t="b" cm="1">
        <f t="array" ref="AP1020">INDEX($AU$8:$BB$25,6*(R1020-1)+MATCH(AB1020,$AS$8:$AS$13,0),MATCH(O1020,$AU$7:$BB$7,0))</f>
        <v>1</v>
      </c>
    </row>
    <row r="1021" spans="15:42" ht="14.25" x14ac:dyDescent="0.45">
      <c r="O1021" s="43" t="s">
        <v>36</v>
      </c>
      <c r="P1021" s="43">
        <v>3</v>
      </c>
      <c r="Q1021" s="43">
        <v>11</v>
      </c>
      <c r="R1021" s="43">
        <v>3</v>
      </c>
      <c r="S1021" s="45"/>
      <c r="T1021" t="b">
        <f>(S1019+S1020+S1021)=U4</f>
        <v>0</v>
      </c>
      <c r="X1021" s="1">
        <f t="shared" si="88"/>
        <v>0</v>
      </c>
      <c r="Y1021" s="48">
        <v>0</v>
      </c>
      <c r="AA1021" s="1">
        <v>3</v>
      </c>
      <c r="AB1021" s="1" t="s">
        <v>15</v>
      </c>
      <c r="AC1021" s="1" t="s">
        <v>21</v>
      </c>
      <c r="AD1021" s="1">
        <v>17</v>
      </c>
      <c r="AE1021" s="1">
        <v>15</v>
      </c>
      <c r="AF1021" s="1">
        <v>0.76</v>
      </c>
      <c r="AG1021" s="1">
        <v>0.84</v>
      </c>
      <c r="AH1021" s="1">
        <v>0</v>
      </c>
      <c r="AI1021" s="1">
        <v>0</v>
      </c>
      <c r="AJ1021" s="1">
        <f t="shared" si="84"/>
        <v>0</v>
      </c>
      <c r="AK1021" s="1">
        <f>E96</f>
        <v>0</v>
      </c>
      <c r="AL1021" s="1">
        <f>E102</f>
        <v>0</v>
      </c>
      <c r="AM1021" s="1">
        <f t="shared" si="85"/>
        <v>0</v>
      </c>
      <c r="AN1021" s="1">
        <f t="shared" si="86"/>
        <v>0</v>
      </c>
      <c r="AO1021" s="1">
        <f t="shared" si="87"/>
        <v>0</v>
      </c>
      <c r="AP1021" t="b" cm="1">
        <f t="array" ref="AP1021">INDEX($AU$8:$BB$25,6*(R1021-1)+MATCH(AB1021,$AS$8:$AS$13,0),MATCH(O1021,$AU$7:$BB$7,0))</f>
        <v>1</v>
      </c>
    </row>
    <row r="1022" spans="15:42" ht="14.25" x14ac:dyDescent="0.45">
      <c r="O1022" s="43" t="s">
        <v>36</v>
      </c>
      <c r="P1022" s="43">
        <v>3</v>
      </c>
      <c r="Q1022" s="43">
        <v>12</v>
      </c>
      <c r="R1022" s="43">
        <v>1</v>
      </c>
      <c r="S1022" s="45"/>
      <c r="T1022" t="b">
        <f>(S1022+S1023+S1024)=U4</f>
        <v>0</v>
      </c>
      <c r="X1022" s="1">
        <f t="shared" si="88"/>
        <v>0</v>
      </c>
      <c r="Y1022" s="48">
        <v>0</v>
      </c>
      <c r="AA1022" s="1">
        <v>10</v>
      </c>
      <c r="AB1022" s="1" t="s">
        <v>15</v>
      </c>
      <c r="AC1022" s="1" t="s">
        <v>21</v>
      </c>
      <c r="AD1022" s="1">
        <v>18</v>
      </c>
      <c r="AE1022" s="1">
        <v>13</v>
      </c>
      <c r="AF1022" s="1">
        <v>0.76</v>
      </c>
      <c r="AG1022" s="1">
        <v>0.84</v>
      </c>
      <c r="AH1022" s="1">
        <v>0</v>
      </c>
      <c r="AI1022" s="1">
        <v>0</v>
      </c>
      <c r="AJ1022" s="1">
        <f t="shared" si="84"/>
        <v>0</v>
      </c>
      <c r="AK1022" s="1">
        <f>C96</f>
        <v>0</v>
      </c>
      <c r="AL1022" s="1">
        <f>C102</f>
        <v>0</v>
      </c>
      <c r="AM1022" s="1">
        <f t="shared" si="85"/>
        <v>0</v>
      </c>
      <c r="AN1022" s="1">
        <f t="shared" si="86"/>
        <v>0</v>
      </c>
      <c r="AO1022" s="1">
        <f t="shared" si="87"/>
        <v>0</v>
      </c>
      <c r="AP1022" t="b" cm="1">
        <f t="array" ref="AP1022">INDEX($AU$8:$BB$25,6*(R1022-1)+MATCH(AB1022,$AS$8:$AS$13,0),MATCH(O1022,$AU$7:$BB$7,0))</f>
        <v>1</v>
      </c>
    </row>
    <row r="1023" spans="15:42" ht="14.25" x14ac:dyDescent="0.45">
      <c r="O1023" s="43" t="s">
        <v>36</v>
      </c>
      <c r="P1023" s="43">
        <v>3</v>
      </c>
      <c r="Q1023" s="43">
        <v>12</v>
      </c>
      <c r="R1023" s="43">
        <v>2</v>
      </c>
      <c r="S1023" s="45"/>
      <c r="T1023" t="b">
        <f>(S1022+S1023+S1024)=U4</f>
        <v>0</v>
      </c>
      <c r="X1023" s="1">
        <f t="shared" si="88"/>
        <v>0</v>
      </c>
      <c r="Y1023" s="48">
        <v>0</v>
      </c>
      <c r="AA1023" s="1">
        <v>10</v>
      </c>
      <c r="AB1023" s="1" t="s">
        <v>15</v>
      </c>
      <c r="AC1023" s="1" t="s">
        <v>21</v>
      </c>
      <c r="AD1023" s="1">
        <v>18</v>
      </c>
      <c r="AE1023" s="1">
        <v>13</v>
      </c>
      <c r="AF1023" s="1">
        <v>0.76</v>
      </c>
      <c r="AG1023" s="1">
        <v>0.84</v>
      </c>
      <c r="AH1023" s="1">
        <v>0</v>
      </c>
      <c r="AI1023" s="1">
        <v>0</v>
      </c>
      <c r="AJ1023" s="1">
        <f t="shared" si="84"/>
        <v>0</v>
      </c>
      <c r="AK1023" s="1">
        <f>D96</f>
        <v>0</v>
      </c>
      <c r="AL1023" s="1">
        <f>D102</f>
        <v>0</v>
      </c>
      <c r="AM1023" s="1">
        <f t="shared" si="85"/>
        <v>0</v>
      </c>
      <c r="AN1023" s="1">
        <f t="shared" si="86"/>
        <v>0</v>
      </c>
      <c r="AO1023" s="1">
        <f t="shared" si="87"/>
        <v>0</v>
      </c>
      <c r="AP1023" t="b" cm="1">
        <f t="array" ref="AP1023">INDEX($AU$8:$BB$25,6*(R1023-1)+MATCH(AB1023,$AS$8:$AS$13,0),MATCH(O1023,$AU$7:$BB$7,0))</f>
        <v>1</v>
      </c>
    </row>
    <row r="1024" spans="15:42" ht="14.25" x14ac:dyDescent="0.45">
      <c r="O1024" s="43" t="s">
        <v>36</v>
      </c>
      <c r="P1024" s="43">
        <v>3</v>
      </c>
      <c r="Q1024" s="43">
        <v>12</v>
      </c>
      <c r="R1024" s="43">
        <v>3</v>
      </c>
      <c r="S1024" s="45"/>
      <c r="T1024" t="b">
        <f>(S1022+S1023+S1024)=U4</f>
        <v>0</v>
      </c>
      <c r="X1024" s="1">
        <f t="shared" si="88"/>
        <v>0</v>
      </c>
      <c r="Y1024" s="48">
        <v>0</v>
      </c>
      <c r="AA1024" s="1">
        <v>10</v>
      </c>
      <c r="AB1024" s="1" t="s">
        <v>15</v>
      </c>
      <c r="AC1024" s="1" t="s">
        <v>21</v>
      </c>
      <c r="AD1024" s="1">
        <v>18</v>
      </c>
      <c r="AE1024" s="1">
        <v>13</v>
      </c>
      <c r="AF1024" s="1">
        <v>0.76</v>
      </c>
      <c r="AG1024" s="1">
        <v>0.84</v>
      </c>
      <c r="AH1024" s="1">
        <v>0</v>
      </c>
      <c r="AI1024" s="1">
        <v>0</v>
      </c>
      <c r="AJ1024" s="1">
        <f t="shared" si="84"/>
        <v>0</v>
      </c>
      <c r="AK1024" s="1">
        <f>E96</f>
        <v>0</v>
      </c>
      <c r="AL1024" s="1">
        <f>E102</f>
        <v>0</v>
      </c>
      <c r="AM1024" s="1">
        <f t="shared" si="85"/>
        <v>0</v>
      </c>
      <c r="AN1024" s="1">
        <f t="shared" si="86"/>
        <v>0</v>
      </c>
      <c r="AO1024" s="1">
        <f t="shared" si="87"/>
        <v>0</v>
      </c>
      <c r="AP1024" t="b" cm="1">
        <f t="array" ref="AP1024">INDEX($AU$8:$BB$25,6*(R1024-1)+MATCH(AB1024,$AS$8:$AS$13,0),MATCH(O1024,$AU$7:$BB$7,0))</f>
        <v>1</v>
      </c>
    </row>
    <row r="1025" spans="15:42" ht="14.25" x14ac:dyDescent="0.45">
      <c r="O1025" s="43" t="s">
        <v>36</v>
      </c>
      <c r="P1025" s="43">
        <v>3</v>
      </c>
      <c r="Q1025" s="43">
        <v>13</v>
      </c>
      <c r="R1025" s="43">
        <v>1</v>
      </c>
      <c r="S1025" s="45"/>
      <c r="T1025" t="b">
        <f>(S1025+S1026+S1027)=U4</f>
        <v>0</v>
      </c>
      <c r="X1025" s="1">
        <f t="shared" si="88"/>
        <v>0</v>
      </c>
      <c r="Y1025" s="48">
        <v>0</v>
      </c>
      <c r="AA1025" s="1">
        <v>2</v>
      </c>
      <c r="AB1025" s="1" t="s">
        <v>16</v>
      </c>
      <c r="AC1025" s="1" t="s">
        <v>22</v>
      </c>
      <c r="AD1025" s="1">
        <v>20</v>
      </c>
      <c r="AE1025" s="1">
        <v>18</v>
      </c>
      <c r="AF1025" s="1">
        <v>0.8</v>
      </c>
      <c r="AG1025" s="1">
        <v>0.9</v>
      </c>
      <c r="AH1025" s="1">
        <v>0</v>
      </c>
      <c r="AI1025" s="1">
        <v>0</v>
      </c>
      <c r="AJ1025" s="1">
        <f t="shared" si="84"/>
        <v>0</v>
      </c>
      <c r="AK1025" s="1">
        <f>C97</f>
        <v>0</v>
      </c>
      <c r="AL1025" s="1">
        <f>C103</f>
        <v>0</v>
      </c>
      <c r="AM1025" s="1">
        <f t="shared" si="85"/>
        <v>0</v>
      </c>
      <c r="AN1025" s="1">
        <f t="shared" si="86"/>
        <v>0</v>
      </c>
      <c r="AO1025" s="1">
        <f t="shared" si="87"/>
        <v>0</v>
      </c>
      <c r="AP1025" t="b" cm="1">
        <f t="array" ref="AP1025">INDEX($AU$8:$BB$25,6*(R1025-1)+MATCH(AB1025,$AS$8:$AS$13,0),MATCH(O1025,$AU$7:$BB$7,0))</f>
        <v>1</v>
      </c>
    </row>
    <row r="1026" spans="15:42" ht="14.25" x14ac:dyDescent="0.45">
      <c r="O1026" s="43" t="s">
        <v>36</v>
      </c>
      <c r="P1026" s="43">
        <v>3</v>
      </c>
      <c r="Q1026" s="43">
        <v>13</v>
      </c>
      <c r="R1026" s="43">
        <v>2</v>
      </c>
      <c r="S1026" s="45"/>
      <c r="T1026" t="b">
        <f>(S1025+S1026+S1027)=U4</f>
        <v>0</v>
      </c>
      <c r="X1026" s="1">
        <f t="shared" si="88"/>
        <v>0</v>
      </c>
      <c r="Y1026" s="48">
        <v>0</v>
      </c>
      <c r="AA1026" s="1">
        <v>2</v>
      </c>
      <c r="AB1026" s="1" t="s">
        <v>16</v>
      </c>
      <c r="AC1026" s="1" t="s">
        <v>22</v>
      </c>
      <c r="AD1026" s="1">
        <v>20</v>
      </c>
      <c r="AE1026" s="1">
        <v>18</v>
      </c>
      <c r="AF1026" s="1">
        <v>0.8</v>
      </c>
      <c r="AG1026" s="1">
        <v>0.9</v>
      </c>
      <c r="AH1026" s="1">
        <v>0</v>
      </c>
      <c r="AI1026" s="1">
        <v>0</v>
      </c>
      <c r="AJ1026" s="1">
        <f t="shared" si="84"/>
        <v>0</v>
      </c>
      <c r="AK1026" s="1">
        <f>D97</f>
        <v>0</v>
      </c>
      <c r="AL1026" s="1">
        <f>D103</f>
        <v>0</v>
      </c>
      <c r="AM1026" s="1">
        <f t="shared" si="85"/>
        <v>0</v>
      </c>
      <c r="AN1026" s="1">
        <f t="shared" si="86"/>
        <v>0</v>
      </c>
      <c r="AO1026" s="1">
        <f t="shared" si="87"/>
        <v>0</v>
      </c>
      <c r="AP1026" t="b" cm="1">
        <f t="array" ref="AP1026">INDEX($AU$8:$BB$25,6*(R1026-1)+MATCH(AB1026,$AS$8:$AS$13,0),MATCH(O1026,$AU$7:$BB$7,0))</f>
        <v>1</v>
      </c>
    </row>
    <row r="1027" spans="15:42" ht="14.25" x14ac:dyDescent="0.45">
      <c r="O1027" s="43" t="s">
        <v>36</v>
      </c>
      <c r="P1027" s="43">
        <v>3</v>
      </c>
      <c r="Q1027" s="43">
        <v>13</v>
      </c>
      <c r="R1027" s="43">
        <v>3</v>
      </c>
      <c r="S1027" s="45"/>
      <c r="T1027" t="b">
        <f>(S1025+S1026+S1027)=U4</f>
        <v>0</v>
      </c>
      <c r="X1027" s="1">
        <f t="shared" si="88"/>
        <v>0</v>
      </c>
      <c r="Y1027" s="48">
        <v>0</v>
      </c>
      <c r="AA1027" s="1">
        <v>2</v>
      </c>
      <c r="AB1027" s="1" t="s">
        <v>16</v>
      </c>
      <c r="AC1027" s="1" t="s">
        <v>22</v>
      </c>
      <c r="AD1027" s="1">
        <v>20</v>
      </c>
      <c r="AE1027" s="1">
        <v>18</v>
      </c>
      <c r="AF1027" s="1">
        <v>0.8</v>
      </c>
      <c r="AG1027" s="1">
        <v>0.9</v>
      </c>
      <c r="AH1027" s="1">
        <v>0</v>
      </c>
      <c r="AI1027" s="1">
        <v>0</v>
      </c>
      <c r="AJ1027" s="1">
        <f t="shared" si="84"/>
        <v>0</v>
      </c>
      <c r="AK1027" s="1">
        <f>E97</f>
        <v>0</v>
      </c>
      <c r="AL1027" s="1">
        <f>E103</f>
        <v>0</v>
      </c>
      <c r="AM1027" s="1">
        <f t="shared" si="85"/>
        <v>0</v>
      </c>
      <c r="AN1027" s="1">
        <f t="shared" si="86"/>
        <v>0</v>
      </c>
      <c r="AO1027" s="1">
        <f t="shared" si="87"/>
        <v>0</v>
      </c>
      <c r="AP1027" t="b" cm="1">
        <f t="array" ref="AP1027">INDEX($AU$8:$BB$25,6*(R1027-1)+MATCH(AB1027,$AS$8:$AS$13,0),MATCH(O1027,$AU$7:$BB$7,0))</f>
        <v>1</v>
      </c>
    </row>
    <row r="1028" spans="15:42" ht="14.25" x14ac:dyDescent="0.45">
      <c r="O1028" s="43" t="s">
        <v>36</v>
      </c>
      <c r="P1028" s="43">
        <v>3</v>
      </c>
      <c r="Q1028" s="43">
        <v>14</v>
      </c>
      <c r="R1028" s="43">
        <v>1</v>
      </c>
      <c r="S1028" s="45"/>
      <c r="T1028" t="b">
        <f>(S1028+S1029+S1030)=U4</f>
        <v>0</v>
      </c>
      <c r="X1028" s="1">
        <f t="shared" si="88"/>
        <v>0</v>
      </c>
      <c r="Y1028" s="48">
        <v>0</v>
      </c>
      <c r="AA1028" s="1">
        <v>2</v>
      </c>
      <c r="AB1028" s="1" t="s">
        <v>13</v>
      </c>
      <c r="AC1028" s="1" t="s">
        <v>19</v>
      </c>
      <c r="AD1028" s="1">
        <v>12</v>
      </c>
      <c r="AE1028" s="1">
        <v>11</v>
      </c>
      <c r="AF1028" s="1">
        <v>0.8</v>
      </c>
      <c r="AG1028" s="1">
        <v>0.86</v>
      </c>
      <c r="AH1028" s="1">
        <v>0</v>
      </c>
      <c r="AI1028" s="1">
        <v>0</v>
      </c>
      <c r="AJ1028" s="1">
        <f t="shared" si="84"/>
        <v>0</v>
      </c>
      <c r="AK1028" s="1">
        <f>C94</f>
        <v>0</v>
      </c>
      <c r="AL1028" s="1">
        <f>C100</f>
        <v>0</v>
      </c>
      <c r="AM1028" s="1">
        <f t="shared" si="85"/>
        <v>0</v>
      </c>
      <c r="AN1028" s="1">
        <f t="shared" si="86"/>
        <v>0</v>
      </c>
      <c r="AO1028" s="1">
        <f t="shared" si="87"/>
        <v>0</v>
      </c>
      <c r="AP1028" t="b" cm="1">
        <f t="array" ref="AP1028">INDEX($AU$8:$BB$25,6*(R1028-1)+MATCH(AB1028,$AS$8:$AS$13,0),MATCH(O1028,$AU$7:$BB$7,0))</f>
        <v>1</v>
      </c>
    </row>
    <row r="1029" spans="15:42" ht="14.25" x14ac:dyDescent="0.45">
      <c r="O1029" s="43" t="s">
        <v>36</v>
      </c>
      <c r="P1029" s="43">
        <v>3</v>
      </c>
      <c r="Q1029" s="43">
        <v>14</v>
      </c>
      <c r="R1029" s="43">
        <v>2</v>
      </c>
      <c r="S1029" s="45"/>
      <c r="T1029" t="b">
        <f>(S1028+S1029+S1030)=U4</f>
        <v>0</v>
      </c>
      <c r="X1029" s="1">
        <f t="shared" si="88"/>
        <v>0</v>
      </c>
      <c r="Y1029" s="48">
        <v>0</v>
      </c>
      <c r="AA1029" s="1">
        <v>2</v>
      </c>
      <c r="AB1029" s="1" t="s">
        <v>13</v>
      </c>
      <c r="AC1029" s="1" t="s">
        <v>19</v>
      </c>
      <c r="AD1029" s="1">
        <v>12</v>
      </c>
      <c r="AE1029" s="1">
        <v>11</v>
      </c>
      <c r="AF1029" s="1">
        <v>0.8</v>
      </c>
      <c r="AG1029" s="1">
        <v>0.86</v>
      </c>
      <c r="AH1029" s="1">
        <v>0</v>
      </c>
      <c r="AI1029" s="1">
        <v>0</v>
      </c>
      <c r="AJ1029" s="1">
        <f t="shared" si="84"/>
        <v>0</v>
      </c>
      <c r="AK1029" s="1">
        <f>D94</f>
        <v>0</v>
      </c>
      <c r="AL1029" s="1">
        <f>D100</f>
        <v>0</v>
      </c>
      <c r="AM1029" s="1">
        <f t="shared" si="85"/>
        <v>0</v>
      </c>
      <c r="AN1029" s="1">
        <f t="shared" si="86"/>
        <v>0</v>
      </c>
      <c r="AO1029" s="1">
        <f t="shared" si="87"/>
        <v>0</v>
      </c>
      <c r="AP1029" t="b" cm="1">
        <f t="array" ref="AP1029">INDEX($AU$8:$BB$25,6*(R1029-1)+MATCH(AB1029,$AS$8:$AS$13,0),MATCH(O1029,$AU$7:$BB$7,0))</f>
        <v>1</v>
      </c>
    </row>
    <row r="1030" spans="15:42" ht="14.25" x14ac:dyDescent="0.45">
      <c r="O1030" s="43" t="s">
        <v>36</v>
      </c>
      <c r="P1030" s="43">
        <v>3</v>
      </c>
      <c r="Q1030" s="43">
        <v>14</v>
      </c>
      <c r="R1030" s="43">
        <v>3</v>
      </c>
      <c r="S1030" s="45"/>
      <c r="T1030" t="b">
        <f>(S1028+S1029+S1030)=U4</f>
        <v>0</v>
      </c>
      <c r="X1030" s="1">
        <f t="shared" si="88"/>
        <v>0</v>
      </c>
      <c r="Y1030" s="48">
        <v>0</v>
      </c>
      <c r="AA1030" s="1">
        <v>2</v>
      </c>
      <c r="AB1030" s="1" t="s">
        <v>13</v>
      </c>
      <c r="AC1030" s="1" t="s">
        <v>19</v>
      </c>
      <c r="AD1030" s="1">
        <v>12</v>
      </c>
      <c r="AE1030" s="1">
        <v>11</v>
      </c>
      <c r="AF1030" s="1">
        <v>0.8</v>
      </c>
      <c r="AG1030" s="1">
        <v>0.86</v>
      </c>
      <c r="AH1030" s="1">
        <v>0</v>
      </c>
      <c r="AI1030" s="1">
        <v>0</v>
      </c>
      <c r="AJ1030" s="1">
        <f t="shared" si="84"/>
        <v>0</v>
      </c>
      <c r="AK1030" s="1">
        <f>E94</f>
        <v>0</v>
      </c>
      <c r="AL1030" s="1">
        <f>E100</f>
        <v>0</v>
      </c>
      <c r="AM1030" s="1">
        <f t="shared" si="85"/>
        <v>0</v>
      </c>
      <c r="AN1030" s="1">
        <f t="shared" si="86"/>
        <v>0</v>
      </c>
      <c r="AO1030" s="1">
        <f t="shared" si="87"/>
        <v>0</v>
      </c>
      <c r="AP1030" t="b" cm="1">
        <f t="array" ref="AP1030">INDEX($AU$8:$BB$25,6*(R1030-1)+MATCH(AB1030,$AS$8:$AS$13,0),MATCH(O1030,$AU$7:$BB$7,0))</f>
        <v>1</v>
      </c>
    </row>
    <row r="1031" spans="15:42" ht="14.25" x14ac:dyDescent="0.45">
      <c r="O1031" s="43" t="s">
        <v>36</v>
      </c>
      <c r="P1031" s="43">
        <v>3</v>
      </c>
      <c r="Q1031" s="43">
        <v>15</v>
      </c>
      <c r="R1031" s="43">
        <v>1</v>
      </c>
      <c r="S1031" s="45"/>
      <c r="T1031" t="b">
        <f>(S1031+S1032+S1033)=U4</f>
        <v>0</v>
      </c>
      <c r="X1031" s="1">
        <f t="shared" si="88"/>
        <v>0</v>
      </c>
      <c r="Y1031" s="48">
        <v>0</v>
      </c>
      <c r="AA1031" s="1">
        <v>2</v>
      </c>
      <c r="AB1031" s="1" t="s">
        <v>14</v>
      </c>
      <c r="AC1031" s="1" t="s">
        <v>20</v>
      </c>
      <c r="AD1031" s="1">
        <v>11</v>
      </c>
      <c r="AE1031" s="1">
        <v>10</v>
      </c>
      <c r="AF1031" s="1">
        <v>0.8</v>
      </c>
      <c r="AG1031" s="1">
        <v>0.88</v>
      </c>
      <c r="AH1031" s="1">
        <v>0</v>
      </c>
      <c r="AI1031" s="1">
        <v>0</v>
      </c>
      <c r="AJ1031" s="1">
        <f>SUMIFS(AH$8:AH$1039,$O$8:$O$1039,O1031,$AB$8:$AB$1039,AB1031,$R$8:$R$1039,R1031,$AA$8:$AA$1039,"&lt;="&amp;AA1031)</f>
        <v>0</v>
      </c>
      <c r="AK1031" s="1">
        <f>C95</f>
        <v>0</v>
      </c>
      <c r="AL1031" s="1">
        <f>C101</f>
        <v>0</v>
      </c>
      <c r="AM1031" s="1">
        <f t="shared" si="85"/>
        <v>0</v>
      </c>
      <c r="AN1031" s="1">
        <f t="shared" si="86"/>
        <v>0</v>
      </c>
      <c r="AO1031" s="1">
        <f t="shared" si="87"/>
        <v>0</v>
      </c>
      <c r="AP1031" t="b" cm="1">
        <f t="array" ref="AP1031">INDEX($AU$8:$BB$25,6*(R1031-1)+MATCH(AB1031,$AS$8:$AS$13,0),MATCH(O1031,$AU$7:$BB$7,0))</f>
        <v>1</v>
      </c>
    </row>
    <row r="1032" spans="15:42" ht="14.25" x14ac:dyDescent="0.45">
      <c r="O1032" s="43" t="s">
        <v>36</v>
      </c>
      <c r="P1032" s="43">
        <v>3</v>
      </c>
      <c r="Q1032" s="43">
        <v>15</v>
      </c>
      <c r="R1032" s="43">
        <v>2</v>
      </c>
      <c r="S1032" s="45"/>
      <c r="T1032" t="b">
        <f>(S1031+S1032+S1033)=U4</f>
        <v>0</v>
      </c>
      <c r="X1032" s="1">
        <f t="shared" si="88"/>
        <v>0</v>
      </c>
      <c r="Y1032" s="48">
        <v>0</v>
      </c>
      <c r="AA1032" s="1">
        <v>2</v>
      </c>
      <c r="AB1032" s="1" t="s">
        <v>14</v>
      </c>
      <c r="AC1032" s="1" t="s">
        <v>20</v>
      </c>
      <c r="AD1032" s="1">
        <v>11</v>
      </c>
      <c r="AE1032" s="1">
        <v>10</v>
      </c>
      <c r="AF1032" s="1">
        <v>0.8</v>
      </c>
      <c r="AG1032" s="1">
        <v>0.88</v>
      </c>
      <c r="AH1032" s="1">
        <v>0</v>
      </c>
      <c r="AI1032" s="1">
        <v>0</v>
      </c>
      <c r="AJ1032" s="1">
        <f t="shared" ref="AJ1032:AJ1039" si="89">SUMIFS(AH$8:AH$1039,$O$8:$O$1039,O1032,$AB$8:$AB$1039,AB1032,$R$8:$R$1039,R1032,$AA$8:$AA$1039,"&lt;="&amp;AA1032)</f>
        <v>0</v>
      </c>
      <c r="AK1032" s="1">
        <f>D95</f>
        <v>0</v>
      </c>
      <c r="AL1032" s="1">
        <f>D101</f>
        <v>0</v>
      </c>
      <c r="AM1032" s="1">
        <f t="shared" si="85"/>
        <v>0</v>
      </c>
      <c r="AN1032" s="1">
        <f t="shared" si="86"/>
        <v>0</v>
      </c>
      <c r="AO1032" s="1">
        <f t="shared" si="87"/>
        <v>0</v>
      </c>
      <c r="AP1032" t="b" cm="1">
        <f t="array" ref="AP1032">INDEX($AU$8:$BB$25,6*(R1032-1)+MATCH(AB1032,$AS$8:$AS$13,0),MATCH(O1032,$AU$7:$BB$7,0))</f>
        <v>1</v>
      </c>
    </row>
    <row r="1033" spans="15:42" ht="14.25" x14ac:dyDescent="0.45">
      <c r="O1033" s="43" t="s">
        <v>36</v>
      </c>
      <c r="P1033" s="43">
        <v>3</v>
      </c>
      <c r="Q1033" s="43">
        <v>15</v>
      </c>
      <c r="R1033" s="43">
        <v>3</v>
      </c>
      <c r="S1033" s="45"/>
      <c r="T1033" t="b">
        <f>(S1031+S1032+S1033)=U4</f>
        <v>0</v>
      </c>
      <c r="X1033" s="1">
        <f t="shared" si="88"/>
        <v>0</v>
      </c>
      <c r="Y1033" s="48">
        <v>0</v>
      </c>
      <c r="AA1033" s="1">
        <v>2</v>
      </c>
      <c r="AB1033" s="1" t="s">
        <v>14</v>
      </c>
      <c r="AC1033" s="1" t="s">
        <v>20</v>
      </c>
      <c r="AD1033" s="1">
        <v>11</v>
      </c>
      <c r="AE1033" s="1">
        <v>10</v>
      </c>
      <c r="AF1033" s="1">
        <v>0.8</v>
      </c>
      <c r="AG1033" s="1">
        <v>0.88</v>
      </c>
      <c r="AH1033" s="1">
        <v>0</v>
      </c>
      <c r="AI1033" s="1">
        <v>0</v>
      </c>
      <c r="AJ1033" s="1">
        <f t="shared" si="89"/>
        <v>0</v>
      </c>
      <c r="AK1033" s="1">
        <f>E95</f>
        <v>0</v>
      </c>
      <c r="AL1033" s="1">
        <f>E101</f>
        <v>0</v>
      </c>
      <c r="AM1033" s="1">
        <f t="shared" ref="AM1033:AM1039" si="90">MAX(0,AJ1033-AK1033)</f>
        <v>0</v>
      </c>
      <c r="AN1033" s="1">
        <f t="shared" ref="AN1033:AN1039" si="91">IF(AM1033=0,AH1033,IF(AM1033&gt;=AH1033,0,AH1033-AM1033))</f>
        <v>0</v>
      </c>
      <c r="AO1033" s="1">
        <f t="shared" ref="AO1033:AO1039" si="92">IF(AM1033&gt;=AH1033,AI1033,AI1033*AM1033/AH1033)</f>
        <v>0</v>
      </c>
      <c r="AP1033" t="b" cm="1">
        <f t="array" ref="AP1033">INDEX($AU$8:$BB$25,6*(R1033-1)+MATCH(AB1033,$AS$8:$AS$13,0),MATCH(O1033,$AU$7:$BB$7,0))</f>
        <v>1</v>
      </c>
    </row>
    <row r="1034" spans="15:42" ht="14.25" x14ac:dyDescent="0.45">
      <c r="O1034" s="43" t="s">
        <v>36</v>
      </c>
      <c r="P1034" s="43">
        <v>3</v>
      </c>
      <c r="Q1034" s="43">
        <v>16</v>
      </c>
      <c r="R1034" s="43">
        <v>1</v>
      </c>
      <c r="S1034" s="45"/>
      <c r="T1034" t="b">
        <f>(S1034+S1035+S1036)=U4</f>
        <v>0</v>
      </c>
      <c r="X1034" s="1">
        <f t="shared" si="88"/>
        <v>0</v>
      </c>
      <c r="Y1034" s="48">
        <v>0</v>
      </c>
      <c r="AA1034" s="1">
        <v>4</v>
      </c>
      <c r="AB1034" s="1" t="s">
        <v>13</v>
      </c>
      <c r="AC1034" s="1" t="s">
        <v>19</v>
      </c>
      <c r="AD1034" s="1">
        <v>25</v>
      </c>
      <c r="AE1034" s="1">
        <v>20</v>
      </c>
      <c r="AF1034" s="1">
        <v>0.8</v>
      </c>
      <c r="AG1034" s="1">
        <v>0.86</v>
      </c>
      <c r="AH1034" s="1">
        <v>0</v>
      </c>
      <c r="AI1034" s="1">
        <v>0</v>
      </c>
      <c r="AJ1034" s="1">
        <f t="shared" si="89"/>
        <v>0</v>
      </c>
      <c r="AK1034" s="1">
        <f>C94</f>
        <v>0</v>
      </c>
      <c r="AL1034" s="1">
        <f>C100</f>
        <v>0</v>
      </c>
      <c r="AM1034" s="1">
        <f t="shared" si="90"/>
        <v>0</v>
      </c>
      <c r="AN1034" s="1">
        <f t="shared" si="91"/>
        <v>0</v>
      </c>
      <c r="AO1034" s="1">
        <f t="shared" si="92"/>
        <v>0</v>
      </c>
      <c r="AP1034" t="b" cm="1">
        <f t="array" ref="AP1034">INDEX($AU$8:$BB$25,6*(R1034-1)+MATCH(AB1034,$AS$8:$AS$13,0),MATCH(O1034,$AU$7:$BB$7,0))</f>
        <v>1</v>
      </c>
    </row>
    <row r="1035" spans="15:42" ht="14.25" x14ac:dyDescent="0.45">
      <c r="O1035" s="43" t="s">
        <v>36</v>
      </c>
      <c r="P1035" s="43">
        <v>3</v>
      </c>
      <c r="Q1035" s="43">
        <v>16</v>
      </c>
      <c r="R1035" s="43">
        <v>2</v>
      </c>
      <c r="S1035" s="45"/>
      <c r="T1035" t="b">
        <f>(S1034+S1035+S1036)=U4</f>
        <v>0</v>
      </c>
      <c r="X1035" s="1">
        <f t="shared" si="88"/>
        <v>0</v>
      </c>
      <c r="Y1035" s="48">
        <v>0</v>
      </c>
      <c r="AA1035" s="1">
        <v>4</v>
      </c>
      <c r="AB1035" s="1" t="s">
        <v>13</v>
      </c>
      <c r="AC1035" s="1" t="s">
        <v>19</v>
      </c>
      <c r="AD1035" s="1">
        <v>25</v>
      </c>
      <c r="AE1035" s="1">
        <v>20</v>
      </c>
      <c r="AF1035" s="1">
        <v>0.8</v>
      </c>
      <c r="AG1035" s="1">
        <v>0.86</v>
      </c>
      <c r="AH1035" s="1">
        <v>0</v>
      </c>
      <c r="AI1035" s="1">
        <v>0</v>
      </c>
      <c r="AJ1035" s="1">
        <f t="shared" si="89"/>
        <v>0</v>
      </c>
      <c r="AK1035" s="1">
        <f>D94</f>
        <v>0</v>
      </c>
      <c r="AL1035" s="1">
        <f>D100</f>
        <v>0</v>
      </c>
      <c r="AM1035" s="1">
        <f t="shared" si="90"/>
        <v>0</v>
      </c>
      <c r="AN1035" s="1">
        <f t="shared" si="91"/>
        <v>0</v>
      </c>
      <c r="AO1035" s="1">
        <f t="shared" si="92"/>
        <v>0</v>
      </c>
      <c r="AP1035" t="b" cm="1">
        <f t="array" ref="AP1035">INDEX($AU$8:$BB$25,6*(R1035-1)+MATCH(AB1035,$AS$8:$AS$13,0),MATCH(O1035,$AU$7:$BB$7,0))</f>
        <v>1</v>
      </c>
    </row>
    <row r="1036" spans="15:42" ht="14.25" x14ac:dyDescent="0.45">
      <c r="O1036" s="43" t="s">
        <v>36</v>
      </c>
      <c r="P1036" s="43">
        <v>3</v>
      </c>
      <c r="Q1036" s="43">
        <v>16</v>
      </c>
      <c r="R1036" s="43">
        <v>3</v>
      </c>
      <c r="S1036" s="45"/>
      <c r="T1036" t="b">
        <f>(S1034+S1035+S1036)=U4</f>
        <v>0</v>
      </c>
      <c r="X1036" s="1">
        <f t="shared" si="88"/>
        <v>0</v>
      </c>
      <c r="Y1036" s="48">
        <v>0</v>
      </c>
      <c r="AA1036" s="1">
        <v>4</v>
      </c>
      <c r="AB1036" s="1" t="s">
        <v>13</v>
      </c>
      <c r="AC1036" s="1" t="s">
        <v>19</v>
      </c>
      <c r="AD1036" s="1">
        <v>25</v>
      </c>
      <c r="AE1036" s="1">
        <v>20</v>
      </c>
      <c r="AF1036" s="1">
        <v>0.8</v>
      </c>
      <c r="AG1036" s="1">
        <v>0.86</v>
      </c>
      <c r="AH1036" s="1">
        <v>0</v>
      </c>
      <c r="AI1036" s="1">
        <v>0</v>
      </c>
      <c r="AJ1036" s="1">
        <f t="shared" si="89"/>
        <v>0</v>
      </c>
      <c r="AK1036" s="1">
        <f>E94</f>
        <v>0</v>
      </c>
      <c r="AL1036" s="1">
        <f>E100</f>
        <v>0</v>
      </c>
      <c r="AM1036" s="1">
        <f t="shared" si="90"/>
        <v>0</v>
      </c>
      <c r="AN1036" s="1">
        <f t="shared" si="91"/>
        <v>0</v>
      </c>
      <c r="AO1036" s="1">
        <f t="shared" si="92"/>
        <v>0</v>
      </c>
      <c r="AP1036" t="b" cm="1">
        <f t="array" ref="AP1036">INDEX($AU$8:$BB$25,6*(R1036-1)+MATCH(AB1036,$AS$8:$AS$13,0),MATCH(O1036,$AU$7:$BB$7,0))</f>
        <v>1</v>
      </c>
    </row>
    <row r="1037" spans="15:42" ht="14.25" x14ac:dyDescent="0.45">
      <c r="O1037" s="43" t="s">
        <v>36</v>
      </c>
      <c r="P1037" s="43">
        <v>3</v>
      </c>
      <c r="Q1037" s="43">
        <v>17</v>
      </c>
      <c r="R1037" s="43">
        <v>1</v>
      </c>
      <c r="S1037" s="45"/>
      <c r="T1037" t="b">
        <f>(S1037+S1038+S1039)=U4</f>
        <v>0</v>
      </c>
      <c r="X1037" s="1">
        <f t="shared" si="88"/>
        <v>0</v>
      </c>
      <c r="Y1037" s="48">
        <v>0</v>
      </c>
      <c r="AA1037" s="1">
        <v>1</v>
      </c>
      <c r="AB1037" s="1" t="s">
        <v>16</v>
      </c>
      <c r="AC1037" s="1" t="s">
        <v>22</v>
      </c>
      <c r="AD1037" s="1">
        <v>14</v>
      </c>
      <c r="AE1037" s="1">
        <v>13</v>
      </c>
      <c r="AF1037" s="1">
        <v>0.8</v>
      </c>
      <c r="AG1037" s="1">
        <v>0.9</v>
      </c>
      <c r="AH1037" s="1">
        <v>0</v>
      </c>
      <c r="AI1037" s="1">
        <v>0</v>
      </c>
      <c r="AJ1037" s="1">
        <f t="shared" si="89"/>
        <v>0</v>
      </c>
      <c r="AK1037" s="1">
        <f>C97</f>
        <v>0</v>
      </c>
      <c r="AL1037" s="1">
        <f>C103</f>
        <v>0</v>
      </c>
      <c r="AM1037" s="1">
        <f t="shared" si="90"/>
        <v>0</v>
      </c>
      <c r="AN1037" s="1">
        <f t="shared" si="91"/>
        <v>0</v>
      </c>
      <c r="AO1037" s="1">
        <f t="shared" si="92"/>
        <v>0</v>
      </c>
      <c r="AP1037" t="b" cm="1">
        <f t="array" ref="AP1037">INDEX($AU$8:$BB$25,6*(R1037-1)+MATCH(AB1037,$AS$8:$AS$13,0),MATCH(O1037,$AU$7:$BB$7,0))</f>
        <v>1</v>
      </c>
    </row>
    <row r="1038" spans="15:42" ht="14.25" x14ac:dyDescent="0.45">
      <c r="O1038" s="43" t="s">
        <v>36</v>
      </c>
      <c r="P1038" s="43">
        <v>3</v>
      </c>
      <c r="Q1038" s="43">
        <v>17</v>
      </c>
      <c r="R1038" s="43">
        <v>2</v>
      </c>
      <c r="S1038" s="45"/>
      <c r="T1038" t="b">
        <f>(S1037+S1038+S1039)=U4</f>
        <v>0</v>
      </c>
      <c r="X1038" s="1">
        <f t="shared" si="88"/>
        <v>0</v>
      </c>
      <c r="Y1038" s="48">
        <v>0</v>
      </c>
      <c r="AA1038" s="1">
        <v>1</v>
      </c>
      <c r="AB1038" s="1" t="s">
        <v>16</v>
      </c>
      <c r="AC1038" s="1" t="s">
        <v>22</v>
      </c>
      <c r="AD1038" s="1">
        <v>14</v>
      </c>
      <c r="AE1038" s="1">
        <v>13</v>
      </c>
      <c r="AF1038" s="1">
        <v>0.8</v>
      </c>
      <c r="AG1038" s="1">
        <v>0.9</v>
      </c>
      <c r="AH1038" s="1">
        <v>0</v>
      </c>
      <c r="AI1038" s="1">
        <v>0</v>
      </c>
      <c r="AJ1038" s="1">
        <f t="shared" si="89"/>
        <v>0</v>
      </c>
      <c r="AK1038" s="1">
        <f>D97</f>
        <v>0</v>
      </c>
      <c r="AL1038" s="1">
        <f>D103</f>
        <v>0</v>
      </c>
      <c r="AM1038" s="1">
        <f t="shared" si="90"/>
        <v>0</v>
      </c>
      <c r="AN1038" s="1">
        <f t="shared" si="91"/>
        <v>0</v>
      </c>
      <c r="AO1038" s="1">
        <f t="shared" si="92"/>
        <v>0</v>
      </c>
      <c r="AP1038" t="b" cm="1">
        <f t="array" ref="AP1038">INDEX($AU$8:$BB$25,6*(R1038-1)+MATCH(AB1038,$AS$8:$AS$13,0),MATCH(O1038,$AU$7:$BB$7,0))</f>
        <v>1</v>
      </c>
    </row>
    <row r="1039" spans="15:42" ht="14.25" x14ac:dyDescent="0.45">
      <c r="O1039" s="43" t="s">
        <v>36</v>
      </c>
      <c r="P1039" s="43">
        <v>3</v>
      </c>
      <c r="Q1039" s="43">
        <v>17</v>
      </c>
      <c r="R1039" s="43">
        <v>3</v>
      </c>
      <c r="S1039" s="45"/>
      <c r="T1039" t="b">
        <f>(S1037+S1038+S1039)=U4</f>
        <v>0</v>
      </c>
      <c r="X1039" s="1">
        <f t="shared" si="88"/>
        <v>0</v>
      </c>
      <c r="Y1039" s="48">
        <v>0</v>
      </c>
      <c r="AA1039" s="1">
        <v>1</v>
      </c>
      <c r="AB1039" s="1" t="s">
        <v>16</v>
      </c>
      <c r="AC1039" s="1" t="s">
        <v>22</v>
      </c>
      <c r="AD1039" s="1">
        <v>14</v>
      </c>
      <c r="AE1039" s="1">
        <v>13</v>
      </c>
      <c r="AF1039" s="1">
        <v>0.8</v>
      </c>
      <c r="AG1039" s="1">
        <v>0.9</v>
      </c>
      <c r="AH1039" s="1">
        <v>0</v>
      </c>
      <c r="AI1039" s="1">
        <v>0</v>
      </c>
      <c r="AJ1039" s="1">
        <f t="shared" si="89"/>
        <v>0</v>
      </c>
      <c r="AK1039" s="1">
        <f>E97</f>
        <v>0</v>
      </c>
      <c r="AL1039" s="1">
        <f>E103</f>
        <v>0</v>
      </c>
      <c r="AM1039" s="1">
        <f t="shared" si="90"/>
        <v>0</v>
      </c>
      <c r="AN1039" s="1">
        <f t="shared" si="91"/>
        <v>0</v>
      </c>
      <c r="AO1039" s="1">
        <f t="shared" si="92"/>
        <v>0</v>
      </c>
      <c r="AP1039" t="b" cm="1">
        <f t="array" ref="AP1039">INDEX($AU$8:$BB$25,6*(R1039-1)+MATCH(AB1039,$AS$8:$AS$13,0),MATCH(O1039,$AU$7:$BB$7,0))</f>
        <v>1</v>
      </c>
    </row>
  </sheetData>
  <autoFilter ref="AA7:AO1039" xr:uid="{320EA1F9-5CD5-41EC-966D-85738F937935}"/>
  <mergeCells count="44">
    <mergeCell ref="A1:C3"/>
    <mergeCell ref="F1:H1"/>
    <mergeCell ref="AU5:BB5"/>
    <mergeCell ref="C6:E6"/>
    <mergeCell ref="F6:H6"/>
    <mergeCell ref="O6:S6"/>
    <mergeCell ref="V6:V7"/>
    <mergeCell ref="AP6:AP7"/>
    <mergeCell ref="A8:A19"/>
    <mergeCell ref="A20:A31"/>
    <mergeCell ref="F22:G22"/>
    <mergeCell ref="F23:G23"/>
    <mergeCell ref="F24:G24"/>
    <mergeCell ref="F25:G25"/>
    <mergeCell ref="A44:A55"/>
    <mergeCell ref="F46:G46"/>
    <mergeCell ref="F47:G47"/>
    <mergeCell ref="F48:G48"/>
    <mergeCell ref="F49:G49"/>
    <mergeCell ref="A32:A43"/>
    <mergeCell ref="F34:G34"/>
    <mergeCell ref="F35:G35"/>
    <mergeCell ref="F36:G36"/>
    <mergeCell ref="F37:G37"/>
    <mergeCell ref="A68:A79"/>
    <mergeCell ref="F70:G70"/>
    <mergeCell ref="F71:G71"/>
    <mergeCell ref="F72:G72"/>
    <mergeCell ref="F73:G73"/>
    <mergeCell ref="A56:A67"/>
    <mergeCell ref="F58:G58"/>
    <mergeCell ref="F59:G59"/>
    <mergeCell ref="F60:G60"/>
    <mergeCell ref="F61:G61"/>
    <mergeCell ref="A92:A103"/>
    <mergeCell ref="F94:G94"/>
    <mergeCell ref="F95:G95"/>
    <mergeCell ref="F96:G96"/>
    <mergeCell ref="F97:G97"/>
    <mergeCell ref="A80:A91"/>
    <mergeCell ref="F82:G82"/>
    <mergeCell ref="F83:G83"/>
    <mergeCell ref="F84:G84"/>
    <mergeCell ref="F85:G85"/>
  </mergeCells>
  <conditionalFormatting sqref="B4">
    <cfRule type="expression" dxfId="31" priority="1">
      <formula>B4</formula>
    </cfRule>
    <cfRule type="expression" dxfId="30" priority="2">
      <formula>NOT(B4)</formula>
    </cfRule>
  </conditionalFormatting>
  <conditionalFormatting sqref="F8:H8">
    <cfRule type="expression" dxfId="29" priority="29">
      <formula>F8&lt;=F$3</formula>
    </cfRule>
    <cfRule type="expression" dxfId="28" priority="30">
      <formula>F8&gt;F$3</formula>
    </cfRule>
  </conditionalFormatting>
  <conditionalFormatting sqref="F20:H20">
    <cfRule type="expression" dxfId="27" priority="27">
      <formula>F20&lt;=F$3</formula>
    </cfRule>
    <cfRule type="expression" dxfId="26" priority="28">
      <formula>F20&gt;F$3</formula>
    </cfRule>
  </conditionalFormatting>
  <conditionalFormatting sqref="F32:H32">
    <cfRule type="expression" dxfId="25" priority="25">
      <formula>F32&lt;=F$3</formula>
    </cfRule>
    <cfRule type="expression" dxfId="24" priority="26">
      <formula>F32&gt;F$3</formula>
    </cfRule>
  </conditionalFormatting>
  <conditionalFormatting sqref="F44:H44">
    <cfRule type="expression" dxfId="23" priority="23">
      <formula>F44&lt;=F$3</formula>
    </cfRule>
    <cfRule type="expression" dxfId="22" priority="24">
      <formula>F44&gt;F$3</formula>
    </cfRule>
  </conditionalFormatting>
  <conditionalFormatting sqref="F56:H56">
    <cfRule type="expression" dxfId="21" priority="21">
      <formula>F56&lt;=F$3</formula>
    </cfRule>
    <cfRule type="expression" dxfId="20" priority="22">
      <formula>F56&gt;F$3</formula>
    </cfRule>
  </conditionalFormatting>
  <conditionalFormatting sqref="F68:H68">
    <cfRule type="expression" dxfId="19" priority="19">
      <formula>F68&lt;=F$3</formula>
    </cfRule>
    <cfRule type="expression" dxfId="18" priority="20">
      <formula>F68&gt;F$3</formula>
    </cfRule>
  </conditionalFormatting>
  <conditionalFormatting sqref="F80:H80">
    <cfRule type="expression" dxfId="17" priority="17">
      <formula>F80&lt;=F$3</formula>
    </cfRule>
    <cfRule type="expression" dxfId="16" priority="18">
      <formula>F80&gt;F$3</formula>
    </cfRule>
  </conditionalFormatting>
  <conditionalFormatting sqref="F92:H92">
    <cfRule type="expression" dxfId="15" priority="15">
      <formula>F92&lt;=F$3</formula>
    </cfRule>
    <cfRule type="expression" dxfId="14" priority="16">
      <formula>F92&gt;F$3</formula>
    </cfRule>
  </conditionalFormatting>
  <conditionalFormatting sqref="K7">
    <cfRule type="expression" dxfId="13" priority="3">
      <formula>K7</formula>
    </cfRule>
    <cfRule type="expression" dxfId="12" priority="4">
      <formula>NOT(K7)</formula>
    </cfRule>
  </conditionalFormatting>
  <conditionalFormatting sqref="T8:T1039">
    <cfRule type="expression" dxfId="11" priority="13">
      <formula>T8</formula>
    </cfRule>
    <cfRule type="expression" dxfId="10" priority="14">
      <formula>NOT(T8)</formula>
    </cfRule>
  </conditionalFormatting>
  <conditionalFormatting sqref="V8">
    <cfRule type="expression" dxfId="9" priority="11">
      <formula>V8</formula>
    </cfRule>
    <cfRule type="expression" dxfId="8" priority="12">
      <formula>NOT(V8)</formula>
    </cfRule>
  </conditionalFormatting>
  <conditionalFormatting sqref="AP3">
    <cfRule type="expression" dxfId="7" priority="5">
      <formula>AP3</formula>
    </cfRule>
    <cfRule type="expression" dxfId="6" priority="6">
      <formula>NOT(AP3)</formula>
    </cfRule>
  </conditionalFormatting>
  <conditionalFormatting sqref="AP8:AP1039">
    <cfRule type="expression" dxfId="5" priority="9">
      <formula>AP8</formula>
    </cfRule>
    <cfRule type="expression" dxfId="4" priority="10">
      <formula>NOT(AP8)</formula>
    </cfRule>
  </conditionalFormatting>
  <conditionalFormatting sqref="AU8:BB25">
    <cfRule type="expression" dxfId="3" priority="7">
      <formula>AU8</formula>
    </cfRule>
    <cfRule type="expression" dxfId="2" priority="8">
      <formula>NOT(AU8)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5D1D-9702-425C-A1F4-D08A793317EE}">
  <dimension ref="B1:AL68"/>
  <sheetViews>
    <sheetView zoomScale="80" zoomScaleNormal="80" workbookViewId="0">
      <selection activeCell="B34" sqref="B34"/>
    </sheetView>
  </sheetViews>
  <sheetFormatPr defaultRowHeight="14.25" x14ac:dyDescent="0.45"/>
  <cols>
    <col min="1" max="1" width="3.265625" customWidth="1"/>
    <col min="4" max="4" width="9.265625" bestFit="1" customWidth="1"/>
    <col min="6" max="11" width="9.265625" bestFit="1" customWidth="1"/>
    <col min="24" max="24" width="25" bestFit="1" customWidth="1"/>
  </cols>
  <sheetData>
    <row r="1" spans="2:38" x14ac:dyDescent="0.45">
      <c r="B1" t="s">
        <v>175</v>
      </c>
    </row>
    <row r="2" spans="2:38" x14ac:dyDescent="0.45">
      <c r="B2" t="s">
        <v>8</v>
      </c>
    </row>
    <row r="3" spans="2:38" x14ac:dyDescent="0.45"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X3" s="36" t="s">
        <v>0</v>
      </c>
      <c r="Y3" s="31" t="s">
        <v>10</v>
      </c>
      <c r="Z3" s="31" t="s">
        <v>12</v>
      </c>
      <c r="AA3" s="31" t="s">
        <v>13</v>
      </c>
      <c r="AB3" s="31" t="s">
        <v>14</v>
      </c>
      <c r="AC3" s="31" t="s">
        <v>15</v>
      </c>
      <c r="AD3" s="31" t="s">
        <v>16</v>
      </c>
      <c r="AG3" s="1"/>
      <c r="AH3" s="1"/>
      <c r="AI3" s="1"/>
      <c r="AJ3" s="1"/>
    </row>
    <row r="4" spans="2:38" x14ac:dyDescent="0.45">
      <c r="B4" s="2" t="s">
        <v>47</v>
      </c>
      <c r="C4" s="1">
        <v>12000</v>
      </c>
      <c r="D4" s="1">
        <v>10000</v>
      </c>
      <c r="E4" s="1">
        <v>8500</v>
      </c>
      <c r="F4" s="1">
        <v>7500</v>
      </c>
      <c r="G4" s="1">
        <v>6000</v>
      </c>
      <c r="H4" s="1">
        <v>5000</v>
      </c>
      <c r="I4" s="1">
        <v>4000</v>
      </c>
      <c r="J4" s="1">
        <v>2000</v>
      </c>
      <c r="N4" s="10"/>
      <c r="X4" s="36" t="s">
        <v>1</v>
      </c>
      <c r="Y4" s="43">
        <v>50</v>
      </c>
      <c r="Z4" s="43">
        <v>25</v>
      </c>
      <c r="AA4" s="43">
        <v>0</v>
      </c>
      <c r="AB4" s="43">
        <v>50</v>
      </c>
      <c r="AC4" s="43">
        <v>40</v>
      </c>
      <c r="AD4" s="43">
        <v>90</v>
      </c>
    </row>
    <row r="5" spans="2:38" x14ac:dyDescent="0.45">
      <c r="B5" s="3" t="s">
        <v>48</v>
      </c>
      <c r="C5" s="1">
        <v>5000</v>
      </c>
      <c r="D5" s="1">
        <v>5200</v>
      </c>
      <c r="E5" s="1">
        <v>5400</v>
      </c>
      <c r="F5" s="1">
        <v>5600</v>
      </c>
      <c r="G5" s="1">
        <v>6000</v>
      </c>
      <c r="H5" s="1">
        <v>6500</v>
      </c>
      <c r="I5" s="1">
        <v>7000</v>
      </c>
      <c r="J5" s="1">
        <v>7500</v>
      </c>
      <c r="N5" s="10"/>
      <c r="X5" s="36" t="s">
        <v>2</v>
      </c>
      <c r="Y5" s="43">
        <v>35</v>
      </c>
      <c r="Z5" s="43">
        <v>30</v>
      </c>
      <c r="AA5" s="43">
        <v>0</v>
      </c>
      <c r="AB5" s="43">
        <v>50</v>
      </c>
      <c r="AC5" s="43">
        <v>30</v>
      </c>
      <c r="AD5" s="43">
        <v>60</v>
      </c>
    </row>
    <row r="6" spans="2:38" x14ac:dyDescent="0.45">
      <c r="B6" s="4" t="s">
        <v>49</v>
      </c>
      <c r="C6" s="1">
        <v>3000</v>
      </c>
      <c r="D6" s="1">
        <v>4500</v>
      </c>
      <c r="E6" s="1">
        <v>7000</v>
      </c>
      <c r="F6" s="1">
        <v>8000</v>
      </c>
      <c r="G6" s="1">
        <v>9000</v>
      </c>
      <c r="H6" s="1">
        <v>11000</v>
      </c>
      <c r="I6" s="1">
        <v>13000</v>
      </c>
      <c r="J6" s="1">
        <v>16000</v>
      </c>
      <c r="X6" s="36" t="s">
        <v>3</v>
      </c>
      <c r="Y6" s="43">
        <v>0</v>
      </c>
      <c r="Z6" s="43">
        <v>0</v>
      </c>
      <c r="AA6" s="43">
        <v>40</v>
      </c>
      <c r="AB6" s="43">
        <v>35</v>
      </c>
      <c r="AC6" s="43">
        <v>16</v>
      </c>
      <c r="AD6" s="43">
        <v>36</v>
      </c>
    </row>
    <row r="8" spans="2:38" x14ac:dyDescent="0.45">
      <c r="B8" t="s">
        <v>50</v>
      </c>
      <c r="X8" t="s">
        <v>174</v>
      </c>
    </row>
    <row r="9" spans="2:38" x14ac:dyDescent="0.45">
      <c r="B9" s="2" t="s">
        <v>47</v>
      </c>
      <c r="C9" s="15" t="s">
        <v>51</v>
      </c>
      <c r="D9" s="15" t="s">
        <v>52</v>
      </c>
      <c r="E9" s="15" t="s">
        <v>53</v>
      </c>
      <c r="F9" s="15" t="s">
        <v>54</v>
      </c>
      <c r="G9" s="15" t="s">
        <v>55</v>
      </c>
      <c r="I9" s="3" t="s">
        <v>57</v>
      </c>
      <c r="J9" s="13" t="s">
        <v>51</v>
      </c>
      <c r="K9" s="15" t="s">
        <v>52</v>
      </c>
      <c r="L9" s="15" t="s">
        <v>53</v>
      </c>
      <c r="M9" s="15" t="s">
        <v>54</v>
      </c>
      <c r="N9" s="15" t="s">
        <v>58</v>
      </c>
      <c r="P9" s="4" t="s">
        <v>59</v>
      </c>
      <c r="Q9" s="27" t="s">
        <v>51</v>
      </c>
      <c r="R9" s="27" t="s">
        <v>52</v>
      </c>
      <c r="S9" s="27" t="s">
        <v>53</v>
      </c>
      <c r="T9" s="27" t="s">
        <v>54</v>
      </c>
      <c r="U9" s="27" t="s">
        <v>58</v>
      </c>
      <c r="X9" s="11" t="s">
        <v>60</v>
      </c>
      <c r="Y9" s="12" t="s">
        <v>10</v>
      </c>
      <c r="Z9" s="12" t="s">
        <v>12</v>
      </c>
      <c r="AA9" s="12" t="s">
        <v>13</v>
      </c>
      <c r="AB9" s="12" t="s">
        <v>14</v>
      </c>
      <c r="AC9" s="12" t="s">
        <v>15</v>
      </c>
      <c r="AD9" s="12" t="s">
        <v>16</v>
      </c>
      <c r="AE9" s="1"/>
      <c r="AF9" s="1"/>
      <c r="AG9" s="1"/>
      <c r="AH9" s="1"/>
      <c r="AI9" s="1"/>
      <c r="AJ9" s="1"/>
      <c r="AL9" t="s">
        <v>61</v>
      </c>
    </row>
    <row r="10" spans="2:38" x14ac:dyDescent="0.45">
      <c r="C10" s="16" t="s">
        <v>62</v>
      </c>
      <c r="D10" s="17" t="s">
        <v>14</v>
      </c>
      <c r="E10" s="17">
        <v>14</v>
      </c>
      <c r="F10" s="17" t="s">
        <v>20</v>
      </c>
      <c r="G10" s="17">
        <v>12</v>
      </c>
      <c r="J10" s="20" t="s">
        <v>62</v>
      </c>
      <c r="K10" s="19" t="s">
        <v>16</v>
      </c>
      <c r="L10" s="19">
        <v>19</v>
      </c>
      <c r="M10" s="19" t="s">
        <v>22</v>
      </c>
      <c r="N10" s="19">
        <v>16</v>
      </c>
      <c r="Q10" s="28" t="s">
        <v>62</v>
      </c>
      <c r="R10" s="17" t="s">
        <v>13</v>
      </c>
      <c r="S10" s="17">
        <v>21</v>
      </c>
      <c r="T10" s="17" t="s">
        <v>19</v>
      </c>
      <c r="U10" s="17">
        <v>20</v>
      </c>
      <c r="X10" s="32" t="s">
        <v>47</v>
      </c>
      <c r="Y10" s="12">
        <f>SUMIF(D10:D35,Y9,E10:E35)</f>
        <v>54</v>
      </c>
      <c r="Z10" s="12">
        <f>SUMIF(D10:D35,Z9,E10:E35)</f>
        <v>0</v>
      </c>
      <c r="AA10" s="12">
        <f>SUMIF(D10:D35,AA9,E10:E35)</f>
        <v>0</v>
      </c>
      <c r="AB10" s="12">
        <f>SUMIF(D10:D35,AB9,E10:E35)</f>
        <v>72</v>
      </c>
      <c r="AC10" s="12">
        <f>SUMIF(D10:D35,AC9,E10:E35)</f>
        <v>0</v>
      </c>
      <c r="AD10" s="12">
        <f>SUMIF(D10:D35,AD9,E10:E35)</f>
        <v>82</v>
      </c>
      <c r="AE10" s="1"/>
      <c r="AF10" s="1"/>
      <c r="AG10" s="1"/>
      <c r="AH10" s="1"/>
      <c r="AI10" s="1"/>
      <c r="AJ10" s="1"/>
      <c r="AL10">
        <f>SUM(Y10:AJ10)</f>
        <v>208</v>
      </c>
    </row>
    <row r="11" spans="2:38" x14ac:dyDescent="0.45">
      <c r="C11" s="16" t="s">
        <v>63</v>
      </c>
      <c r="D11" s="17" t="s">
        <v>16</v>
      </c>
      <c r="E11" s="17">
        <v>25</v>
      </c>
      <c r="F11" s="17" t="s">
        <v>22</v>
      </c>
      <c r="G11" s="17">
        <v>21</v>
      </c>
      <c r="J11" s="20" t="s">
        <v>63</v>
      </c>
      <c r="K11" s="19" t="s">
        <v>12</v>
      </c>
      <c r="L11" s="19">
        <v>20</v>
      </c>
      <c r="M11" s="19" t="s">
        <v>18</v>
      </c>
      <c r="N11" s="19">
        <v>18</v>
      </c>
      <c r="Q11" s="28" t="s">
        <v>63</v>
      </c>
      <c r="R11" s="17" t="s">
        <v>14</v>
      </c>
      <c r="S11" s="17">
        <v>9</v>
      </c>
      <c r="T11" s="17" t="s">
        <v>20</v>
      </c>
      <c r="U11" s="17">
        <v>7</v>
      </c>
      <c r="X11" s="33" t="s">
        <v>48</v>
      </c>
      <c r="Y11" s="12">
        <f>SUMIF(K10:K37,Y9,L10:L37)</f>
        <v>0</v>
      </c>
      <c r="Z11" s="12">
        <f>SUMIF(K10:K37,Z9,L10:L37)</f>
        <v>82</v>
      </c>
      <c r="AA11" s="12">
        <f>SUMIF(K10:K37,AA9,L10:L37)</f>
        <v>0</v>
      </c>
      <c r="AB11" s="12">
        <f>SUMIF(K10:K37,AB9,L10:L37)</f>
        <v>0</v>
      </c>
      <c r="AC11" s="12">
        <f>SUMIF(K10:K37,AC9,L10:L37)</f>
        <v>86</v>
      </c>
      <c r="AD11" s="12">
        <f>SUMIF(K10:K37,AD9,L10:L37)</f>
        <v>73</v>
      </c>
      <c r="AE11" s="1"/>
      <c r="AF11" s="1"/>
      <c r="AG11" s="1"/>
      <c r="AH11" s="1"/>
      <c r="AI11" s="1"/>
      <c r="AJ11" s="1"/>
      <c r="AL11">
        <f>SUM(Y11:AJ11)</f>
        <v>241</v>
      </c>
    </row>
    <row r="12" spans="2:38" x14ac:dyDescent="0.45">
      <c r="C12" s="16" t="s">
        <v>64</v>
      </c>
      <c r="D12" s="17" t="s">
        <v>16</v>
      </c>
      <c r="E12" s="17">
        <v>27</v>
      </c>
      <c r="F12" s="17" t="s">
        <v>22</v>
      </c>
      <c r="G12" s="17">
        <v>23</v>
      </c>
      <c r="J12" s="20" t="s">
        <v>64</v>
      </c>
      <c r="K12" s="19" t="s">
        <v>15</v>
      </c>
      <c r="L12" s="19">
        <v>10</v>
      </c>
      <c r="M12" s="19" t="s">
        <v>21</v>
      </c>
      <c r="N12" s="19">
        <v>7</v>
      </c>
      <c r="Q12" s="28" t="s">
        <v>64</v>
      </c>
      <c r="R12" s="17" t="s">
        <v>15</v>
      </c>
      <c r="S12" s="17">
        <v>24</v>
      </c>
      <c r="T12" s="17" t="s">
        <v>21</v>
      </c>
      <c r="U12" s="17">
        <v>23</v>
      </c>
      <c r="X12" s="34" t="s">
        <v>49</v>
      </c>
      <c r="Y12" s="12">
        <f>SUMIF(R10:R35,Y9,S10:S35)</f>
        <v>0</v>
      </c>
      <c r="Z12" s="12">
        <f>SUMIF(R10:R35,Z9,S10:S35)</f>
        <v>0</v>
      </c>
      <c r="AA12" s="12">
        <f>SUMIF(R10:R35,AA9,S10:S35)</f>
        <v>101</v>
      </c>
      <c r="AB12" s="12">
        <f>SUMIF(R10:R35,AB9,S10:S35)</f>
        <v>71</v>
      </c>
      <c r="AC12" s="12">
        <f>SUMIF(R10:R35,AC9,S10:S35)</f>
        <v>74</v>
      </c>
      <c r="AD12" s="12">
        <f>SUMIF(R10:R35,AD9,S10:S35)</f>
        <v>50</v>
      </c>
      <c r="AE12" s="1"/>
      <c r="AF12" s="1"/>
      <c r="AG12" s="1"/>
      <c r="AH12" s="1"/>
      <c r="AI12" s="1"/>
      <c r="AJ12" s="1"/>
      <c r="AL12">
        <f>SUM(Y12:AJ12)</f>
        <v>296</v>
      </c>
    </row>
    <row r="13" spans="2:38" x14ac:dyDescent="0.45">
      <c r="C13" s="16" t="s">
        <v>65</v>
      </c>
      <c r="D13" s="17" t="s">
        <v>10</v>
      </c>
      <c r="E13" s="17">
        <v>20</v>
      </c>
      <c r="F13" s="17" t="s">
        <v>17</v>
      </c>
      <c r="G13" s="17">
        <v>16</v>
      </c>
      <c r="J13" s="20" t="s">
        <v>65</v>
      </c>
      <c r="K13" s="19" t="s">
        <v>12</v>
      </c>
      <c r="L13" s="19">
        <v>25</v>
      </c>
      <c r="M13" s="19" t="s">
        <v>18</v>
      </c>
      <c r="N13" s="19">
        <v>19</v>
      </c>
      <c r="Q13" s="28" t="s">
        <v>65</v>
      </c>
      <c r="R13" s="17" t="s">
        <v>15</v>
      </c>
      <c r="S13" s="17">
        <v>15</v>
      </c>
      <c r="T13" s="17" t="s">
        <v>21</v>
      </c>
      <c r="U13" s="17">
        <v>11</v>
      </c>
      <c r="X13" s="11" t="s">
        <v>66</v>
      </c>
      <c r="Y13" s="12">
        <v>85</v>
      </c>
      <c r="Z13" s="12">
        <v>102</v>
      </c>
      <c r="AA13" s="12">
        <v>12</v>
      </c>
      <c r="AB13" s="12">
        <v>50</v>
      </c>
      <c r="AC13" s="12">
        <v>30</v>
      </c>
      <c r="AD13" s="12">
        <v>259</v>
      </c>
      <c r="AE13" s="1"/>
      <c r="AF13" s="1"/>
      <c r="AG13" s="1"/>
      <c r="AH13" s="1"/>
      <c r="AI13" s="1"/>
      <c r="AJ13" s="1"/>
    </row>
    <row r="14" spans="2:38" x14ac:dyDescent="0.45">
      <c r="C14" s="16" t="s">
        <v>67</v>
      </c>
      <c r="D14" s="17" t="s">
        <v>16</v>
      </c>
      <c r="E14" s="17">
        <v>12</v>
      </c>
      <c r="F14" s="17" t="s">
        <v>22</v>
      </c>
      <c r="G14" s="17">
        <v>9</v>
      </c>
      <c r="J14" s="20" t="s">
        <v>67</v>
      </c>
      <c r="K14" s="19" t="s">
        <v>12</v>
      </c>
      <c r="L14" s="19">
        <v>15</v>
      </c>
      <c r="M14" s="19" t="s">
        <v>18</v>
      </c>
      <c r="N14" s="19">
        <v>11</v>
      </c>
      <c r="Q14" s="28" t="s">
        <v>67</v>
      </c>
      <c r="R14" s="17" t="s">
        <v>16</v>
      </c>
      <c r="S14" s="17">
        <v>16</v>
      </c>
      <c r="T14" s="17" t="s">
        <v>22</v>
      </c>
      <c r="U14" s="17">
        <v>14</v>
      </c>
      <c r="X14" s="11" t="s">
        <v>68</v>
      </c>
      <c r="Y14" s="35">
        <v>0.78</v>
      </c>
      <c r="Z14" s="35">
        <v>0.76</v>
      </c>
      <c r="AA14" s="35">
        <v>0.8</v>
      </c>
      <c r="AB14" s="35">
        <v>0.8</v>
      </c>
      <c r="AC14" s="35">
        <v>0.76</v>
      </c>
      <c r="AD14" s="35">
        <v>0.8</v>
      </c>
      <c r="AE14" s="5"/>
      <c r="AF14" s="5"/>
      <c r="AG14" s="5"/>
      <c r="AH14" s="5"/>
      <c r="AI14" s="5"/>
      <c r="AJ14" s="5"/>
    </row>
    <row r="15" spans="2:38" x14ac:dyDescent="0.45">
      <c r="C15" s="16" t="s">
        <v>69</v>
      </c>
      <c r="D15" s="17" t="s">
        <v>14</v>
      </c>
      <c r="E15" s="17">
        <v>27</v>
      </c>
      <c r="F15" s="17" t="s">
        <v>20</v>
      </c>
      <c r="G15" s="17">
        <v>21</v>
      </c>
      <c r="J15" s="20" t="s">
        <v>69</v>
      </c>
      <c r="K15" s="19" t="s">
        <v>16</v>
      </c>
      <c r="L15" s="19">
        <v>16</v>
      </c>
      <c r="M15" s="19" t="s">
        <v>22</v>
      </c>
      <c r="N15" s="19">
        <v>14</v>
      </c>
      <c r="Q15" s="28" t="s">
        <v>69</v>
      </c>
      <c r="R15" s="17" t="s">
        <v>14</v>
      </c>
      <c r="S15" s="17">
        <v>12</v>
      </c>
      <c r="T15" s="17" t="s">
        <v>20</v>
      </c>
      <c r="U15" s="17">
        <v>11</v>
      </c>
      <c r="X15" s="11" t="s">
        <v>70</v>
      </c>
      <c r="Y15" s="12" t="s">
        <v>71</v>
      </c>
      <c r="Z15" s="12" t="s">
        <v>72</v>
      </c>
      <c r="AA15" s="12" t="s">
        <v>73</v>
      </c>
      <c r="AB15" s="12" t="s">
        <v>74</v>
      </c>
      <c r="AC15" s="12" t="s">
        <v>75</v>
      </c>
      <c r="AD15" s="12" t="s">
        <v>72</v>
      </c>
      <c r="AE15" s="1"/>
      <c r="AF15" s="1"/>
      <c r="AG15" s="1"/>
      <c r="AH15" s="1"/>
      <c r="AI15" s="1"/>
      <c r="AJ15" s="1"/>
    </row>
    <row r="16" spans="2:38" x14ac:dyDescent="0.45">
      <c r="C16" s="16" t="s">
        <v>76</v>
      </c>
      <c r="D16" s="17" t="s">
        <v>14</v>
      </c>
      <c r="E16" s="17">
        <v>17</v>
      </c>
      <c r="F16" s="17" t="s">
        <v>20</v>
      </c>
      <c r="G16" s="17">
        <v>13</v>
      </c>
      <c r="J16" s="20" t="s">
        <v>76</v>
      </c>
      <c r="K16" s="19" t="s">
        <v>16</v>
      </c>
      <c r="L16" s="19">
        <v>17</v>
      </c>
      <c r="M16" s="19" t="s">
        <v>22</v>
      </c>
      <c r="N16" s="19">
        <v>15</v>
      </c>
      <c r="Q16" s="28" t="s">
        <v>76</v>
      </c>
      <c r="R16" s="17" t="s">
        <v>13</v>
      </c>
      <c r="S16" s="17">
        <v>24</v>
      </c>
      <c r="T16" s="17" t="s">
        <v>19</v>
      </c>
      <c r="U16" s="17">
        <v>21</v>
      </c>
      <c r="X16" s="11" t="s">
        <v>77</v>
      </c>
      <c r="Y16" s="12">
        <v>6.78</v>
      </c>
      <c r="Z16" s="12">
        <v>3.96</v>
      </c>
      <c r="AA16" s="12">
        <v>5.82</v>
      </c>
      <c r="AB16" s="12">
        <v>5.61</v>
      </c>
      <c r="AC16" s="12">
        <v>4.6500000000000004</v>
      </c>
      <c r="AD16" s="12">
        <v>3.68</v>
      </c>
      <c r="AE16" s="1"/>
      <c r="AF16" s="1"/>
      <c r="AG16" s="1"/>
      <c r="AH16" s="1"/>
      <c r="AI16" s="1"/>
      <c r="AJ16" s="1"/>
    </row>
    <row r="17" spans="2:36" x14ac:dyDescent="0.45">
      <c r="C17" s="16" t="s">
        <v>78</v>
      </c>
      <c r="D17" s="17" t="s">
        <v>10</v>
      </c>
      <c r="E17" s="17">
        <v>18</v>
      </c>
      <c r="F17" s="17" t="s">
        <v>17</v>
      </c>
      <c r="G17" s="17">
        <v>16</v>
      </c>
      <c r="J17" s="20" t="s">
        <v>79</v>
      </c>
      <c r="K17" s="19" t="s">
        <v>12</v>
      </c>
      <c r="L17" s="19">
        <v>22</v>
      </c>
      <c r="M17" s="19" t="s">
        <v>18</v>
      </c>
      <c r="N17" s="19">
        <v>16</v>
      </c>
      <c r="Q17" s="28" t="s">
        <v>79</v>
      </c>
      <c r="R17" s="17" t="s">
        <v>13</v>
      </c>
      <c r="S17" s="17">
        <v>19</v>
      </c>
      <c r="T17" s="17" t="s">
        <v>19</v>
      </c>
      <c r="U17" s="17">
        <v>13</v>
      </c>
    </row>
    <row r="18" spans="2:36" x14ac:dyDescent="0.45">
      <c r="C18" s="16" t="s">
        <v>80</v>
      </c>
      <c r="D18" s="17" t="s">
        <v>10</v>
      </c>
      <c r="E18" s="17">
        <v>16</v>
      </c>
      <c r="F18" s="17" t="s">
        <v>17</v>
      </c>
      <c r="G18" s="17">
        <v>13</v>
      </c>
      <c r="J18" s="20" t="s">
        <v>81</v>
      </c>
      <c r="K18" s="19" t="s">
        <v>15</v>
      </c>
      <c r="L18" s="19">
        <v>7</v>
      </c>
      <c r="M18" s="19" t="s">
        <v>21</v>
      </c>
      <c r="N18" s="19">
        <v>6</v>
      </c>
      <c r="Q18" s="28" t="s">
        <v>81</v>
      </c>
      <c r="R18" s="17" t="s">
        <v>14</v>
      </c>
      <c r="S18" s="17">
        <v>15</v>
      </c>
      <c r="T18" s="17" t="s">
        <v>20</v>
      </c>
      <c r="U18" s="17">
        <v>13</v>
      </c>
      <c r="X18" s="11" t="s">
        <v>60</v>
      </c>
      <c r="Y18" s="12" t="str">
        <f t="shared" ref="Y18:AD18" si="0">Y9&amp;"+"</f>
        <v>A+</v>
      </c>
      <c r="Z18" s="12" t="str">
        <f t="shared" si="0"/>
        <v>B+</v>
      </c>
      <c r="AA18" s="12" t="str">
        <f t="shared" si="0"/>
        <v>C+</v>
      </c>
      <c r="AB18" s="12" t="str">
        <f t="shared" si="0"/>
        <v>D+</v>
      </c>
      <c r="AC18" s="12" t="str">
        <f t="shared" si="0"/>
        <v>E+</v>
      </c>
      <c r="AD18" s="12" t="str">
        <f t="shared" si="0"/>
        <v>F+</v>
      </c>
      <c r="AE18" s="1"/>
      <c r="AF18" s="1"/>
      <c r="AG18" s="1"/>
      <c r="AH18" s="1"/>
      <c r="AI18" s="1"/>
      <c r="AJ18" s="1"/>
    </row>
    <row r="19" spans="2:36" x14ac:dyDescent="0.45">
      <c r="C19" s="16" t="s">
        <v>82</v>
      </c>
      <c r="D19" s="17" t="s">
        <v>14</v>
      </c>
      <c r="E19" s="17">
        <v>14</v>
      </c>
      <c r="F19" s="17" t="s">
        <v>20</v>
      </c>
      <c r="G19" s="17">
        <v>11</v>
      </c>
      <c r="J19" s="20" t="s">
        <v>83</v>
      </c>
      <c r="K19" s="19" t="s">
        <v>15</v>
      </c>
      <c r="L19" s="19">
        <v>9</v>
      </c>
      <c r="M19" s="19" t="s">
        <v>21</v>
      </c>
      <c r="N19" s="19">
        <v>7</v>
      </c>
      <c r="Q19" s="28" t="s">
        <v>83</v>
      </c>
      <c r="R19" s="17" t="s">
        <v>14</v>
      </c>
      <c r="S19" s="17">
        <v>24</v>
      </c>
      <c r="T19" s="17" t="s">
        <v>20</v>
      </c>
      <c r="U19" s="17">
        <v>20</v>
      </c>
      <c r="X19" s="32" t="s">
        <v>47</v>
      </c>
      <c r="Y19" s="12">
        <f>SUMIF(D10:D35,Y9,G10:G37)</f>
        <v>45</v>
      </c>
      <c r="Z19" s="12">
        <f>SUMIF(D10:D35,Z9,G10:G37)</f>
        <v>0</v>
      </c>
      <c r="AA19" s="12">
        <f>SUMIF(D10:D35,AA9,G10:G37)</f>
        <v>0</v>
      </c>
      <c r="AB19" s="12">
        <f>SUMIF(D10:D35,AB9,G10:G37)</f>
        <v>57</v>
      </c>
      <c r="AC19" s="12">
        <f>SUMIF(D10:D35,AC9,G10:G37)</f>
        <v>0</v>
      </c>
      <c r="AD19" s="12">
        <f>SUMIF(D10:D35,AD9,G10:G37)</f>
        <v>69</v>
      </c>
      <c r="AE19" s="1"/>
      <c r="AF19" s="1"/>
      <c r="AG19" s="1"/>
      <c r="AH19" s="1"/>
      <c r="AI19" s="1"/>
      <c r="AJ19" s="1"/>
    </row>
    <row r="20" spans="2:36" x14ac:dyDescent="0.45">
      <c r="C20" s="16" t="s">
        <v>84</v>
      </c>
      <c r="D20" s="17" t="s">
        <v>16</v>
      </c>
      <c r="E20" s="17">
        <v>18</v>
      </c>
      <c r="F20" s="17" t="s">
        <v>22</v>
      </c>
      <c r="G20" s="17">
        <v>16</v>
      </c>
      <c r="J20" s="20" t="s">
        <v>84</v>
      </c>
      <c r="K20" s="19" t="s">
        <v>15</v>
      </c>
      <c r="L20" s="19">
        <v>20</v>
      </c>
      <c r="M20" s="19" t="s">
        <v>21</v>
      </c>
      <c r="N20" s="19">
        <v>19</v>
      </c>
      <c r="Q20" s="28" t="s">
        <v>84</v>
      </c>
      <c r="R20" s="17" t="s">
        <v>15</v>
      </c>
      <c r="S20" s="17">
        <v>17</v>
      </c>
      <c r="T20" s="17" t="s">
        <v>21</v>
      </c>
      <c r="U20" s="17">
        <v>15</v>
      </c>
      <c r="X20" s="33" t="s">
        <v>48</v>
      </c>
      <c r="Y20" s="12">
        <f>SUMIF(K10:K37,Y9,N10:N37)</f>
        <v>0</v>
      </c>
      <c r="Z20" s="12">
        <f>SUMIF(K10:K37,Z9,N10:N37)</f>
        <v>64</v>
      </c>
      <c r="AA20" s="12">
        <f>SUMIF(K10:K37,AA9,N10:N37)</f>
        <v>0</v>
      </c>
      <c r="AB20" s="12">
        <f>SUMIF(K10:K37,AB9,N10:N37)</f>
        <v>0</v>
      </c>
      <c r="AC20" s="12">
        <f>SUMIF(K10:K37,AC9,N10:N37)</f>
        <v>70</v>
      </c>
      <c r="AD20" s="12">
        <f>SUMIF(K10:K37,AD9,N10:N37)</f>
        <v>63</v>
      </c>
      <c r="AE20" s="1"/>
      <c r="AF20" s="1"/>
      <c r="AG20" s="1"/>
      <c r="AH20" s="1"/>
      <c r="AI20" s="1"/>
      <c r="AJ20" s="1"/>
    </row>
    <row r="21" spans="2:36" x14ac:dyDescent="0.45">
      <c r="C21" s="8"/>
      <c r="D21" s="14"/>
      <c r="E21" s="14"/>
      <c r="F21" s="14"/>
      <c r="G21" s="14"/>
      <c r="J21" s="20" t="s">
        <v>85</v>
      </c>
      <c r="K21" s="19" t="s">
        <v>16</v>
      </c>
      <c r="L21" s="19">
        <v>21</v>
      </c>
      <c r="M21" s="19" t="s">
        <v>22</v>
      </c>
      <c r="N21" s="19">
        <v>18</v>
      </c>
      <c r="Q21" s="28" t="s">
        <v>85</v>
      </c>
      <c r="R21" s="17" t="s">
        <v>15</v>
      </c>
      <c r="S21" s="17">
        <v>18</v>
      </c>
      <c r="T21" s="17" t="s">
        <v>21</v>
      </c>
      <c r="U21" s="17">
        <v>13</v>
      </c>
      <c r="X21" s="34" t="s">
        <v>49</v>
      </c>
      <c r="Y21" s="12">
        <f>SUMIF(R10:R35,Y9,U10:U35)</f>
        <v>0</v>
      </c>
      <c r="Z21" s="12">
        <f>SUMIF(R10:R35,Z9,U10:U35)</f>
        <v>0</v>
      </c>
      <c r="AA21" s="12">
        <f>SUMIF(R10:R35,AA9,U10:U35)</f>
        <v>85</v>
      </c>
      <c r="AB21" s="12">
        <f>SUMIF(R10:R35,AB9,U10:U35)</f>
        <v>61</v>
      </c>
      <c r="AC21" s="12">
        <f>SUMIF(R10:R35,AC9,U10:U35)</f>
        <v>62</v>
      </c>
      <c r="AD21" s="12">
        <f>SUMIF(R10:R35,AD9,U10:U35)</f>
        <v>45</v>
      </c>
      <c r="AE21" s="1"/>
      <c r="AF21" s="1"/>
      <c r="AG21" s="1"/>
      <c r="AH21" s="1"/>
      <c r="AI21" s="1"/>
      <c r="AJ21" s="1"/>
    </row>
    <row r="22" spans="2:36" x14ac:dyDescent="0.45">
      <c r="C22" s="8"/>
      <c r="D22" s="14"/>
      <c r="E22" s="14"/>
      <c r="F22" s="14"/>
      <c r="G22" s="14"/>
      <c r="H22" s="9"/>
      <c r="J22" s="20" t="s">
        <v>86</v>
      </c>
      <c r="K22" s="19" t="s">
        <v>15</v>
      </c>
      <c r="L22" s="19">
        <v>12</v>
      </c>
      <c r="M22" s="19" t="s">
        <v>21</v>
      </c>
      <c r="N22" s="19">
        <v>9</v>
      </c>
      <c r="Q22" s="28" t="s">
        <v>86</v>
      </c>
      <c r="R22" s="17" t="s">
        <v>16</v>
      </c>
      <c r="S22" s="17">
        <v>20</v>
      </c>
      <c r="T22" s="17" t="s">
        <v>22</v>
      </c>
      <c r="U22" s="17">
        <v>18</v>
      </c>
      <c r="X22" s="11" t="s">
        <v>66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"/>
      <c r="AF22" s="1"/>
      <c r="AG22" s="1"/>
      <c r="AH22" s="1"/>
      <c r="AI22" s="1"/>
      <c r="AJ22" s="1"/>
    </row>
    <row r="23" spans="2:36" x14ac:dyDescent="0.45">
      <c r="C23" s="8"/>
      <c r="D23" s="14"/>
      <c r="E23" s="14"/>
      <c r="F23" s="14"/>
      <c r="G23" s="14"/>
      <c r="H23" s="14"/>
      <c r="I23" s="14"/>
      <c r="J23" s="21" t="s">
        <v>87</v>
      </c>
      <c r="K23" s="19" t="s">
        <v>15</v>
      </c>
      <c r="L23" s="19">
        <v>15</v>
      </c>
      <c r="M23" s="19" t="s">
        <v>21</v>
      </c>
      <c r="N23" s="19">
        <v>12</v>
      </c>
      <c r="Q23" s="28" t="s">
        <v>87</v>
      </c>
      <c r="R23" s="17" t="s">
        <v>13</v>
      </c>
      <c r="S23" s="17">
        <v>12</v>
      </c>
      <c r="T23" s="17" t="s">
        <v>19</v>
      </c>
      <c r="U23" s="17">
        <v>11</v>
      </c>
      <c r="X23" s="11" t="s">
        <v>68</v>
      </c>
      <c r="Y23" s="35">
        <v>0.84</v>
      </c>
      <c r="Z23" s="35">
        <v>0.81</v>
      </c>
      <c r="AA23" s="35">
        <v>0.86</v>
      </c>
      <c r="AB23" s="35">
        <v>0.88</v>
      </c>
      <c r="AC23" s="35">
        <v>0.84</v>
      </c>
      <c r="AD23" s="35">
        <v>0.9</v>
      </c>
      <c r="AE23" s="5"/>
      <c r="AF23" s="5"/>
      <c r="AG23" s="5"/>
      <c r="AH23" s="5"/>
      <c r="AI23" s="5"/>
      <c r="AJ23" s="5"/>
    </row>
    <row r="24" spans="2:36" x14ac:dyDescent="0.45">
      <c r="C24" s="8"/>
      <c r="D24" s="14"/>
      <c r="E24" s="14"/>
      <c r="F24" s="14"/>
      <c r="G24" s="14"/>
      <c r="H24" s="14"/>
      <c r="I24" s="14"/>
      <c r="J24" s="22" t="s">
        <v>88</v>
      </c>
      <c r="K24" s="19" t="s">
        <v>15</v>
      </c>
      <c r="L24" s="19">
        <v>13</v>
      </c>
      <c r="M24" s="19" t="s">
        <v>21</v>
      </c>
      <c r="N24" s="19">
        <v>10</v>
      </c>
      <c r="Q24" s="28" t="s">
        <v>88</v>
      </c>
      <c r="R24" s="17" t="s">
        <v>14</v>
      </c>
      <c r="S24" s="17">
        <v>11</v>
      </c>
      <c r="T24" s="17" t="s">
        <v>20</v>
      </c>
      <c r="U24" s="17">
        <v>10</v>
      </c>
      <c r="X24" s="11" t="s">
        <v>70</v>
      </c>
      <c r="Y24" s="12" t="s">
        <v>72</v>
      </c>
      <c r="Z24" s="12" t="s">
        <v>89</v>
      </c>
      <c r="AA24" s="12" t="s">
        <v>90</v>
      </c>
      <c r="AB24" s="12" t="s">
        <v>91</v>
      </c>
      <c r="AC24" s="12" t="s">
        <v>92</v>
      </c>
      <c r="AD24" s="12" t="s">
        <v>89</v>
      </c>
      <c r="AE24" s="1"/>
      <c r="AF24" s="1"/>
      <c r="AG24" s="1"/>
      <c r="AH24" s="1"/>
      <c r="AI24" s="1"/>
      <c r="AJ24" s="1"/>
    </row>
    <row r="25" spans="2:36" x14ac:dyDescent="0.45">
      <c r="C25" s="8"/>
      <c r="D25" s="14"/>
      <c r="E25" s="14"/>
      <c r="F25" s="14"/>
      <c r="G25" s="14"/>
      <c r="H25" s="14"/>
      <c r="I25" s="14"/>
      <c r="J25" s="8"/>
      <c r="K25" s="14"/>
      <c r="L25" s="14"/>
      <c r="M25" s="14"/>
      <c r="N25" s="14"/>
      <c r="Q25" s="28" t="s">
        <v>93</v>
      </c>
      <c r="R25" s="17" t="s">
        <v>13</v>
      </c>
      <c r="S25" s="17">
        <v>25</v>
      </c>
      <c r="T25" s="17" t="s">
        <v>19</v>
      </c>
      <c r="U25" s="17">
        <v>20</v>
      </c>
      <c r="X25" s="11" t="s">
        <v>77</v>
      </c>
      <c r="Y25" s="13">
        <v>6.93</v>
      </c>
      <c r="Z25" s="13">
        <v>3.72</v>
      </c>
      <c r="AA25" s="13">
        <v>5.75</v>
      </c>
      <c r="AB25" s="13">
        <v>5.74</v>
      </c>
      <c r="AC25" s="13">
        <v>4.8</v>
      </c>
      <c r="AD25" s="13">
        <v>3.57</v>
      </c>
      <c r="AE25" s="8"/>
      <c r="AF25" s="8"/>
      <c r="AG25" s="8"/>
      <c r="AH25" s="8"/>
      <c r="AI25" s="8"/>
      <c r="AJ25" s="8"/>
    </row>
    <row r="26" spans="2:36" x14ac:dyDescent="0.45">
      <c r="C26" s="8"/>
      <c r="D26" s="14"/>
      <c r="E26" s="14"/>
      <c r="F26" s="14"/>
      <c r="G26" s="14"/>
      <c r="H26" s="14"/>
      <c r="I26" s="14"/>
      <c r="J26" s="8"/>
      <c r="K26" s="14"/>
      <c r="L26" s="14"/>
      <c r="M26" s="14"/>
      <c r="N26" s="14"/>
      <c r="O26" s="9"/>
      <c r="Q26" s="28" t="s">
        <v>94</v>
      </c>
      <c r="R26" s="17" t="s">
        <v>16</v>
      </c>
      <c r="S26" s="17">
        <v>14</v>
      </c>
      <c r="T26" s="17" t="s">
        <v>22</v>
      </c>
      <c r="U26" s="17">
        <v>13</v>
      </c>
      <c r="AE26" s="5"/>
      <c r="AF26" s="5"/>
      <c r="AG26" s="5"/>
      <c r="AH26" s="5"/>
      <c r="AI26" s="5"/>
      <c r="AJ26" s="5"/>
    </row>
    <row r="27" spans="2:36" ht="15" customHeight="1" x14ac:dyDescent="0.45">
      <c r="C27" s="8"/>
      <c r="D27" s="14"/>
      <c r="E27" s="14"/>
      <c r="F27" s="14"/>
      <c r="G27" s="14"/>
      <c r="H27" s="9"/>
      <c r="J27" s="8"/>
      <c r="K27" s="14"/>
      <c r="L27" s="14"/>
      <c r="M27" s="14"/>
      <c r="N27" s="14"/>
      <c r="O27" s="9"/>
      <c r="R27" s="26"/>
      <c r="S27" s="26"/>
      <c r="T27" s="26"/>
      <c r="U27" s="26"/>
      <c r="V27" s="6"/>
    </row>
    <row r="28" spans="2:36" ht="15" customHeight="1" x14ac:dyDescent="0.45">
      <c r="H28" s="6"/>
      <c r="J28" s="8"/>
      <c r="K28" s="14"/>
      <c r="L28" s="14"/>
      <c r="M28" s="14"/>
      <c r="N28" s="14"/>
      <c r="O28" s="9"/>
      <c r="R28" s="26"/>
      <c r="S28" s="26"/>
      <c r="T28" s="26"/>
      <c r="U28" s="26"/>
      <c r="V28" s="6"/>
      <c r="X28" s="13" t="s">
        <v>95</v>
      </c>
      <c r="Y28" s="13" t="s">
        <v>96</v>
      </c>
      <c r="Z28" s="13" t="s">
        <v>97</v>
      </c>
      <c r="AA28" s="13" t="s">
        <v>98</v>
      </c>
    </row>
    <row r="29" spans="2:36" ht="15" customHeight="1" x14ac:dyDescent="0.45">
      <c r="B29" s="80" t="s">
        <v>182</v>
      </c>
      <c r="C29" s="80"/>
      <c r="D29" s="80"/>
      <c r="E29" s="80"/>
      <c r="F29" s="80"/>
      <c r="G29" s="80"/>
      <c r="H29" s="6"/>
      <c r="J29" s="8"/>
      <c r="K29" s="14"/>
      <c r="L29" s="14"/>
      <c r="M29" s="14"/>
      <c r="N29" s="14"/>
      <c r="O29" s="9"/>
      <c r="R29" s="26"/>
      <c r="S29" s="26"/>
      <c r="T29" s="26"/>
      <c r="U29" s="26"/>
      <c r="V29" s="6"/>
      <c r="X29" s="13" t="s">
        <v>99</v>
      </c>
      <c r="Y29" s="13">
        <v>1500</v>
      </c>
      <c r="Z29" s="13">
        <v>1300</v>
      </c>
      <c r="AA29" s="13">
        <v>700</v>
      </c>
    </row>
    <row r="30" spans="2:36" ht="15" customHeight="1" x14ac:dyDescent="0.45">
      <c r="B30" s="80"/>
      <c r="C30" s="80"/>
      <c r="D30" s="80"/>
      <c r="E30" s="80"/>
      <c r="F30" s="80"/>
      <c r="G30" s="80"/>
      <c r="H30" s="6"/>
      <c r="J30" s="8"/>
      <c r="K30" s="14"/>
      <c r="L30" s="14"/>
      <c r="M30" s="14"/>
      <c r="N30" s="14"/>
      <c r="O30" s="9"/>
      <c r="R30" s="26"/>
      <c r="S30" s="26"/>
      <c r="T30" s="26"/>
      <c r="U30" s="26"/>
      <c r="V30" s="6"/>
      <c r="X30" s="78" t="s">
        <v>100</v>
      </c>
      <c r="Y30" s="13" t="s">
        <v>101</v>
      </c>
      <c r="Z30" s="13" t="s">
        <v>102</v>
      </c>
      <c r="AA30" s="13" t="s">
        <v>103</v>
      </c>
    </row>
    <row r="31" spans="2:36" ht="15" customHeight="1" x14ac:dyDescent="0.45">
      <c r="B31" s="80"/>
      <c r="C31" s="80"/>
      <c r="D31" s="80"/>
      <c r="E31" s="80"/>
      <c r="F31" s="80"/>
      <c r="G31" s="80"/>
      <c r="H31" s="6"/>
      <c r="J31" s="8"/>
      <c r="K31" s="14"/>
      <c r="L31" s="14"/>
      <c r="M31" s="14"/>
      <c r="N31" s="14"/>
      <c r="O31" s="9"/>
      <c r="R31" s="26"/>
      <c r="S31" s="26"/>
      <c r="T31" s="26"/>
      <c r="U31" s="26"/>
      <c r="V31" s="6"/>
      <c r="X31" s="78"/>
      <c r="Y31" s="13" t="s">
        <v>104</v>
      </c>
      <c r="Z31" s="13" t="s">
        <v>105</v>
      </c>
      <c r="AA31" s="13" t="s">
        <v>106</v>
      </c>
    </row>
    <row r="32" spans="2:36" ht="15" customHeight="1" x14ac:dyDescent="0.45">
      <c r="B32" s="80"/>
      <c r="C32" s="80"/>
      <c r="D32" s="80"/>
      <c r="E32" s="80"/>
      <c r="F32" s="80"/>
      <c r="G32" s="80"/>
      <c r="H32" s="6"/>
      <c r="J32" s="8"/>
      <c r="K32" s="14"/>
      <c r="L32" s="14"/>
      <c r="M32" s="14"/>
      <c r="N32" s="14"/>
      <c r="O32" s="9"/>
      <c r="R32" s="26"/>
      <c r="S32" s="26"/>
      <c r="T32" s="26"/>
      <c r="U32" s="26"/>
      <c r="V32" s="6"/>
      <c r="X32" s="78"/>
      <c r="Y32" s="13" t="s">
        <v>107</v>
      </c>
      <c r="Z32" s="13" t="s">
        <v>107</v>
      </c>
      <c r="AA32" s="13" t="s">
        <v>108</v>
      </c>
    </row>
    <row r="33" spans="2:27" ht="15" customHeight="1" x14ac:dyDescent="0.45">
      <c r="B33" s="80"/>
      <c r="C33" s="80"/>
      <c r="D33" s="80"/>
      <c r="E33" s="80"/>
      <c r="F33" s="80"/>
      <c r="G33" s="80"/>
      <c r="H33" s="6"/>
      <c r="J33" s="8"/>
      <c r="K33" s="14"/>
      <c r="L33" s="14"/>
      <c r="M33" s="14"/>
      <c r="N33" s="14"/>
      <c r="O33" s="9"/>
      <c r="R33" s="26"/>
      <c r="S33" s="26"/>
      <c r="T33" s="26"/>
      <c r="U33" s="26"/>
      <c r="V33" s="6"/>
      <c r="X33" s="78"/>
      <c r="Y33" s="13" t="s">
        <v>109</v>
      </c>
      <c r="Z33" s="13" t="s">
        <v>109</v>
      </c>
      <c r="AA33" s="13" t="s">
        <v>110</v>
      </c>
    </row>
    <row r="34" spans="2:27" ht="14.55" customHeight="1" x14ac:dyDescent="0.45">
      <c r="H34" s="6"/>
      <c r="J34" s="8"/>
      <c r="K34" s="14"/>
      <c r="L34" s="14"/>
      <c r="M34" s="14"/>
      <c r="N34" s="14"/>
      <c r="O34" s="9"/>
      <c r="R34" s="26"/>
      <c r="S34" s="26"/>
      <c r="T34" s="26"/>
      <c r="U34" s="26"/>
      <c r="V34" s="6"/>
      <c r="X34" s="78"/>
      <c r="Y34" s="13" t="s">
        <v>111</v>
      </c>
      <c r="Z34" s="13" t="s">
        <v>112</v>
      </c>
      <c r="AA34" s="13" t="s">
        <v>113</v>
      </c>
    </row>
    <row r="35" spans="2:27" ht="14.55" customHeight="1" x14ac:dyDescent="0.45">
      <c r="H35" s="6"/>
      <c r="J35" s="8"/>
      <c r="K35" s="14"/>
      <c r="L35" s="14"/>
      <c r="M35" s="14"/>
      <c r="N35" s="14"/>
      <c r="O35" s="9"/>
      <c r="R35" s="26"/>
      <c r="S35" s="26"/>
      <c r="T35" s="26"/>
      <c r="U35" s="26"/>
      <c r="V35" s="6"/>
      <c r="X35" s="78"/>
      <c r="Y35" s="13" t="s">
        <v>114</v>
      </c>
      <c r="Z35" s="13" t="s">
        <v>115</v>
      </c>
      <c r="AA35" s="13" t="s">
        <v>116</v>
      </c>
    </row>
    <row r="36" spans="2:27" ht="15" customHeight="1" x14ac:dyDescent="0.45">
      <c r="F36" s="1"/>
      <c r="V36" s="6"/>
      <c r="X36" s="8"/>
      <c r="Y36" s="8"/>
      <c r="Z36" s="8"/>
      <c r="AA36" s="8"/>
    </row>
    <row r="37" spans="2:27" ht="15" customHeight="1" x14ac:dyDescent="0.45">
      <c r="B37" t="s">
        <v>176</v>
      </c>
      <c r="F37" s="1"/>
      <c r="Q37" s="6"/>
      <c r="V37" s="6"/>
      <c r="X37" s="8"/>
      <c r="Y37" s="8"/>
      <c r="Z37" s="8"/>
      <c r="AA37" s="8"/>
    </row>
    <row r="38" spans="2:27" ht="15" customHeight="1" x14ac:dyDescent="0.45">
      <c r="B38" s="7"/>
    </row>
    <row r="39" spans="2:27" ht="15" customHeight="1" x14ac:dyDescent="0.5">
      <c r="B39" s="79" t="s">
        <v>177</v>
      </c>
      <c r="C39" s="79"/>
      <c r="D39" s="40" t="s">
        <v>117</v>
      </c>
      <c r="E39" s="42" t="s">
        <v>118</v>
      </c>
      <c r="F39" s="29" t="s">
        <v>119</v>
      </c>
      <c r="G39" s="29" t="s">
        <v>120</v>
      </c>
      <c r="H39" s="29" t="s">
        <v>121</v>
      </c>
      <c r="I39" s="29" t="s">
        <v>122</v>
      </c>
      <c r="J39" s="29" t="s">
        <v>123</v>
      </c>
      <c r="K39" s="29" t="s">
        <v>124</v>
      </c>
    </row>
    <row r="40" spans="2:27" ht="15" customHeight="1" x14ac:dyDescent="0.45">
      <c r="B40" s="18" t="s">
        <v>125</v>
      </c>
      <c r="C40" s="66">
        <v>0.3</v>
      </c>
      <c r="D40" s="41">
        <v>12000</v>
      </c>
      <c r="E40" s="41">
        <v>13000</v>
      </c>
      <c r="F40" s="41">
        <v>13000</v>
      </c>
      <c r="G40" s="41">
        <v>11000</v>
      </c>
      <c r="H40" s="41">
        <v>9000</v>
      </c>
      <c r="I40" s="41">
        <v>6000</v>
      </c>
      <c r="J40" s="41">
        <v>6000</v>
      </c>
      <c r="K40" s="41">
        <v>4000</v>
      </c>
      <c r="Q40" s="6"/>
      <c r="R40" s="6"/>
      <c r="S40" s="6"/>
    </row>
    <row r="41" spans="2:27" ht="15" customHeight="1" x14ac:dyDescent="0.45">
      <c r="B41" s="18" t="s">
        <v>126</v>
      </c>
      <c r="C41" s="66">
        <v>0.5</v>
      </c>
      <c r="D41" s="41">
        <v>12000</v>
      </c>
      <c r="E41" s="41">
        <v>10000</v>
      </c>
      <c r="F41" s="41">
        <v>8500</v>
      </c>
      <c r="G41" s="41">
        <v>7500</v>
      </c>
      <c r="H41" s="41">
        <v>6000</v>
      </c>
      <c r="I41" s="41">
        <v>5000</v>
      </c>
      <c r="J41" s="41">
        <v>4000</v>
      </c>
      <c r="K41" s="41">
        <v>2000</v>
      </c>
      <c r="Q41" s="6"/>
      <c r="R41" s="6"/>
      <c r="S41" s="6"/>
    </row>
    <row r="42" spans="2:27" ht="15" customHeight="1" x14ac:dyDescent="0.45">
      <c r="B42" s="18" t="s">
        <v>127</v>
      </c>
      <c r="C42" s="66">
        <v>0.2</v>
      </c>
      <c r="D42" s="41">
        <v>12000</v>
      </c>
      <c r="E42" s="41">
        <v>10000</v>
      </c>
      <c r="F42" s="41">
        <v>7000</v>
      </c>
      <c r="G42" s="41">
        <v>4000</v>
      </c>
      <c r="H42" s="41">
        <v>2000</v>
      </c>
      <c r="I42" s="41">
        <v>1000</v>
      </c>
      <c r="J42" s="41">
        <v>0</v>
      </c>
      <c r="K42" s="41">
        <v>0</v>
      </c>
    </row>
    <row r="43" spans="2:27" ht="15" customHeight="1" x14ac:dyDescent="0.45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2:27" ht="15" customHeight="1" x14ac:dyDescent="0.5">
      <c r="B44" s="72" t="s">
        <v>57</v>
      </c>
      <c r="C44" s="73"/>
      <c r="D44" s="29" t="s">
        <v>128</v>
      </c>
      <c r="E44" s="29" t="s">
        <v>129</v>
      </c>
      <c r="F44" s="29" t="s">
        <v>119</v>
      </c>
      <c r="G44" s="29" t="s">
        <v>120</v>
      </c>
      <c r="H44" s="29" t="s">
        <v>121</v>
      </c>
      <c r="I44" s="29" t="s">
        <v>122</v>
      </c>
      <c r="J44" s="29" t="s">
        <v>123</v>
      </c>
      <c r="K44" s="29" t="s">
        <v>124</v>
      </c>
    </row>
    <row r="45" spans="2:27" ht="15" customHeight="1" x14ac:dyDescent="0.45">
      <c r="B45" s="18" t="s">
        <v>125</v>
      </c>
      <c r="C45" s="66">
        <v>0.3</v>
      </c>
      <c r="D45" s="41">
        <v>5000</v>
      </c>
      <c r="E45" s="41">
        <v>5500</v>
      </c>
      <c r="F45" s="41">
        <v>6000</v>
      </c>
      <c r="G45" s="41">
        <v>6500</v>
      </c>
      <c r="H45" s="41">
        <v>7000</v>
      </c>
      <c r="I45" s="41">
        <v>8000</v>
      </c>
      <c r="J45" s="41">
        <v>9000</v>
      </c>
      <c r="K45" s="41">
        <v>9000</v>
      </c>
      <c r="Q45" s="6"/>
      <c r="R45" s="6"/>
      <c r="S45" s="6"/>
    </row>
    <row r="46" spans="2:27" ht="15" customHeight="1" x14ac:dyDescent="0.45">
      <c r="B46" s="18" t="s">
        <v>126</v>
      </c>
      <c r="C46" s="66">
        <v>0.5</v>
      </c>
      <c r="D46" s="41">
        <v>5000</v>
      </c>
      <c r="E46" s="41">
        <v>5200</v>
      </c>
      <c r="F46" s="41">
        <v>5400</v>
      </c>
      <c r="G46" s="41">
        <v>5600</v>
      </c>
      <c r="H46" s="41">
        <v>6000</v>
      </c>
      <c r="I46" s="41">
        <v>6500</v>
      </c>
      <c r="J46" s="41">
        <v>7000</v>
      </c>
      <c r="K46" s="41">
        <v>7500</v>
      </c>
      <c r="Q46" s="6"/>
      <c r="R46" s="6"/>
      <c r="S46" s="6"/>
    </row>
    <row r="47" spans="2:27" ht="15" customHeight="1" x14ac:dyDescent="0.45">
      <c r="B47" s="18" t="s">
        <v>127</v>
      </c>
      <c r="C47" s="66">
        <v>0.2</v>
      </c>
      <c r="D47" s="41">
        <v>5000</v>
      </c>
      <c r="E47" s="41">
        <v>5000</v>
      </c>
      <c r="F47" s="41">
        <v>5000</v>
      </c>
      <c r="G47" s="41">
        <v>4000</v>
      </c>
      <c r="H47" s="41">
        <v>3000</v>
      </c>
      <c r="I47" s="41">
        <v>3000</v>
      </c>
      <c r="J47" s="41">
        <v>2000</v>
      </c>
      <c r="K47" s="41">
        <v>2000</v>
      </c>
    </row>
    <row r="48" spans="2:27" ht="15" customHeight="1" x14ac:dyDescent="0.45">
      <c r="B48" s="7"/>
    </row>
    <row r="49" spans="2:19" ht="15" customHeight="1" x14ac:dyDescent="0.5">
      <c r="B49" s="74" t="s">
        <v>59</v>
      </c>
      <c r="C49" s="75"/>
      <c r="D49" s="29" t="s">
        <v>128</v>
      </c>
      <c r="E49" s="29" t="s">
        <v>129</v>
      </c>
      <c r="F49" s="29" t="s">
        <v>119</v>
      </c>
      <c r="G49" s="29" t="s">
        <v>120</v>
      </c>
      <c r="H49" s="29" t="s">
        <v>121</v>
      </c>
      <c r="I49" s="29" t="s">
        <v>122</v>
      </c>
      <c r="J49" s="29" t="s">
        <v>123</v>
      </c>
      <c r="K49" s="29" t="s">
        <v>124</v>
      </c>
    </row>
    <row r="50" spans="2:19" ht="15" customHeight="1" x14ac:dyDescent="0.45">
      <c r="B50" s="18" t="s">
        <v>125</v>
      </c>
      <c r="C50" s="66">
        <v>0.3</v>
      </c>
      <c r="D50" s="41">
        <v>3000</v>
      </c>
      <c r="E50" s="41">
        <v>4500</v>
      </c>
      <c r="F50" s="41">
        <v>8000</v>
      </c>
      <c r="G50" s="41">
        <v>11000</v>
      </c>
      <c r="H50" s="41">
        <v>14000</v>
      </c>
      <c r="I50" s="41">
        <v>17000</v>
      </c>
      <c r="J50" s="41">
        <v>20000</v>
      </c>
      <c r="K50" s="41">
        <v>23000</v>
      </c>
      <c r="Q50" s="6"/>
      <c r="R50" s="6"/>
      <c r="S50" s="6"/>
    </row>
    <row r="51" spans="2:19" ht="15" customHeight="1" x14ac:dyDescent="0.45">
      <c r="B51" s="18" t="s">
        <v>126</v>
      </c>
      <c r="C51" s="66">
        <v>0.5</v>
      </c>
      <c r="D51" s="41">
        <v>3000</v>
      </c>
      <c r="E51" s="41">
        <v>4500</v>
      </c>
      <c r="F51" s="41">
        <v>7000</v>
      </c>
      <c r="G51" s="41">
        <v>8000</v>
      </c>
      <c r="H51" s="41">
        <v>9000</v>
      </c>
      <c r="I51" s="41">
        <v>11000</v>
      </c>
      <c r="J51" s="41">
        <v>13000</v>
      </c>
      <c r="K51" s="41">
        <v>16000</v>
      </c>
      <c r="Q51" s="6"/>
      <c r="R51" s="6"/>
      <c r="S51" s="6"/>
    </row>
    <row r="52" spans="2:19" ht="15.75" customHeight="1" x14ac:dyDescent="0.45">
      <c r="B52" s="18" t="s">
        <v>127</v>
      </c>
      <c r="C52" s="66">
        <v>0.2</v>
      </c>
      <c r="D52" s="41">
        <v>3000</v>
      </c>
      <c r="E52" s="41">
        <v>3500</v>
      </c>
      <c r="F52" s="41">
        <v>4500</v>
      </c>
      <c r="G52" s="41">
        <v>5500</v>
      </c>
      <c r="H52" s="41">
        <v>7000</v>
      </c>
      <c r="I52" s="41">
        <v>8500</v>
      </c>
      <c r="J52" s="41">
        <v>10000</v>
      </c>
      <c r="K52" s="41">
        <v>10000</v>
      </c>
    </row>
    <row r="54" spans="2:19" x14ac:dyDescent="0.45">
      <c r="B54" s="76" t="s">
        <v>178</v>
      </c>
      <c r="C54" s="76"/>
      <c r="D54" s="76"/>
    </row>
    <row r="55" spans="2:19" ht="15.75" x14ac:dyDescent="0.5">
      <c r="B55" s="77" t="s">
        <v>177</v>
      </c>
      <c r="C55" s="77"/>
      <c r="D55" s="69" t="s">
        <v>117</v>
      </c>
      <c r="E55" s="67" t="s">
        <v>118</v>
      </c>
      <c r="F55" s="68" t="s">
        <v>119</v>
      </c>
      <c r="G55" s="68" t="s">
        <v>120</v>
      </c>
      <c r="H55" s="68" t="s">
        <v>121</v>
      </c>
      <c r="I55" s="68" t="s">
        <v>122</v>
      </c>
      <c r="J55" s="68" t="s">
        <v>123</v>
      </c>
      <c r="K55" s="68" t="s">
        <v>124</v>
      </c>
    </row>
    <row r="56" spans="2:19" x14ac:dyDescent="0.45">
      <c r="B56" s="71" t="s">
        <v>181</v>
      </c>
      <c r="C56" s="71"/>
      <c r="D56" s="70"/>
      <c r="E56" s="70"/>
      <c r="F56" s="70"/>
      <c r="G56" s="70"/>
      <c r="H56" s="70"/>
      <c r="I56" s="70"/>
      <c r="J56" s="70"/>
      <c r="K56" s="70"/>
    </row>
    <row r="57" spans="2:19" x14ac:dyDescent="0.45">
      <c r="B57" s="71" t="s">
        <v>180</v>
      </c>
      <c r="C57" s="71"/>
      <c r="D57" s="70"/>
      <c r="E57" s="70"/>
      <c r="F57" s="70"/>
      <c r="G57" s="70"/>
      <c r="H57" s="70"/>
      <c r="I57" s="70"/>
      <c r="J57" s="70"/>
      <c r="K57" s="70"/>
    </row>
    <row r="58" spans="2:19" x14ac:dyDescent="0.45">
      <c r="B58" s="71" t="s">
        <v>179</v>
      </c>
      <c r="C58" s="71"/>
      <c r="D58" s="70"/>
      <c r="E58" s="70"/>
      <c r="F58" s="70"/>
      <c r="G58" s="70"/>
      <c r="H58" s="70"/>
      <c r="I58" s="70"/>
      <c r="J58" s="70"/>
      <c r="K58" s="70"/>
    </row>
    <row r="59" spans="2:19" x14ac:dyDescent="0.45">
      <c r="D59" s="1"/>
      <c r="E59" s="1"/>
      <c r="F59" s="1"/>
      <c r="G59" s="1"/>
      <c r="H59" s="1"/>
      <c r="I59" s="1"/>
      <c r="J59" s="1"/>
      <c r="K59" s="1"/>
    </row>
    <row r="60" spans="2:19" ht="15.75" x14ac:dyDescent="0.5">
      <c r="B60" s="72" t="s">
        <v>57</v>
      </c>
      <c r="C60" s="73"/>
      <c r="D60" s="69" t="s">
        <v>117</v>
      </c>
      <c r="E60" s="67" t="s">
        <v>118</v>
      </c>
      <c r="F60" s="68" t="s">
        <v>119</v>
      </c>
      <c r="G60" s="68" t="s">
        <v>120</v>
      </c>
      <c r="H60" s="68" t="s">
        <v>121</v>
      </c>
      <c r="I60" s="68" t="s">
        <v>122</v>
      </c>
      <c r="J60" s="68" t="s">
        <v>123</v>
      </c>
      <c r="K60" s="68" t="s">
        <v>124</v>
      </c>
    </row>
    <row r="61" spans="2:19" x14ac:dyDescent="0.45">
      <c r="B61" s="71" t="s">
        <v>181</v>
      </c>
      <c r="C61" s="71"/>
      <c r="D61" s="70"/>
      <c r="E61" s="70"/>
      <c r="F61" s="70"/>
      <c r="G61" s="70"/>
      <c r="H61" s="70"/>
      <c r="I61" s="70"/>
      <c r="J61" s="70"/>
      <c r="K61" s="70"/>
    </row>
    <row r="62" spans="2:19" x14ac:dyDescent="0.45">
      <c r="B62" s="71" t="s">
        <v>180</v>
      </c>
      <c r="C62" s="71"/>
      <c r="D62" s="70"/>
      <c r="E62" s="70"/>
      <c r="F62" s="70"/>
      <c r="G62" s="70"/>
      <c r="H62" s="70"/>
      <c r="I62" s="70"/>
      <c r="J62" s="70"/>
      <c r="K62" s="70"/>
    </row>
    <row r="63" spans="2:19" x14ac:dyDescent="0.45">
      <c r="B63" s="71" t="s">
        <v>179</v>
      </c>
      <c r="C63" s="71"/>
      <c r="D63" s="70"/>
      <c r="E63" s="70"/>
      <c r="F63" s="70"/>
      <c r="G63" s="70"/>
      <c r="H63" s="70"/>
      <c r="I63" s="70"/>
      <c r="J63" s="70"/>
      <c r="K63" s="70"/>
    </row>
    <row r="64" spans="2:19" x14ac:dyDescent="0.45">
      <c r="D64" s="1"/>
      <c r="E64" s="1"/>
      <c r="F64" s="1"/>
      <c r="G64" s="1"/>
      <c r="H64" s="1"/>
      <c r="I64" s="1"/>
      <c r="J64" s="1"/>
      <c r="K64" s="1"/>
    </row>
    <row r="65" spans="2:11" ht="15.75" x14ac:dyDescent="0.5">
      <c r="B65" s="74" t="s">
        <v>59</v>
      </c>
      <c r="C65" s="75"/>
      <c r="D65" s="69" t="s">
        <v>117</v>
      </c>
      <c r="E65" s="67" t="s">
        <v>118</v>
      </c>
      <c r="F65" s="68" t="s">
        <v>119</v>
      </c>
      <c r="G65" s="68" t="s">
        <v>120</v>
      </c>
      <c r="H65" s="68" t="s">
        <v>121</v>
      </c>
      <c r="I65" s="68" t="s">
        <v>122</v>
      </c>
      <c r="J65" s="68" t="s">
        <v>123</v>
      </c>
      <c r="K65" s="68" t="s">
        <v>124</v>
      </c>
    </row>
    <row r="66" spans="2:11" x14ac:dyDescent="0.45">
      <c r="B66" s="71" t="s">
        <v>181</v>
      </c>
      <c r="C66" s="71"/>
      <c r="D66" s="70"/>
      <c r="E66" s="70"/>
      <c r="F66" s="70"/>
      <c r="G66" s="70"/>
      <c r="H66" s="70"/>
      <c r="I66" s="70"/>
      <c r="J66" s="70"/>
      <c r="K66" s="70"/>
    </row>
    <row r="67" spans="2:11" x14ac:dyDescent="0.45">
      <c r="B67" s="71" t="s">
        <v>180</v>
      </c>
      <c r="C67" s="71"/>
      <c r="D67" s="70"/>
      <c r="E67" s="70"/>
      <c r="F67" s="70"/>
      <c r="G67" s="70"/>
      <c r="H67" s="70"/>
      <c r="I67" s="70"/>
      <c r="J67" s="70"/>
      <c r="K67" s="70"/>
    </row>
    <row r="68" spans="2:11" x14ac:dyDescent="0.45">
      <c r="B68" s="71" t="s">
        <v>179</v>
      </c>
      <c r="C68" s="71"/>
      <c r="D68" s="70"/>
      <c r="E68" s="70"/>
      <c r="F68" s="70"/>
      <c r="G68" s="70"/>
      <c r="H68" s="70"/>
      <c r="I68" s="70"/>
      <c r="J68" s="70"/>
      <c r="K68" s="70"/>
    </row>
  </sheetData>
  <mergeCells count="18">
    <mergeCell ref="X30:X35"/>
    <mergeCell ref="B39:C39"/>
    <mergeCell ref="B44:C44"/>
    <mergeCell ref="B49:C49"/>
    <mergeCell ref="B29:G33"/>
    <mergeCell ref="B54:D54"/>
    <mergeCell ref="B55:C55"/>
    <mergeCell ref="B56:C56"/>
    <mergeCell ref="B57:C57"/>
    <mergeCell ref="B58:C58"/>
    <mergeCell ref="B66:C66"/>
    <mergeCell ref="B67:C67"/>
    <mergeCell ref="B68:C68"/>
    <mergeCell ref="B60:C60"/>
    <mergeCell ref="B61:C61"/>
    <mergeCell ref="B62:C62"/>
    <mergeCell ref="B63:C63"/>
    <mergeCell ref="B65:C65"/>
  </mergeCells>
  <phoneticPr fontId="12" type="noConversion"/>
  <conditionalFormatting sqref="Y19:AD21">
    <cfRule type="cellIs" dxfId="1" priority="1" operator="greaterThan">
      <formula>0</formula>
    </cfRule>
  </conditionalFormatting>
  <conditionalFormatting sqref="Y10:AJ12">
    <cfRule type="cellIs" dxfId="0" priority="2" operator="greaterThan">
      <formula>0</formula>
    </cfRule>
  </conditionalFormatting>
  <pageMargins left="0.7" right="0.7" top="0.75" bottom="0.75" header="0.3" footer="0.3"/>
  <headerFooter>
    <oddHeader>&amp;L&amp;"Arial"&amp;12&amp;K000000 Micron Confidential&amp;1#_x000D_</oddHeader>
    <oddFooter>&amp;L_x000D_&amp;1#&amp;"Arial"&amp;12&amp;K000000 Micron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65f99d-bfdd-4680-9981-1941347d8610" xsi:nil="true"/>
    <lcf76f155ced4ddcb4097134ff3c332f xmlns="d249053d-5c5c-4dbe-91db-859e1aa410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845C4208F93C44939006F0AC017EB2" ma:contentTypeVersion="15" ma:contentTypeDescription="Create a new document." ma:contentTypeScope="" ma:versionID="3d418e77fa141df0019fddf718b7dc06">
  <xsd:schema xmlns:xsd="http://www.w3.org/2001/XMLSchema" xmlns:xs="http://www.w3.org/2001/XMLSchema" xmlns:p="http://schemas.microsoft.com/office/2006/metadata/properties" xmlns:ns2="7c65f99d-bfdd-4680-9981-1941347d8610" xmlns:ns3="d249053d-5c5c-4dbe-91db-859e1aa410ec" targetNamespace="http://schemas.microsoft.com/office/2006/metadata/properties" ma:root="true" ma:fieldsID="3d7e6d4816413af01cbe493d0707886a" ns2:_="" ns3:_="">
    <xsd:import namespace="7c65f99d-bfdd-4680-9981-1941347d8610"/>
    <xsd:import namespace="d249053d-5c5c-4dbe-91db-859e1aa410e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f99d-bfdd-4680-9981-1941347d861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2a7344d-77fd-453d-a451-75aaa89ab7a2}" ma:internalName="TaxCatchAll" ma:showField="CatchAllData" ma:web="7c65f99d-bfdd-4680-9981-1941347d8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9053d-5c5c-4dbe-91db-859e1aa410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9ac5c9-3891-4418-8e3e-3c86a1f99d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84C067-F805-4B4C-8004-C0D8828531AF}">
  <ds:schemaRefs>
    <ds:schemaRef ds:uri="d249053d-5c5c-4dbe-91db-859e1aa410ec"/>
    <ds:schemaRef ds:uri="http://schemas.microsoft.com/office/2006/metadata/properties"/>
    <ds:schemaRef ds:uri="http://schemas.microsoft.com/office/2006/documentManagement/types"/>
    <ds:schemaRef ds:uri="7c65f99d-bfdd-4680-9981-1941347d8610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3F1971D-1145-467E-8907-9C6B74E30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99DCE6-2AFF-448B-AC5A-B55B7B49B7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65f99d-bfdd-4680-9981-1941347d8610"/>
    <ds:schemaRef ds:uri="d249053d-5c5c-4dbe-91db-859e1aa41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874100-6000-43b6-a204-2d77792600b9}" enabled="1" method="Standard" siteId="{f38a5ecd-2813-4862-b11b-ac1d563c806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Q1a</vt:lpstr>
      <vt:lpstr>data</vt:lpstr>
      <vt:lpstr>Q1b</vt:lpstr>
      <vt:lpstr>Input Data + Q2</vt:lpstr>
      <vt:lpstr>'Input Data + Q2'!_msoanchor_1</vt:lpstr>
      <vt:lpstr>'Input Data + Q2'!_msoanchor_2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 lissa</dc:creator>
  <cp:keywords/>
  <dc:description/>
  <cp:lastModifiedBy>me lissa</cp:lastModifiedBy>
  <cp:revision/>
  <dcterms:created xsi:type="dcterms:W3CDTF">2026-01-02T07:44:17Z</dcterms:created>
  <dcterms:modified xsi:type="dcterms:W3CDTF">2026-02-20T15:32:02Z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0x0101004C845C4208F93C44939006F0AC017EB2</vt:lpwstr>
  </property>
  <property fmtid="{D5CDD505-2E9C-101B-9397-08002B2CF9AE}" pid="3" name="MediaServiceImageTags">
    <vt:lpwstr/>
  </property>
</Properties>
</file>